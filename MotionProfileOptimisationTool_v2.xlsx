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VanOosterwyck\Downloads\"/>
    </mc:Choice>
  </mc:AlternateContent>
  <xr:revisionPtr revIDLastSave="0" documentId="13_ncr:1_{BB6A4665-396D-4E82-9401-BCE4C7401E88}" xr6:coauthVersionLast="46" xr6:coauthVersionMax="47" xr10:uidLastSave="{00000000-0000-0000-0000-000000000000}"/>
  <bookViews>
    <workbookView xWindow="-108" yWindow="-108" windowWidth="23256" windowHeight="12720" xr2:uid="{F7D83B60-B0BC-4305-A6B4-7873E2ACCC5D}"/>
  </bookViews>
  <sheets>
    <sheet name="README" sheetId="15" r:id="rId1"/>
    <sheet name="1.Properties" sheetId="2" r:id="rId2"/>
    <sheet name="2.Optimization" sheetId="1" r:id="rId3"/>
    <sheet name="3.Savings" sheetId="16" r:id="rId4"/>
    <sheet name="4.Output" sheetId="17" r:id="rId5"/>
    <sheet name="time" sheetId="14" state="hidden" r:id="rId6"/>
    <sheet name="trap" sheetId="13" state="hidden" r:id="rId7"/>
    <sheet name="refpoly" sheetId="19" state="hidden" r:id="rId8"/>
    <sheet name="optipoly" sheetId="8" state="hidden" r:id="rId9"/>
  </sheets>
  <definedNames>
    <definedName name="isj0">'2.Optimization'!$F$11</definedName>
    <definedName name="n">'2.Optimization'!$F$14</definedName>
    <definedName name="optipoly.dJ">OFFSET(optipoly!$J$2,0,0,n,1)</definedName>
    <definedName name="optipoly.fw">OFFSET(optipoly!$K$2,0,0,n,1)</definedName>
    <definedName name="optipoly.J">OFFSET(optipoly!$I$2,0,0,n,1)</definedName>
    <definedName name="optipoly.q">OFFSET(optipoly!$D$2,0,0,n,1)</definedName>
    <definedName name="optipoly.qd1">OFFSET(optipoly!$E$2,0,0,n,1)</definedName>
    <definedName name="optipoly.qd2">OFFSET(optipoly!$F$2,0,0,n,1)</definedName>
    <definedName name="optipoly.qd3">OFFSET(optipoly!$G$2,0,0,n,1)</definedName>
    <definedName name="optipoly.qmod">OFFSET(optipoly!$H$2,0,0,n,1)</definedName>
    <definedName name="optipoly.Tacc">OFFSET(optipoly!$M$2,0,0,n,1)</definedName>
    <definedName name="optipoly.Tf">OFFSET(optipoly!$O$2,0,0,n,1)</definedName>
    <definedName name="optipoly.Tl">OFFSET(optipoly!$L$2,0,0,n,1)</definedName>
    <definedName name="optipoly.Tm">OFFSET(optipoly!$P$2,0,0,n,1)</definedName>
    <definedName name="optipoly.Tmd1">OFFSET(optipoly!$Q$2,0,0,n,1)</definedName>
    <definedName name="optipoly.Tvar">OFFSET(optipoly!$N$2,0,0,n,1)</definedName>
    <definedName name="p_0">IF(isj0,'2.Optimization'!$K$9,'2.Optimization'!$J$9)</definedName>
    <definedName name="p_1">IF(isj0,'2.Optimization'!$K$10,'2.Optimization'!$J$10)</definedName>
    <definedName name="p_10">IF(isj0,'2.Optimization'!$K$19,'2.Optimization'!$J$19)</definedName>
    <definedName name="p_11">IF(isj0,'2.Optimization'!$K$20,'2.Optimization'!$J$20)</definedName>
    <definedName name="p_12">IF(isj0,'2.Optimization'!$K$21,'2.Optimization'!$J$21)</definedName>
    <definedName name="p_13">IF(isj0,'2.Optimization'!$K$22,'2.Optimization'!$J$22)</definedName>
    <definedName name="p_14">IF(isj0,'2.Optimization'!$K$23,'2.Optimization'!$J$23)</definedName>
    <definedName name="p_15">IF(isj0,'2.Optimization'!$K$24,'2.Optimization'!$J$24)</definedName>
    <definedName name="p_16">IF(isj0,'2.Optimization'!$K$25,'2.Optimization'!$J$25)</definedName>
    <definedName name="p_17">IF(isj0,'2.Optimization'!$K$26,'2.Optimization'!$J$26)</definedName>
    <definedName name="p_18">IF(isj0,'2.Optimization'!$K$27,'2.Optimization'!$J$27)</definedName>
    <definedName name="p_19">IF(isj0,'2.Optimization'!$K$28,'2.Optimization'!$J$28)</definedName>
    <definedName name="p_2">IF(isj0,'2.Optimization'!$K$11,'2.Optimization'!$J$11)</definedName>
    <definedName name="p_3">IF(isj0,'2.Optimization'!$K$12,'2.Optimization'!$J$12)</definedName>
    <definedName name="p_4">IF(isj0,'2.Optimization'!$K$13,'2.Optimization'!$J$13)</definedName>
    <definedName name="p_5">IF(isj0,'2.Optimization'!$K$14,'2.Optimization'!$J$14)</definedName>
    <definedName name="p_6">IF(isj0,'2.Optimization'!$K$15,'2.Optimization'!$J$15)</definedName>
    <definedName name="p_7">IF(isj0,'2.Optimization'!$K$16,'2.Optimization'!$J$16)</definedName>
    <definedName name="p_8">IF(isj0,'2.Optimization'!$K$17,'2.Optimization'!$J$17)</definedName>
    <definedName name="p_9">IF(isj0,'2.Optimization'!$K$18,'2.Optimization'!$J$18)</definedName>
    <definedName name="pA">'2.Optimization'!$F$7</definedName>
    <definedName name="pB">'2.Optimization'!$F$8</definedName>
    <definedName name="prop.dJ_i">OFFSET('1.Properties'!$I$8,0,0,COUNT('1.Properties'!$I:$I),1)</definedName>
    <definedName name="prop.dJ_x">OFFSET('1.Properties'!$J$8,0,0,COUNT('1.Properties'!$J:$J),1)</definedName>
    <definedName name="prop.dJ_y">OFFSET('1.Properties'!$K$8,0,0,COUNT('1.Properties'!$K:$K),1)</definedName>
    <definedName name="prop.fw_x">OFFSET('1.Properties'!$E$8,0,0,COUNT('1.Properties'!$E:$E),1)</definedName>
    <definedName name="prop.fw_y">OFFSET('1.Properties'!$F$8,0,0,COUNT('1.Properties'!$F:$F),1)</definedName>
    <definedName name="prop.J_x">OFFSET('1.Properties'!$G$8,0,0,COUNT('1.Properties'!$G:$G),1)</definedName>
    <definedName name="prop.J_y">OFFSET('1.Properties'!$H$8,0,0,COUNT('1.Properties'!$H:$H),1)</definedName>
    <definedName name="prop.Tl_x">OFFSET('1.Properties'!$C$8,0,0,COUNT('1.Properties'!$C:$C),1)</definedName>
    <definedName name="prop.Tl_y">OFFSET('1.Properties'!$D$8,0,0,COUNT('1.Properties'!$D:$D),1)</definedName>
    <definedName name="refpoly.dJ">OFFSET(refpoly!$J$2,0,0,n,1)</definedName>
    <definedName name="refpoly.fw">OFFSET(refpoly!$K$2,0,0,n,1)</definedName>
    <definedName name="refpoly.J">OFFSET(refpoly!$I$2,0,0,n,1)</definedName>
    <definedName name="refpoly.q">OFFSET(refpoly!$D$2,0,0,n,1)</definedName>
    <definedName name="refpoly.qd1">OFFSET(refpoly!$E$2,0,0,n,1)</definedName>
    <definedName name="refpoly.qd2">OFFSET(refpoly!$F$2,0,0,n,1)</definedName>
    <definedName name="refpoly.qd3">OFFSET(refpoly!$G$2,0,0,n,1)</definedName>
    <definedName name="refpoly.qmod">OFFSET(refpoly!$H$2,0,0,n,1)</definedName>
    <definedName name="refpoly.Tacc">OFFSET(refpoly!$M$2,0,0,n,1)</definedName>
    <definedName name="refpoly.Tf">OFFSET(refpoly!$O$2,0,0,n,1)</definedName>
    <definedName name="refpoly.Tl">OFFSET(refpoly!$L$2,0,0,n,1)</definedName>
    <definedName name="refpoly.Tm">OFFSET(refpoly!$P$2,0,0,n,1)</definedName>
    <definedName name="refpoly.Tmd1">OFFSET(refpoly!$Q$2,0,0,n,1)</definedName>
    <definedName name="refpoly.Tvar">OFFSET(refpoly!$N$2,0,0,n,1)</definedName>
    <definedName name="solver_adj" localSheetId="2" hidden="1">'2.Optimization'!$J$15:$J$28</definedName>
    <definedName name="solver_adj" localSheetId="8" hidden="1">optipoly!#REF!</definedName>
    <definedName name="solver_adj" localSheetId="7" hidden="1">refpoly!#REF!</definedName>
    <definedName name="solver_adj" localSheetId="6" hidden="1">trap!#REF!</definedName>
    <definedName name="solver_cvg" localSheetId="2" hidden="1">0.0001</definedName>
    <definedName name="solver_cvg" localSheetId="8" hidden="1">0.0001</definedName>
    <definedName name="solver_cvg" localSheetId="7" hidden="1">0.0001</definedName>
    <definedName name="solver_cvg" localSheetId="6" hidden="1">0.0001</definedName>
    <definedName name="solver_drv" localSheetId="2" hidden="1">1</definedName>
    <definedName name="solver_drv" localSheetId="8" hidden="1">1</definedName>
    <definedName name="solver_drv" localSheetId="7" hidden="1">1</definedName>
    <definedName name="solver_drv" localSheetId="6" hidden="1">1</definedName>
    <definedName name="solver_eng" localSheetId="2" hidden="1">1</definedName>
    <definedName name="solver_eng" localSheetId="8" hidden="1">3</definedName>
    <definedName name="solver_eng" localSheetId="7" hidden="1">3</definedName>
    <definedName name="solver_eng" localSheetId="6" hidden="1">3</definedName>
    <definedName name="solver_est" localSheetId="2" hidden="1">1</definedName>
    <definedName name="solver_est" localSheetId="8" hidden="1">1</definedName>
    <definedName name="solver_est" localSheetId="7" hidden="1">1</definedName>
    <definedName name="solver_est" localSheetId="6" hidden="1">1</definedName>
    <definedName name="solver_itr" localSheetId="2" hidden="1">2147483647</definedName>
    <definedName name="solver_itr" localSheetId="8" hidden="1">2147483647</definedName>
    <definedName name="solver_itr" localSheetId="7" hidden="1">2147483647</definedName>
    <definedName name="solver_itr" localSheetId="6" hidden="1">2147483647</definedName>
    <definedName name="solver_lhs1" localSheetId="2" hidden="1">'2.Optimization'!$F$20</definedName>
    <definedName name="solver_lhs1" localSheetId="8" hidden="1">optipoly!#REF!</definedName>
    <definedName name="solver_lhs1" localSheetId="7" hidden="1">refpoly!#REF!</definedName>
    <definedName name="solver_lhs1" localSheetId="6" hidden="1">trap!#REF!</definedName>
    <definedName name="solver_lhs2" localSheetId="2" hidden="1">'2.Optimization'!$F$20</definedName>
    <definedName name="solver_lhs2" localSheetId="8" hidden="1">optipoly!#REF!</definedName>
    <definedName name="solver_lhs2" localSheetId="7" hidden="1">refpoly!#REF!</definedName>
    <definedName name="solver_lhs2" localSheetId="6" hidden="1">trap!#REF!</definedName>
    <definedName name="solver_mip" localSheetId="2" hidden="1">2147483647</definedName>
    <definedName name="solver_mip" localSheetId="8" hidden="1">2147483647</definedName>
    <definedName name="solver_mip" localSheetId="7" hidden="1">2147483647</definedName>
    <definedName name="solver_mip" localSheetId="6" hidden="1">2147483647</definedName>
    <definedName name="solver_mni" localSheetId="2" hidden="1">30</definedName>
    <definedName name="solver_mni" localSheetId="8" hidden="1">30</definedName>
    <definedName name="solver_mni" localSheetId="7" hidden="1">30</definedName>
    <definedName name="solver_mni" localSheetId="6" hidden="1">30</definedName>
    <definedName name="solver_mrt" localSheetId="2" hidden="1">0.075</definedName>
    <definedName name="solver_mrt" localSheetId="8" hidden="1">0.075</definedName>
    <definedName name="solver_mrt" localSheetId="7" hidden="1">0.075</definedName>
    <definedName name="solver_mrt" localSheetId="6" hidden="1">0.075</definedName>
    <definedName name="solver_msl" localSheetId="2" hidden="1">2</definedName>
    <definedName name="solver_msl" localSheetId="8" hidden="1">2</definedName>
    <definedName name="solver_msl" localSheetId="7" hidden="1">2</definedName>
    <definedName name="solver_msl" localSheetId="6" hidden="1">2</definedName>
    <definedName name="solver_neg" localSheetId="2" hidden="1">2</definedName>
    <definedName name="solver_neg" localSheetId="8" hidden="1">1</definedName>
    <definedName name="solver_neg" localSheetId="7" hidden="1">1</definedName>
    <definedName name="solver_neg" localSheetId="6" hidden="1">1</definedName>
    <definedName name="solver_nod" localSheetId="2" hidden="1">2147483647</definedName>
    <definedName name="solver_nod" localSheetId="8" hidden="1">2147483647</definedName>
    <definedName name="solver_nod" localSheetId="7" hidden="1">2147483647</definedName>
    <definedName name="solver_nod" localSheetId="6" hidden="1">2147483647</definedName>
    <definedName name="solver_num" localSheetId="2" hidden="1">0</definedName>
    <definedName name="solver_num" localSheetId="8" hidden="1">2</definedName>
    <definedName name="solver_num" localSheetId="7" hidden="1">2</definedName>
    <definedName name="solver_num" localSheetId="6" hidden="1">2</definedName>
    <definedName name="solver_nwt" localSheetId="2" hidden="1">1</definedName>
    <definedName name="solver_nwt" localSheetId="8" hidden="1">1</definedName>
    <definedName name="solver_nwt" localSheetId="7" hidden="1">1</definedName>
    <definedName name="solver_nwt" localSheetId="6" hidden="1">1</definedName>
    <definedName name="solver_opt" localSheetId="2" hidden="1">'2.Optimization'!$F$15</definedName>
    <definedName name="solver_opt" localSheetId="8" hidden="1">optipoly!#REF!</definedName>
    <definedName name="solver_opt" localSheetId="7" hidden="1">refpoly!#REF!</definedName>
    <definedName name="solver_opt" localSheetId="6" hidden="1">trap!#REF!</definedName>
    <definedName name="solver_pre" localSheetId="2" hidden="1">0.000001</definedName>
    <definedName name="solver_pre" localSheetId="8" hidden="1">0.000001</definedName>
    <definedName name="solver_pre" localSheetId="7" hidden="1">0.000001</definedName>
    <definedName name="solver_pre" localSheetId="6" hidden="1">0.000001</definedName>
    <definedName name="solver_rbv" localSheetId="2" hidden="1">1</definedName>
    <definedName name="solver_rbv" localSheetId="8" hidden="1">1</definedName>
    <definedName name="solver_rbv" localSheetId="7" hidden="1">1</definedName>
    <definedName name="solver_rbv" localSheetId="6" hidden="1">1</definedName>
    <definedName name="solver_rel1" localSheetId="2" hidden="1">3</definedName>
    <definedName name="solver_rel1" localSheetId="8" hidden="1">1</definedName>
    <definedName name="solver_rel1" localSheetId="7" hidden="1">1</definedName>
    <definedName name="solver_rel1" localSheetId="6" hidden="1">1</definedName>
    <definedName name="solver_rel2" localSheetId="2" hidden="1">3</definedName>
    <definedName name="solver_rel2" localSheetId="8" hidden="1">3</definedName>
    <definedName name="solver_rel2" localSheetId="7" hidden="1">3</definedName>
    <definedName name="solver_rel2" localSheetId="6" hidden="1">3</definedName>
    <definedName name="solver_rhs1" localSheetId="2" hidden="1">0.025</definedName>
    <definedName name="solver_rhs1" localSheetId="8" hidden="1">1</definedName>
    <definedName name="solver_rhs1" localSheetId="7" hidden="1">1</definedName>
    <definedName name="solver_rhs1" localSheetId="6" hidden="1">1</definedName>
    <definedName name="solver_rhs2" localSheetId="2" hidden="1">0.025</definedName>
    <definedName name="solver_rhs2" localSheetId="8" hidden="1">-1</definedName>
    <definedName name="solver_rhs2" localSheetId="7" hidden="1">-1</definedName>
    <definedName name="solver_rhs2" localSheetId="6" hidden="1">-1</definedName>
    <definedName name="solver_rlx" localSheetId="2" hidden="1">2</definedName>
    <definedName name="solver_rlx" localSheetId="8" hidden="1">2</definedName>
    <definedName name="solver_rlx" localSheetId="7" hidden="1">2</definedName>
    <definedName name="solver_rlx" localSheetId="6" hidden="1">2</definedName>
    <definedName name="solver_rsd" localSheetId="2" hidden="1">0</definedName>
    <definedName name="solver_rsd" localSheetId="8" hidden="1">0</definedName>
    <definedName name="solver_rsd" localSheetId="7" hidden="1">0</definedName>
    <definedName name="solver_rsd" localSheetId="6" hidden="1">0</definedName>
    <definedName name="solver_scl" localSheetId="2" hidden="1">1</definedName>
    <definedName name="solver_scl" localSheetId="8" hidden="1">1</definedName>
    <definedName name="solver_scl" localSheetId="7" hidden="1">1</definedName>
    <definedName name="solver_scl" localSheetId="6" hidden="1">1</definedName>
    <definedName name="solver_sho" localSheetId="2" hidden="1">2</definedName>
    <definedName name="solver_sho" localSheetId="8" hidden="1">2</definedName>
    <definedName name="solver_sho" localSheetId="7" hidden="1">2</definedName>
    <definedName name="solver_sho" localSheetId="6" hidden="1">2</definedName>
    <definedName name="solver_ssz" localSheetId="2" hidden="1">100</definedName>
    <definedName name="solver_ssz" localSheetId="8" hidden="1">100</definedName>
    <definedName name="solver_ssz" localSheetId="7" hidden="1">100</definedName>
    <definedName name="solver_ssz" localSheetId="6" hidden="1">100</definedName>
    <definedName name="solver_tim" localSheetId="2" hidden="1">2147483647</definedName>
    <definedName name="solver_tim" localSheetId="8" hidden="1">2147483647</definedName>
    <definedName name="solver_tim" localSheetId="7" hidden="1">2147483647</definedName>
    <definedName name="solver_tim" localSheetId="6" hidden="1">2147483647</definedName>
    <definedName name="solver_tol" localSheetId="2" hidden="1">1</definedName>
    <definedName name="solver_tol" localSheetId="8" hidden="1">0.01</definedName>
    <definedName name="solver_tol" localSheetId="7" hidden="1">0.01</definedName>
    <definedName name="solver_tol" localSheetId="6" hidden="1">0.01</definedName>
    <definedName name="solver_typ" localSheetId="2" hidden="1">2</definedName>
    <definedName name="solver_typ" localSheetId="8" hidden="1">2</definedName>
    <definedName name="solver_typ" localSheetId="7" hidden="1">2</definedName>
    <definedName name="solver_typ" localSheetId="6" hidden="1">2</definedName>
    <definedName name="solver_val" localSheetId="2" hidden="1">0</definedName>
    <definedName name="solver_val" localSheetId="8" hidden="1">0</definedName>
    <definedName name="solver_val" localSheetId="7" hidden="1">0</definedName>
    <definedName name="solver_val" localSheetId="6" hidden="1">0</definedName>
    <definedName name="solver_ver" localSheetId="2" hidden="1">3</definedName>
    <definedName name="solver_ver" localSheetId="8" hidden="1">3</definedName>
    <definedName name="solver_ver" localSheetId="7" hidden="1">3</definedName>
    <definedName name="solver_ver" localSheetId="6" hidden="1">3</definedName>
    <definedName name="tAB">'2.Optimization'!$F$9</definedName>
    <definedName name="time_i">OFFSET(time!$A$2,0,0,n,1)</definedName>
    <definedName name="time_t">OFFSET(time!$C$2,0,0,n,1)</definedName>
    <definedName name="time_x">OFFSET(time!$B$2,0,0,n,1)</definedName>
    <definedName name="trap.dJ">OFFSET(trap!$J$2,0,0,n,1)</definedName>
    <definedName name="trap.fw">OFFSET(trap!$K$2,0,0,n,1)</definedName>
    <definedName name="trap.J">OFFSET(trap!$I$2,0,0,n,1)</definedName>
    <definedName name="trap.q">OFFSET(trap!$D$2,0,0,n,1)</definedName>
    <definedName name="trap.qd1">OFFSET(trap!$E$2,0,0,n,1)</definedName>
    <definedName name="trap.qd2">OFFSET(trap!$F$2,0,0,n,1)</definedName>
    <definedName name="trap.qd3">OFFSET(trap!$G$2,0,0,n,1)</definedName>
    <definedName name="trap.qmod">OFFSET(trap!$H$2,0,0,n,1)</definedName>
    <definedName name="trap.Tacc">OFFSET(trap!$M$2,0,0,n,1)</definedName>
    <definedName name="trap.Tf">OFFSET(trap!$O$2,0,0,n,1)</definedName>
    <definedName name="trap.Tl">OFFSET(trap!$L$2,0,0,n,1)</definedName>
    <definedName name="trap.Tm">OFFSET(trap!$P$2,0,0,n,1)</definedName>
    <definedName name="trap.Tmd1">OFFSET(trap!$Q$2,0,0,n,1)</definedName>
    <definedName name="trap.Tvar">OFFSET(trap!$N$2,0,0,n,1)</definedName>
    <definedName name="ts">'2.Optimization'!$F$10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 a="1"/>
  <c r="K16" i="1" s="1"/>
  <c r="K15" i="1" a="1"/>
  <c r="K15" i="1" s="1"/>
  <c r="K14" i="1" a="1"/>
  <c r="K14" i="1" s="1"/>
  <c r="K13" i="1" a="1"/>
  <c r="K13" i="1" s="1"/>
  <c r="K12" i="1" a="1"/>
  <c r="K12" i="1" s="1"/>
  <c r="K11" i="1" a="1"/>
  <c r="K11" i="1" s="1"/>
  <c r="K10" i="1" a="1"/>
  <c r="K10" i="1" s="1"/>
  <c r="K9" i="1" a="1"/>
  <c r="K9" i="1" s="1"/>
  <c r="J13" i="1" l="1" a="1"/>
  <c r="J13" i="1" s="1"/>
  <c r="J9" i="1" a="1"/>
  <c r="J9" i="1" s="1"/>
  <c r="J11" i="1" a="1"/>
  <c r="J11" i="1" s="1"/>
  <c r="J14" i="1" a="1"/>
  <c r="J14" i="1" s="1"/>
  <c r="J12" i="1" a="1"/>
  <c r="J12" i="1" s="1"/>
  <c r="J10" i="1" a="1"/>
  <c r="J10" i="1" s="1"/>
  <c r="F20" i="1"/>
  <c r="J8" i="2" l="1" a="1"/>
  <c r="J8" i="2" s="1"/>
  <c r="I8" i="2" a="1"/>
  <c r="I8" i="2" l="1"/>
  <c r="K8" i="2" s="1" a="1"/>
  <c r="K8" i="2" s="1"/>
  <c r="F14" i="1"/>
  <c r="A2" i="14" a="1"/>
  <c r="A2" i="14" l="1"/>
  <c r="A2" i="8" s="1" a="1"/>
  <c r="A2" i="8" s="1"/>
  <c r="A3" i="17" l="1" a="1"/>
  <c r="A3" i="17" s="1"/>
  <c r="A2" i="13" a="1"/>
  <c r="A2" i="13" s="1"/>
  <c r="B2" i="14" a="1"/>
  <c r="B2" i="14" s="1"/>
  <c r="D2" i="8" s="1" a="1"/>
  <c r="D2" i="8" s="1"/>
  <c r="A2" i="19" a="1"/>
  <c r="A2" i="19" s="1"/>
  <c r="C2" i="14" a="1"/>
  <c r="C2" i="14" s="1"/>
  <c r="E2" i="8" l="1" a="1"/>
  <c r="E2" i="8" s="1"/>
  <c r="F19" i="1" s="1"/>
  <c r="H2" i="8" a="1"/>
  <c r="H2" i="8" s="1"/>
  <c r="G2" i="8" a="1"/>
  <c r="G2" i="8" s="1"/>
  <c r="G13" i="16" s="1" a="1"/>
  <c r="G13" i="16" s="1"/>
  <c r="F2" i="8" a="1"/>
  <c r="F2" i="8" s="1"/>
  <c r="R3" i="17" s="1" a="1"/>
  <c r="R3" i="17" s="1"/>
  <c r="G2" i="19" a="1"/>
  <c r="G2" i="19" s="1"/>
  <c r="G23" i="1" s="1" a="1"/>
  <c r="G23" i="1" s="1"/>
  <c r="B2" i="8" a="1"/>
  <c r="B2" i="8" s="1"/>
  <c r="E2" i="13" a="1"/>
  <c r="E2" i="13" s="1"/>
  <c r="E3" i="17" s="1" a="1"/>
  <c r="E3" i="17" s="1"/>
  <c r="B2" i="19" a="1"/>
  <c r="B2" i="19" s="1"/>
  <c r="D2" i="19" a="1"/>
  <c r="D2" i="19" s="1"/>
  <c r="H2" i="19" s="1" a="1"/>
  <c r="H2" i="19" s="1"/>
  <c r="K2" i="19" s="1" a="1"/>
  <c r="K2" i="19" s="1"/>
  <c r="O2" i="19" s="1" a="1"/>
  <c r="O2" i="19" s="1"/>
  <c r="D2" i="13" a="1"/>
  <c r="D2" i="13" s="1"/>
  <c r="D3" i="17" s="1" a="1"/>
  <c r="D3" i="17" s="1"/>
  <c r="F2" i="19" a="1"/>
  <c r="F2" i="19" s="1"/>
  <c r="L3" i="17" s="1" a="1"/>
  <c r="L3" i="17" s="1"/>
  <c r="F2" i="13" a="1"/>
  <c r="F2" i="13" s="1"/>
  <c r="E2" i="19" a="1"/>
  <c r="E2" i="19" s="1"/>
  <c r="K3" i="17" s="1" a="1"/>
  <c r="K3" i="17" s="1"/>
  <c r="B2" i="13" a="1"/>
  <c r="B2" i="13" s="1"/>
  <c r="C2" i="19" a="1"/>
  <c r="C2" i="19" s="1"/>
  <c r="B3" i="17" a="1"/>
  <c r="B3" i="17" s="1"/>
  <c r="C2" i="13" a="1"/>
  <c r="C2" i="13" s="1"/>
  <c r="C2" i="8" a="1"/>
  <c r="C2" i="8" s="1"/>
  <c r="G6" i="16" l="1" a="1"/>
  <c r="G6" i="16" s="1"/>
  <c r="M3" i="17" a="1"/>
  <c r="M3" i="17" s="1"/>
  <c r="J3" i="17" a="1"/>
  <c r="J3" i="17" s="1"/>
  <c r="H2" i="13" a="1"/>
  <c r="H2" i="13" s="1"/>
  <c r="K2" i="13" s="1" a="1"/>
  <c r="K2" i="13" s="1"/>
  <c r="O2" i="13" s="1" a="1"/>
  <c r="O2" i="13" s="1"/>
  <c r="P3" i="17" a="1"/>
  <c r="P3" i="17" s="1"/>
  <c r="G24" i="1" a="1"/>
  <c r="G24" i="1" s="1"/>
  <c r="G25" i="1" s="1"/>
  <c r="Q3" i="17" a="1"/>
  <c r="Q3" i="17" s="1"/>
  <c r="S3" i="17" a="1"/>
  <c r="S3" i="17" s="1"/>
  <c r="F17" i="1" a="1"/>
  <c r="F17" i="1" s="1"/>
  <c r="G7" i="16" a="1"/>
  <c r="G7" i="16" s="1"/>
  <c r="I2" i="8" a="1"/>
  <c r="I2" i="8" s="1"/>
  <c r="J2" i="8" a="1"/>
  <c r="J2" i="8" s="1"/>
  <c r="J2" i="19" a="1"/>
  <c r="J2" i="19" s="1"/>
  <c r="N2" i="19" s="1" a="1"/>
  <c r="N2" i="19" s="1"/>
  <c r="I2" i="19" a="1"/>
  <c r="I2" i="19" s="1"/>
  <c r="M2" i="19" s="1" a="1"/>
  <c r="M2" i="19" s="1"/>
  <c r="L2" i="19" a="1"/>
  <c r="L2" i="19" s="1"/>
  <c r="L2" i="8" a="1"/>
  <c r="L2" i="8" s="1"/>
  <c r="K2" i="8" a="1"/>
  <c r="K2" i="8" s="1"/>
  <c r="G2" i="13" a="1"/>
  <c r="G2" i="13" s="1"/>
  <c r="G12" i="16" s="1" a="1"/>
  <c r="G12" i="16" s="1"/>
  <c r="G14" i="16" s="1"/>
  <c r="F3" i="17" a="1"/>
  <c r="F3" i="17" s="1"/>
  <c r="G8" i="16" l="1"/>
  <c r="J2" i="13" a="1"/>
  <c r="J2" i="13" s="1"/>
  <c r="N2" i="13" s="1" a="1"/>
  <c r="N2" i="13" s="1"/>
  <c r="I2" i="13" a="1"/>
  <c r="I2" i="13" s="1"/>
  <c r="M2" i="13" s="1" a="1"/>
  <c r="M2" i="13" s="1"/>
  <c r="L2" i="13" a="1"/>
  <c r="L2" i="13" s="1"/>
  <c r="P2" i="19" a="1"/>
  <c r="P2" i="19" s="1"/>
  <c r="O2" i="8" a="1"/>
  <c r="O2" i="8" s="1"/>
  <c r="N2" i="8" a="1"/>
  <c r="N2" i="8" s="1"/>
  <c r="M2" i="8" a="1"/>
  <c r="M2" i="8" s="1"/>
  <c r="G3" i="17" a="1"/>
  <c r="G3" i="17" s="1"/>
  <c r="P2" i="13" l="1" a="1"/>
  <c r="P2" i="13" s="1"/>
  <c r="Q2" i="13" s="1" a="1"/>
  <c r="Q2" i="13" s="1"/>
  <c r="E23" i="1" a="1"/>
  <c r="E23" i="1" s="1"/>
  <c r="F23" i="1" a="1"/>
  <c r="F23" i="1" s="1"/>
  <c r="F6" i="16" a="1"/>
  <c r="F6" i="16" s="1"/>
  <c r="N3" i="17" a="1"/>
  <c r="N3" i="17" s="1"/>
  <c r="E6" i="16" a="1"/>
  <c r="E6" i="16" s="1"/>
  <c r="Q2" i="19" a="1"/>
  <c r="Q2" i="19" s="1"/>
  <c r="P2" i="8" a="1"/>
  <c r="P2" i="8" s="1"/>
  <c r="E12" i="16" l="1" a="1"/>
  <c r="E12" i="16" s="1"/>
  <c r="F12" i="16" a="1"/>
  <c r="F12" i="16" s="1"/>
  <c r="F24" i="1" a="1"/>
  <c r="F24" i="1" s="1"/>
  <c r="F25" i="1" s="1"/>
  <c r="E24" i="1" a="1"/>
  <c r="E24" i="1" s="1"/>
  <c r="E25" i="1" s="1"/>
  <c r="F13" i="16" a="1"/>
  <c r="F13" i="16" s="1"/>
  <c r="E13" i="16" a="1"/>
  <c r="E13" i="16" s="1"/>
  <c r="F7" i="16" a="1"/>
  <c r="F7" i="16" s="1"/>
  <c r="F8" i="16" s="1"/>
  <c r="T3" i="17" a="1"/>
  <c r="T3" i="17" s="1"/>
  <c r="E7" i="16" a="1"/>
  <c r="E7" i="16" s="1"/>
  <c r="E8" i="16" s="1"/>
  <c r="Q2" i="8" a="1"/>
  <c r="Q2" i="8" s="1"/>
  <c r="F18" i="1" s="1" a="1"/>
  <c r="F18" i="1" s="1"/>
  <c r="H3" i="17" a="1"/>
  <c r="H3" i="17" s="1"/>
  <c r="F15" i="1" a="1"/>
  <c r="F15" i="1" s="1"/>
  <c r="F16" i="1" a="1"/>
  <c r="F16" i="1" s="1"/>
  <c r="F14" i="16" l="1"/>
  <c r="E14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<sst xmlns="http://schemas.openxmlformats.org/spreadsheetml/2006/main" count="226" uniqueCount="156">
  <si>
    <t>README</t>
  </si>
  <si>
    <t>The Motion Profile Optimization (MoPO) tool is an Excel-tool for optimizing point-to-point motion profiles of 1-DOF systems. The tool is part of the TETRA-project OptiMotion that focuses on optimization of machine design by virtual engineering.</t>
  </si>
  <si>
    <t>WHAT CAN THE TOOL BE USED FOR?</t>
  </si>
  <si>
    <t>Examples</t>
  </si>
  <si>
    <t>• Find energy optimal motion profile to reduce energy costs.</t>
  </si>
  <si>
    <t>• Reduce maximum torque to allow for a smaller motor.</t>
  </si>
  <si>
    <t>• Increase productivity by minimizing the motion time.</t>
  </si>
  <si>
    <t>• Generate reference motion profiles for applications with unknown system properties.</t>
  </si>
  <si>
    <t>• Increase controller performance by creating camming tables for feedforward structures.</t>
  </si>
  <si>
    <t>Details</t>
  </si>
  <si>
    <t>The MoPO-tool finds an optimal motion profile for a one Degree-of-Freedom (1-DOF) system. This motion profile is a polynomial (expressed as coefficients) that moves the dynamical system between two pre-defined points (A/B). The motion profile will minimize some cost function, which is typically energy (Trms), performance (Δt) or vibration (jerk) related. The motion profile will also satisfy a set of user-defined constraints.</t>
  </si>
  <si>
    <t>FEATURES</t>
  </si>
  <si>
    <t>• Easy commissioning - No dependencies outside Excel.</t>
  </si>
  <si>
    <t>• No VBA-macros - Ensures compability and easy understanding.</t>
  </si>
  <si>
    <t>• Various optimization objectives - Supports single and multi-objective optimizations.</t>
  </si>
  <si>
    <r>
      <t>• Integrated constraints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- Both motion profile and process related constraints are supported.</t>
    </r>
  </si>
  <si>
    <t>• Rapidly switch solver - Choose from multiple optimization algorithms.</t>
  </si>
  <si>
    <t>CONFIGURATION</t>
  </si>
  <si>
    <t>To optimise the motion profiles, it is necessary to enable the built-in Excel 'Solver' add-in:</t>
  </si>
  <si>
    <r>
      <t>File &gt; Options &gt; Add-ins &gt; Manage: Excel Add-ins &gt; Go &gt;</t>
    </r>
    <r>
      <rPr>
        <sz val="10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☑</t>
    </r>
    <r>
      <rPr>
        <sz val="11"/>
        <color theme="1"/>
        <rFont val="Calibri"/>
        <family val="2"/>
        <scheme val="minor"/>
      </rPr>
      <t xml:space="preserve"> Solver Add-in &gt; OK</t>
    </r>
  </si>
  <si>
    <t>Link</t>
  </si>
  <si>
    <t>• 2.Optimization - Use the Solver Add-in to optimize the coefficients of a polynomial motion profile.</t>
  </si>
  <si>
    <t>• 3.Savings - Get an overview of the savings compared to a reference polynomial and trapezoidal motion profile.</t>
  </si>
  <si>
    <t>DOCUMENTATION</t>
  </si>
  <si>
    <t>PLANNED UPDATES</t>
  </si>
  <si>
    <t>The following new features/updates are planned and under development:</t>
  </si>
  <si>
    <t>• Integrate rest time + back and forth movement.</t>
  </si>
  <si>
    <t>• Allow to switch between position units such as [rad], [°] and [m].</t>
  </si>
  <si>
    <t>• Include piecewise (i.e. spline) motion profiles.</t>
  </si>
  <si>
    <t>CONTRIBUTE</t>
  </si>
  <si>
    <t>Contributions are welcome! Feel free to reach out if you want to report bugs or implement new features.</t>
  </si>
  <si>
    <t>Contact:</t>
  </si>
  <si>
    <t>nick.vanoosterwyck@uantwerp.be</t>
  </si>
  <si>
    <t>REFERENCES</t>
  </si>
  <si>
    <t>System Property Data</t>
  </si>
  <si>
    <t>Adjust only the cells in grey!</t>
  </si>
  <si>
    <t xml:space="preserve">Load Torque </t>
  </si>
  <si>
    <t xml:space="preserve">Friction </t>
  </si>
  <si>
    <t>Inertia</t>
  </si>
  <si>
    <t>Inertiavariation</t>
  </si>
  <si>
    <t>θ
[rad]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</si>
  <si>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 xml:space="preserve">l
</t>
    </r>
    <r>
      <rPr>
        <b/>
        <sz val="11"/>
        <color theme="1"/>
        <rFont val="Calibri"/>
        <family val="2"/>
        <scheme val="minor"/>
      </rPr>
      <t>[Nm]</t>
    </r>
  </si>
  <si>
    <t>θ [rad]</t>
  </si>
  <si>
    <r>
      <t>μ</t>
    </r>
    <r>
      <rPr>
        <b/>
        <vertAlign val="subscript"/>
        <sz val="11"/>
        <color theme="5"/>
        <rFont val="Calibri"/>
        <family val="2"/>
        <scheme val="minor"/>
      </rPr>
      <t>k</t>
    </r>
    <r>
      <rPr>
        <b/>
        <sz val="11"/>
        <color theme="5"/>
        <rFont val="Calibri"/>
        <family val="2"/>
        <scheme val="minor"/>
      </rPr>
      <t xml:space="preserve">
[Nms/rad]</t>
    </r>
  </si>
  <si>
    <t>J
[kgm²]</t>
  </si>
  <si>
    <t>i</t>
  </si>
  <si>
    <t>dJ
[kgm²/rad]</t>
  </si>
  <si>
    <t>Polynomial Optimization</t>
  </si>
  <si>
    <t>INPUTS</t>
  </si>
  <si>
    <t>POLYNOMIAL</t>
  </si>
  <si>
    <t>Start position</t>
  </si>
  <si>
    <r>
      <t>θ</t>
    </r>
    <r>
      <rPr>
        <vertAlign val="subscript"/>
        <sz val="11"/>
        <color theme="1"/>
        <rFont val="Calibri"/>
        <family val="2"/>
        <scheme val="minor"/>
      </rPr>
      <t>A</t>
    </r>
  </si>
  <si>
    <t>[rad]</t>
  </si>
  <si>
    <t>COEFFICIENTS</t>
  </si>
  <si>
    <t>End position</t>
  </si>
  <si>
    <r>
      <t>θ</t>
    </r>
    <r>
      <rPr>
        <vertAlign val="subscript"/>
        <sz val="11"/>
        <color theme="1"/>
        <rFont val="Calibri"/>
        <family val="2"/>
        <scheme val="minor"/>
      </rPr>
      <t>B</t>
    </r>
  </si>
  <si>
    <r>
      <t>j</t>
    </r>
    <r>
      <rPr>
        <vertAlign val="subscript"/>
        <sz val="11"/>
        <color theme="1"/>
        <rFont val="Calibri"/>
        <family val="2"/>
        <scheme val="minor"/>
      </rPr>
      <t>A/B</t>
    </r>
    <r>
      <rPr>
        <sz val="11"/>
        <color theme="1"/>
        <rFont val="Calibri"/>
        <family val="2"/>
        <scheme val="minor"/>
      </rPr>
      <t>≠0</t>
    </r>
  </si>
  <si>
    <t>Motion time</t>
  </si>
  <si>
    <t>Δt</t>
  </si>
  <si>
    <t>[s]</t>
  </si>
  <si>
    <t>p0</t>
  </si>
  <si>
    <t>Sample time</t>
  </si>
  <si>
    <r>
      <t>t</t>
    </r>
    <r>
      <rPr>
        <vertAlign val="subscript"/>
        <sz val="11"/>
        <color theme="1"/>
        <rFont val="Calibri"/>
        <family val="2"/>
        <scheme val="minor"/>
      </rPr>
      <t>s</t>
    </r>
  </si>
  <si>
    <t>p1</t>
  </si>
  <si>
    <t>Jerk=0 in A/B</t>
  </si>
  <si>
    <r>
      <t>j</t>
    </r>
    <r>
      <rPr>
        <vertAlign val="subscript"/>
        <sz val="11"/>
        <color theme="1"/>
        <rFont val="Calibri"/>
        <family val="2"/>
        <scheme val="minor"/>
      </rPr>
      <t>A/B</t>
    </r>
    <r>
      <rPr>
        <sz val="11"/>
        <color theme="1"/>
        <rFont val="Calibri"/>
        <family val="2"/>
        <scheme val="minor"/>
      </rPr>
      <t>=0</t>
    </r>
  </si>
  <si>
    <t>[0/1]</t>
  </si>
  <si>
    <t>p2</t>
  </si>
  <si>
    <t>p3</t>
  </si>
  <si>
    <t>RESPONSES OPTI. POLYNOMIAL</t>
  </si>
  <si>
    <t>p4</t>
  </si>
  <si>
    <t># samples</t>
  </si>
  <si>
    <t>n</t>
  </si>
  <si>
    <t>p5</t>
  </si>
  <si>
    <t>RMS torque</t>
  </si>
  <si>
    <r>
      <t>T</t>
    </r>
    <r>
      <rPr>
        <vertAlign val="subscript"/>
        <sz val="11"/>
        <color theme="1"/>
        <rFont val="Calibri"/>
        <family val="2"/>
        <scheme val="minor"/>
      </rPr>
      <t>rms</t>
    </r>
  </si>
  <si>
    <t>[Nm]</t>
  </si>
  <si>
    <t>p6</t>
  </si>
  <si>
    <t>Max. torque</t>
  </si>
  <si>
    <r>
      <t>T</t>
    </r>
    <r>
      <rPr>
        <vertAlign val="subscript"/>
        <sz val="11"/>
        <color theme="1"/>
        <rFont val="Calibri"/>
        <family val="2"/>
        <scheme val="minor"/>
      </rPr>
      <t>max</t>
    </r>
  </si>
  <si>
    <t>p7</t>
  </si>
  <si>
    <t>Max. jerk</t>
  </si>
  <si>
    <r>
      <t>j</t>
    </r>
    <r>
      <rPr>
        <vertAlign val="subscript"/>
        <sz val="11"/>
        <color theme="1"/>
        <rFont val="Calibri"/>
        <family val="2"/>
        <scheme val="minor"/>
      </rPr>
      <t>max</t>
    </r>
  </si>
  <si>
    <r>
      <t>[rad/s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</si>
  <si>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t>p8</t>
  </si>
  <si>
    <t>Max. torque rate</t>
  </si>
  <si>
    <r>
      <t>dT</t>
    </r>
    <r>
      <rPr>
        <vertAlign val="subscript"/>
        <sz val="11"/>
        <color theme="1"/>
        <rFont val="Calibri"/>
        <family val="2"/>
        <scheme val="minor"/>
      </rPr>
      <t>max</t>
    </r>
  </si>
  <si>
    <t>[Nm/s]</t>
  </si>
  <si>
    <t>p9</t>
  </si>
  <si>
    <t>Monotonic</t>
  </si>
  <si>
    <t>p10</t>
  </si>
  <si>
    <t>p11</t>
  </si>
  <si>
    <t>p12</t>
  </si>
  <si>
    <t>SAVINGS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</si>
  <si>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max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</si>
  <si>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rms</t>
    </r>
  </si>
  <si>
    <r>
      <t>j</t>
    </r>
    <r>
      <rPr>
        <b/>
        <vertAlign val="subscript"/>
        <sz val="11"/>
        <color theme="1"/>
        <rFont val="Calibri"/>
        <family val="2"/>
        <scheme val="minor"/>
      </rPr>
      <t>max</t>
    </r>
  </si>
  <si>
    <t>p13</t>
  </si>
  <si>
    <t>reference</t>
  </si>
  <si>
    <t>optimized</t>
  </si>
  <si>
    <t>savings</t>
  </si>
  <si>
    <t>Savings Potential</t>
  </si>
  <si>
    <t>COMPARED TO REFERENCE POLYNOMIAL</t>
  </si>
  <si>
    <t>Tmax</t>
  </si>
  <si>
    <t>Trms</t>
  </si>
  <si>
    <t>Max jerk</t>
  </si>
  <si>
    <t>reference
polynomial</t>
  </si>
  <si>
    <t>optimised
polynomial</t>
  </si>
  <si>
    <t>COMPARED TO TRAPEZOIDAL</t>
  </si>
  <si>
    <t>trapezoidal</t>
  </si>
  <si>
    <t>Time</t>
  </si>
  <si>
    <t>Trapezoidal</t>
  </si>
  <si>
    <t>Reference polynomial</t>
  </si>
  <si>
    <t>Optimized polynomial</t>
  </si>
  <si>
    <t>sample
i</t>
  </si>
  <si>
    <t>time
t [s]</t>
  </si>
  <si>
    <t>position
θ [rad]</t>
  </si>
  <si>
    <t>speed
ω [rad/s]</t>
  </si>
  <si>
    <t>acceleration
α [rad/s²]</t>
  </si>
  <si>
    <r>
      <t>jerk
j [rad/s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</si>
  <si>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motor
 torque
T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[Nm]</t>
    </r>
  </si>
  <si>
    <t>time_res
x [s]</t>
  </si>
  <si>
    <t>position
q [rad]</t>
  </si>
  <si>
    <t>speed
qd1 [rad/s]</t>
  </si>
  <si>
    <t>acceleration
qd2 [rad/s²]</t>
  </si>
  <si>
    <r>
      <t>jerk
qd3 [rad/s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</si>
  <si>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position_mod
qmod [rad]</t>
  </si>
  <si>
    <t>J
[Nm]</t>
  </si>
  <si>
    <t>dJ/dθ
[Nm]</t>
  </si>
  <si>
    <t>fw
[Nms/rad]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</si>
  <si>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 xml:space="preserve">
[Nm]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</si>
  <si>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acc</t>
    </r>
    <r>
      <rPr>
        <b/>
        <sz val="11"/>
        <color theme="1"/>
        <rFont val="Calibri"/>
        <family val="2"/>
        <scheme val="minor"/>
      </rPr>
      <t xml:space="preserve">
[Nm]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</si>
  <si>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var</t>
    </r>
    <r>
      <rPr>
        <b/>
        <sz val="11"/>
        <color theme="1"/>
        <rFont val="Calibri"/>
        <family val="2"/>
        <scheme val="minor"/>
      </rPr>
      <t xml:space="preserve">
[Nm]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</si>
  <si>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 xml:space="preserve">
[Nm]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</si>
  <si>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
[Nm]</t>
    </r>
  </si>
  <si>
    <t>Tmd1
[Nm/s]</t>
  </si>
  <si>
    <t>REQUIREMENTS</t>
  </si>
  <si>
    <t xml:space="preserve">The MoPo tool uses Dynamic Arrays which are only available in Excel 365 and Excel 2021 or later versions. Excel 2016 </t>
  </si>
  <si>
    <t>Info:</t>
  </si>
  <si>
    <t>and Excel 2019 do not offer dynamic array formula support and are therefore not compatible.</t>
  </si>
  <si>
    <t>[1] N. Van Oosterwyck et al., CAD Based Trajectory Optimization of PTP Motions Using Chebyshev Polynomials, in 2020 IEEE/ASME International Conference on Advanced Intelligent Mechatronics (AIM) (IEEE, Boston, 2020), pp. 403–408.</t>
  </si>
  <si>
    <t>[2] N. Van Oosterwyck et al., CAD Enabled Trajectory Optimization and Accurate Motion Control for Repetitive Tasks., in IEEE International Conference on Control and Automation, ICCA, (IEEE, Edinburgh, 2019), pp. 387–392.</t>
  </si>
  <si>
    <t>p14</t>
  </si>
  <si>
    <t>p15</t>
  </si>
  <si>
    <t>p16</t>
  </si>
  <si>
    <t>p17</t>
  </si>
  <si>
    <t>p18</t>
  </si>
  <si>
    <t>p19</t>
  </si>
  <si>
    <t>The MoPO-tool is designed specifically to optimize motion profiles and can be used for various applications:</t>
  </si>
  <si>
    <t>• 1.Properties - Provide (position-dependent) system property data, which is derived from the CAD motion simulations.</t>
  </si>
  <si>
    <t>SHEETS</t>
  </si>
  <si>
    <t>• 4.Output - Get discrete data of position, speed, acceleration, jerk and motor torque of the different motion profiles.</t>
  </si>
  <si>
    <t>Most steps of the optimization should be self-explanatory. More details about the underlying mathematical operations</t>
  </si>
  <si>
    <t>supporting Excel-sheets.</t>
  </si>
  <si>
    <t>can be found in [1] and [2]. Specific information about linear interpolation and derivatives in Excel is documented in the</t>
  </si>
  <si>
    <t>© 2022 University of Antwerp &amp; Ghent University campus Kortrijk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</si>
</sst>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E+0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color theme="1"/>
      <name val="Arial Unicode MS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vertAlign val="subscript"/>
      <sz val="11"/>
      <color theme="5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7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center"/>
    </xf>
    <xf numFmtId="0" fontId="9" fillId="0" borderId="0" xfId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166" fontId="0" fillId="3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/>
    </xf>
    <xf numFmtId="0" fontId="1" fillId="2" borderId="0" xfId="0" applyFont="1" applyFill="1"/>
    <xf numFmtId="0" fontId="0" fillId="2" borderId="0" xfId="0" applyFill="1" applyAlignment="1">
      <alignment vertical="center"/>
    </xf>
    <xf numFmtId="0" fontId="9" fillId="2" borderId="0" xfId="1" applyFill="1"/>
    <xf numFmtId="0" fontId="9" fillId="2" borderId="0" xfId="1" applyFill="1" applyAlignment="1">
      <alignment vertical="center"/>
    </xf>
    <xf numFmtId="2" fontId="1" fillId="0" borderId="0" xfId="0" applyNumberFormat="1" applyFont="1"/>
    <xf numFmtId="166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 wrapText="1"/>
    </xf>
    <xf numFmtId="11" fontId="0" fillId="0" borderId="0" xfId="0" applyNumberFormat="1"/>
    <xf numFmtId="1" fontId="0" fillId="0" borderId="0" xfId="0" applyNumberFormat="1" applyAlignment="1">
      <alignment horizontal="center"/>
    </xf>
    <xf numFmtId="0" fontId="17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4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left" vertical="center"/>
    </xf>
    <xf numFmtId="2" fontId="20" fillId="7" borderId="0" xfId="0" applyNumberFormat="1" applyFont="1" applyFill="1" applyAlignment="1">
      <alignment horizontal="center" vertical="center"/>
    </xf>
    <xf numFmtId="167" fontId="20" fillId="7" borderId="0" xfId="0" applyNumberFormat="1" applyFont="1" applyFill="1" applyAlignment="1">
      <alignment horizontal="center" vertical="center"/>
    </xf>
    <xf numFmtId="2" fontId="20" fillId="5" borderId="0" xfId="0" applyNumberFormat="1" applyFont="1" applyFill="1" applyAlignment="1">
      <alignment horizontal="center" vertical="center"/>
    </xf>
    <xf numFmtId="167" fontId="20" fillId="5" borderId="0" xfId="0" applyNumberFormat="1" applyFont="1" applyFill="1" applyAlignment="1">
      <alignment horizontal="center" vertical="center"/>
    </xf>
    <xf numFmtId="2" fontId="20" fillId="6" borderId="0" xfId="0" applyNumberFormat="1" applyFont="1" applyFill="1" applyAlignment="1">
      <alignment horizontal="center" vertical="center"/>
    </xf>
    <xf numFmtId="167" fontId="20" fillId="6" borderId="0" xfId="0" applyNumberFormat="1" applyFon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/>
    <xf numFmtId="0" fontId="1" fillId="0" borderId="0" xfId="0" applyFont="1" applyAlignment="1"/>
    <xf numFmtId="2" fontId="0" fillId="0" borderId="0" xfId="0" applyNumberFormat="1" applyAlignment="1"/>
    <xf numFmtId="2" fontId="0" fillId="3" borderId="0" xfId="0" applyNumberFormat="1" applyFill="1" applyAlignment="1"/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8">
    <dxf>
      <font>
        <color theme="1"/>
      </font>
      <fill>
        <patternFill>
          <bgColor theme="0" tint="-0.1499679555650502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4663341645885"/>
          <c:y val="5.0925925925925923E-2"/>
          <c:w val="0.76576357662274763"/>
          <c:h val="0.78395282186948856"/>
        </c:manualLayout>
      </c:layout>
      <c:scatterChart>
        <c:scatterStyle val="lineMarker"/>
        <c:varyColors val="0"/>
        <c:ser>
          <c:idx val="0"/>
          <c:order val="0"/>
          <c:tx>
            <c:v>inertia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'1.Properties'!$G$8:$G$3608</c:f>
              <c:numCache>
                <c:formatCode>General</c:formatCode>
                <c:ptCount val="3601"/>
                <c:pt idx="0">
                  <c:v>0</c:v>
                </c:pt>
                <c:pt idx="1">
                  <c:v>1.7453292519943296E-3</c:v>
                </c:pt>
                <c:pt idx="2">
                  <c:v>3.4906585039886592E-3</c:v>
                </c:pt>
                <c:pt idx="3">
                  <c:v>5.2359877559829881E-3</c:v>
                </c:pt>
                <c:pt idx="4">
                  <c:v>6.9813170079773184E-3</c:v>
                </c:pt>
                <c:pt idx="5">
                  <c:v>8.7266462599716477E-3</c:v>
                </c:pt>
                <c:pt idx="6">
                  <c:v>1.0471975511965976E-2</c:v>
                </c:pt>
                <c:pt idx="7">
                  <c:v>1.2217304763960306E-2</c:v>
                </c:pt>
                <c:pt idx="8">
                  <c:v>1.3962634015954637E-2</c:v>
                </c:pt>
                <c:pt idx="9">
                  <c:v>1.5707963267948963E-2</c:v>
                </c:pt>
                <c:pt idx="10">
                  <c:v>1.7453292519943295E-2</c:v>
                </c:pt>
                <c:pt idx="11">
                  <c:v>1.9198621771937627E-2</c:v>
                </c:pt>
                <c:pt idx="12">
                  <c:v>2.0943951023931952E-2</c:v>
                </c:pt>
                <c:pt idx="13">
                  <c:v>2.2689280275926284E-2</c:v>
                </c:pt>
                <c:pt idx="14">
                  <c:v>2.4434609527920613E-2</c:v>
                </c:pt>
                <c:pt idx="15">
                  <c:v>2.6179938779914941E-2</c:v>
                </c:pt>
                <c:pt idx="16">
                  <c:v>2.7925268031909273E-2</c:v>
                </c:pt>
                <c:pt idx="17">
                  <c:v>2.9670597283903605E-2</c:v>
                </c:pt>
                <c:pt idx="18">
                  <c:v>3.1415926535897927E-2</c:v>
                </c:pt>
                <c:pt idx="19">
                  <c:v>3.3161255787892259E-2</c:v>
                </c:pt>
                <c:pt idx="20">
                  <c:v>3.4906585039886591E-2</c:v>
                </c:pt>
                <c:pt idx="21">
                  <c:v>3.6651914291880923E-2</c:v>
                </c:pt>
                <c:pt idx="22">
                  <c:v>3.8397243543875255E-2</c:v>
                </c:pt>
                <c:pt idx="23">
                  <c:v>4.0142572795869587E-2</c:v>
                </c:pt>
                <c:pt idx="24">
                  <c:v>4.1887902047863905E-2</c:v>
                </c:pt>
                <c:pt idx="25">
                  <c:v>4.3633231299858237E-2</c:v>
                </c:pt>
                <c:pt idx="26">
                  <c:v>4.5378560551852569E-2</c:v>
                </c:pt>
                <c:pt idx="27">
                  <c:v>4.7123889803846894E-2</c:v>
                </c:pt>
                <c:pt idx="28">
                  <c:v>4.8869219055841226E-2</c:v>
                </c:pt>
                <c:pt idx="29">
                  <c:v>5.0614548307835558E-2</c:v>
                </c:pt>
                <c:pt idx="30">
                  <c:v>5.2359877559829883E-2</c:v>
                </c:pt>
                <c:pt idx="31">
                  <c:v>5.4105206811824215E-2</c:v>
                </c:pt>
                <c:pt idx="32">
                  <c:v>5.5850536063818547E-2</c:v>
                </c:pt>
                <c:pt idx="33">
                  <c:v>5.7595865315812872E-2</c:v>
                </c:pt>
                <c:pt idx="34">
                  <c:v>5.9341194567807211E-2</c:v>
                </c:pt>
                <c:pt idx="35">
                  <c:v>6.1086523819801536E-2</c:v>
                </c:pt>
                <c:pt idx="36">
                  <c:v>6.2831853071795854E-2</c:v>
                </c:pt>
                <c:pt idx="37">
                  <c:v>6.4577182323790186E-2</c:v>
                </c:pt>
                <c:pt idx="38">
                  <c:v>6.6322511575784518E-2</c:v>
                </c:pt>
                <c:pt idx="39">
                  <c:v>6.8067840827778864E-2</c:v>
                </c:pt>
                <c:pt idx="40">
                  <c:v>6.9813170079773182E-2</c:v>
                </c:pt>
                <c:pt idx="41">
                  <c:v>7.15584993317675E-2</c:v>
                </c:pt>
                <c:pt idx="42">
                  <c:v>7.3303828583761846E-2</c:v>
                </c:pt>
                <c:pt idx="43">
                  <c:v>7.5049157835756164E-2</c:v>
                </c:pt>
                <c:pt idx="44">
                  <c:v>7.679448708775051E-2</c:v>
                </c:pt>
                <c:pt idx="45">
                  <c:v>7.8539816339744828E-2</c:v>
                </c:pt>
                <c:pt idx="46">
                  <c:v>8.0285145591739174E-2</c:v>
                </c:pt>
                <c:pt idx="47">
                  <c:v>8.2030474843733478E-2</c:v>
                </c:pt>
                <c:pt idx="48">
                  <c:v>8.377580409572781E-2</c:v>
                </c:pt>
                <c:pt idx="49">
                  <c:v>8.5521133347722156E-2</c:v>
                </c:pt>
                <c:pt idx="50">
                  <c:v>8.7266462599716474E-2</c:v>
                </c:pt>
                <c:pt idx="51">
                  <c:v>8.9011791851710792E-2</c:v>
                </c:pt>
                <c:pt idx="52">
                  <c:v>9.0757121103705138E-2</c:v>
                </c:pt>
                <c:pt idx="53">
                  <c:v>9.250245035569947E-2</c:v>
                </c:pt>
                <c:pt idx="54">
                  <c:v>9.4247779607693788E-2</c:v>
                </c:pt>
                <c:pt idx="55">
                  <c:v>9.599310885968812E-2</c:v>
                </c:pt>
                <c:pt idx="56">
                  <c:v>9.7738438111682452E-2</c:v>
                </c:pt>
                <c:pt idx="57">
                  <c:v>9.948376736367677E-2</c:v>
                </c:pt>
                <c:pt idx="58">
                  <c:v>0.10122909661567112</c:v>
                </c:pt>
                <c:pt idx="59">
                  <c:v>0.10297442586766543</c:v>
                </c:pt>
                <c:pt idx="60">
                  <c:v>0.10471975511965977</c:v>
                </c:pt>
                <c:pt idx="61">
                  <c:v>0.10646508437165408</c:v>
                </c:pt>
                <c:pt idx="62">
                  <c:v>0.10821041362364843</c:v>
                </c:pt>
                <c:pt idx="63">
                  <c:v>0.10995574287564275</c:v>
                </c:pt>
                <c:pt idx="64">
                  <c:v>0.11170107212763709</c:v>
                </c:pt>
                <c:pt idx="65">
                  <c:v>0.11344640137963143</c:v>
                </c:pt>
                <c:pt idx="66">
                  <c:v>0.11519173063162574</c:v>
                </c:pt>
                <c:pt idx="67">
                  <c:v>0.11693705988362009</c:v>
                </c:pt>
                <c:pt idx="68">
                  <c:v>0.11868238913561442</c:v>
                </c:pt>
                <c:pt idx="69">
                  <c:v>0.12042771838760873</c:v>
                </c:pt>
                <c:pt idx="70">
                  <c:v>0.12217304763960307</c:v>
                </c:pt>
                <c:pt idx="71">
                  <c:v>0.12391837689159739</c:v>
                </c:pt>
                <c:pt idx="72">
                  <c:v>0.12566370614359171</c:v>
                </c:pt>
                <c:pt idx="73">
                  <c:v>0.12740903539558604</c:v>
                </c:pt>
                <c:pt idx="74">
                  <c:v>0.12915436464758037</c:v>
                </c:pt>
                <c:pt idx="75">
                  <c:v>0.1308996938995747</c:v>
                </c:pt>
                <c:pt idx="76">
                  <c:v>0.13264502315156904</c:v>
                </c:pt>
                <c:pt idx="77">
                  <c:v>0.1343903524035634</c:v>
                </c:pt>
                <c:pt idx="78">
                  <c:v>0.13613568165555773</c:v>
                </c:pt>
                <c:pt idx="79">
                  <c:v>0.13788101090755203</c:v>
                </c:pt>
                <c:pt idx="80">
                  <c:v>0.13962634015954636</c:v>
                </c:pt>
                <c:pt idx="81">
                  <c:v>0.14137166941154072</c:v>
                </c:pt>
                <c:pt idx="82">
                  <c:v>0.143116998663535</c:v>
                </c:pt>
                <c:pt idx="83">
                  <c:v>0.14486232791552933</c:v>
                </c:pt>
                <c:pt idx="84">
                  <c:v>0.14660765716752369</c:v>
                </c:pt>
                <c:pt idx="85">
                  <c:v>0.14835298641951802</c:v>
                </c:pt>
                <c:pt idx="86">
                  <c:v>0.15009831567151233</c:v>
                </c:pt>
                <c:pt idx="87">
                  <c:v>0.15184364492350666</c:v>
                </c:pt>
                <c:pt idx="88">
                  <c:v>0.15358897417550102</c:v>
                </c:pt>
                <c:pt idx="89">
                  <c:v>0.15533430342749532</c:v>
                </c:pt>
                <c:pt idx="90">
                  <c:v>0.15707963267948966</c:v>
                </c:pt>
                <c:pt idx="91">
                  <c:v>0.15882496193148399</c:v>
                </c:pt>
                <c:pt idx="92">
                  <c:v>0.16057029118347835</c:v>
                </c:pt>
                <c:pt idx="93">
                  <c:v>0.16231562043547265</c:v>
                </c:pt>
                <c:pt idx="94">
                  <c:v>0.16406094968746696</c:v>
                </c:pt>
                <c:pt idx="95">
                  <c:v>0.16580627893946129</c:v>
                </c:pt>
                <c:pt idx="96">
                  <c:v>0.16755160819145562</c:v>
                </c:pt>
                <c:pt idx="97">
                  <c:v>0.16929693744344995</c:v>
                </c:pt>
                <c:pt idx="98">
                  <c:v>0.17104226669544431</c:v>
                </c:pt>
                <c:pt idx="99">
                  <c:v>0.17278759594743864</c:v>
                </c:pt>
                <c:pt idx="100">
                  <c:v>0.17453292519943295</c:v>
                </c:pt>
                <c:pt idx="101">
                  <c:v>0.17627825445142728</c:v>
                </c:pt>
                <c:pt idx="102">
                  <c:v>0.17802358370342158</c:v>
                </c:pt>
                <c:pt idx="103">
                  <c:v>0.17976891295541597</c:v>
                </c:pt>
                <c:pt idx="104">
                  <c:v>0.18151424220741028</c:v>
                </c:pt>
                <c:pt idx="105">
                  <c:v>0.18325957145940461</c:v>
                </c:pt>
                <c:pt idx="106">
                  <c:v>0.18500490071139894</c:v>
                </c:pt>
                <c:pt idx="107">
                  <c:v>0.1867502299633933</c:v>
                </c:pt>
                <c:pt idx="108">
                  <c:v>0.18849555921538758</c:v>
                </c:pt>
                <c:pt idx="109">
                  <c:v>0.19024088846738194</c:v>
                </c:pt>
                <c:pt idx="110">
                  <c:v>0.19198621771937624</c:v>
                </c:pt>
                <c:pt idx="111">
                  <c:v>0.1937315469713706</c:v>
                </c:pt>
                <c:pt idx="112">
                  <c:v>0.1954768762233649</c:v>
                </c:pt>
                <c:pt idx="113">
                  <c:v>0.19722220547535921</c:v>
                </c:pt>
                <c:pt idx="114">
                  <c:v>0.19896753472735354</c:v>
                </c:pt>
                <c:pt idx="115">
                  <c:v>0.20071286397934787</c:v>
                </c:pt>
                <c:pt idx="116">
                  <c:v>0.20245819323134223</c:v>
                </c:pt>
                <c:pt idx="117">
                  <c:v>0.20420352248333654</c:v>
                </c:pt>
                <c:pt idx="118">
                  <c:v>0.20594885173533087</c:v>
                </c:pt>
                <c:pt idx="119">
                  <c:v>0.2076941809873252</c:v>
                </c:pt>
                <c:pt idx="120">
                  <c:v>0.20943951023931953</c:v>
                </c:pt>
                <c:pt idx="121">
                  <c:v>0.21118483949131389</c:v>
                </c:pt>
                <c:pt idx="122">
                  <c:v>0.21293016874330817</c:v>
                </c:pt>
                <c:pt idx="123">
                  <c:v>0.21467549799530256</c:v>
                </c:pt>
                <c:pt idx="124">
                  <c:v>0.21642082724729686</c:v>
                </c:pt>
                <c:pt idx="125">
                  <c:v>0.21816615649929119</c:v>
                </c:pt>
                <c:pt idx="126">
                  <c:v>0.2199114857512855</c:v>
                </c:pt>
                <c:pt idx="127">
                  <c:v>0.22165681500327983</c:v>
                </c:pt>
                <c:pt idx="128">
                  <c:v>0.22340214425527419</c:v>
                </c:pt>
                <c:pt idx="129">
                  <c:v>0.22514747350726852</c:v>
                </c:pt>
                <c:pt idx="130">
                  <c:v>0.22689280275926285</c:v>
                </c:pt>
                <c:pt idx="131">
                  <c:v>0.22863813201125718</c:v>
                </c:pt>
                <c:pt idx="132">
                  <c:v>0.23038346126325149</c:v>
                </c:pt>
                <c:pt idx="133">
                  <c:v>0.23212879051524585</c:v>
                </c:pt>
                <c:pt idx="134">
                  <c:v>0.23387411976724018</c:v>
                </c:pt>
                <c:pt idx="135">
                  <c:v>0.23561944901923448</c:v>
                </c:pt>
                <c:pt idx="136">
                  <c:v>0.23736477827122884</c:v>
                </c:pt>
                <c:pt idx="137">
                  <c:v>0.23911010752322315</c:v>
                </c:pt>
                <c:pt idx="138">
                  <c:v>0.24085543677521745</c:v>
                </c:pt>
                <c:pt idx="139">
                  <c:v>0.24260076602721178</c:v>
                </c:pt>
                <c:pt idx="140">
                  <c:v>0.24434609527920614</c:v>
                </c:pt>
                <c:pt idx="141">
                  <c:v>0.24609142453120048</c:v>
                </c:pt>
                <c:pt idx="142">
                  <c:v>0.24783675378319478</c:v>
                </c:pt>
                <c:pt idx="143">
                  <c:v>0.24958208303518911</c:v>
                </c:pt>
                <c:pt idx="144">
                  <c:v>0.25132741228718342</c:v>
                </c:pt>
                <c:pt idx="145">
                  <c:v>0.2530727415391778</c:v>
                </c:pt>
                <c:pt idx="146">
                  <c:v>0.25481807079117208</c:v>
                </c:pt>
                <c:pt idx="147">
                  <c:v>0.25656340004316641</c:v>
                </c:pt>
                <c:pt idx="148">
                  <c:v>0.25830872929516074</c:v>
                </c:pt>
                <c:pt idx="149">
                  <c:v>0.26005405854715513</c:v>
                </c:pt>
                <c:pt idx="150">
                  <c:v>0.26179938779914941</c:v>
                </c:pt>
                <c:pt idx="151">
                  <c:v>0.26354471705114374</c:v>
                </c:pt>
                <c:pt idx="152">
                  <c:v>0.26529004630313807</c:v>
                </c:pt>
                <c:pt idx="153">
                  <c:v>0.2670353755551324</c:v>
                </c:pt>
                <c:pt idx="154">
                  <c:v>0.26878070480712679</c:v>
                </c:pt>
                <c:pt idx="155">
                  <c:v>0.27052603405912107</c:v>
                </c:pt>
                <c:pt idx="156">
                  <c:v>0.27227136331111546</c:v>
                </c:pt>
                <c:pt idx="157">
                  <c:v>0.27401669256310973</c:v>
                </c:pt>
                <c:pt idx="158">
                  <c:v>0.27576202181510406</c:v>
                </c:pt>
                <c:pt idx="159">
                  <c:v>0.2775073510670984</c:v>
                </c:pt>
                <c:pt idx="160">
                  <c:v>0.27925268031909273</c:v>
                </c:pt>
                <c:pt idx="161">
                  <c:v>0.28099800957108706</c:v>
                </c:pt>
                <c:pt idx="162">
                  <c:v>0.28274333882308145</c:v>
                </c:pt>
                <c:pt idx="163">
                  <c:v>0.28448866807507567</c:v>
                </c:pt>
                <c:pt idx="164">
                  <c:v>0.28623399732707</c:v>
                </c:pt>
                <c:pt idx="165">
                  <c:v>0.28797932657906439</c:v>
                </c:pt>
                <c:pt idx="166">
                  <c:v>0.28972465583105866</c:v>
                </c:pt>
                <c:pt idx="167">
                  <c:v>0.291469985083053</c:v>
                </c:pt>
                <c:pt idx="168">
                  <c:v>0.29321531433504738</c:v>
                </c:pt>
                <c:pt idx="169">
                  <c:v>0.29496064358704166</c:v>
                </c:pt>
                <c:pt idx="170">
                  <c:v>0.29670597283903605</c:v>
                </c:pt>
                <c:pt idx="171">
                  <c:v>0.29845130209103038</c:v>
                </c:pt>
                <c:pt idx="172">
                  <c:v>0.30019663134302466</c:v>
                </c:pt>
                <c:pt idx="173">
                  <c:v>0.30194196059501899</c:v>
                </c:pt>
                <c:pt idx="174">
                  <c:v>0.30368728984701332</c:v>
                </c:pt>
                <c:pt idx="175">
                  <c:v>0.30543261909900765</c:v>
                </c:pt>
                <c:pt idx="176">
                  <c:v>0.30717794835100204</c:v>
                </c:pt>
                <c:pt idx="177">
                  <c:v>0.30892327760299632</c:v>
                </c:pt>
                <c:pt idx="178">
                  <c:v>0.31066860685499065</c:v>
                </c:pt>
                <c:pt idx="179">
                  <c:v>0.31241393610698498</c:v>
                </c:pt>
                <c:pt idx="180">
                  <c:v>0.31415926535897931</c:v>
                </c:pt>
                <c:pt idx="181">
                  <c:v>0.31590459461097364</c:v>
                </c:pt>
                <c:pt idx="182">
                  <c:v>0.31764992386296798</c:v>
                </c:pt>
                <c:pt idx="183">
                  <c:v>0.31939525311496231</c:v>
                </c:pt>
                <c:pt idx="184">
                  <c:v>0.3211405823669567</c:v>
                </c:pt>
                <c:pt idx="185">
                  <c:v>0.32288591161895097</c:v>
                </c:pt>
                <c:pt idx="186">
                  <c:v>0.3246312408709453</c:v>
                </c:pt>
                <c:pt idx="187">
                  <c:v>0.32637657012293969</c:v>
                </c:pt>
                <c:pt idx="188">
                  <c:v>0.32812189937493391</c:v>
                </c:pt>
                <c:pt idx="189">
                  <c:v>0.32986722862692824</c:v>
                </c:pt>
                <c:pt idx="190">
                  <c:v>0.33161255787892258</c:v>
                </c:pt>
                <c:pt idx="191">
                  <c:v>0.33335788713091691</c:v>
                </c:pt>
                <c:pt idx="192">
                  <c:v>0.33510321638291124</c:v>
                </c:pt>
                <c:pt idx="193">
                  <c:v>0.33684854563490563</c:v>
                </c:pt>
                <c:pt idx="194">
                  <c:v>0.3385938748868999</c:v>
                </c:pt>
                <c:pt idx="195">
                  <c:v>0.34033920413889424</c:v>
                </c:pt>
                <c:pt idx="196">
                  <c:v>0.34208453339088862</c:v>
                </c:pt>
                <c:pt idx="197">
                  <c:v>0.3438298626428829</c:v>
                </c:pt>
                <c:pt idx="198">
                  <c:v>0.34557519189487729</c:v>
                </c:pt>
                <c:pt idx="199">
                  <c:v>0.34732052114687156</c:v>
                </c:pt>
                <c:pt idx="200">
                  <c:v>0.3490658503988659</c:v>
                </c:pt>
                <c:pt idx="201">
                  <c:v>0.35081117965086023</c:v>
                </c:pt>
                <c:pt idx="202">
                  <c:v>0.35255650890285456</c:v>
                </c:pt>
                <c:pt idx="203">
                  <c:v>0.35430183815484884</c:v>
                </c:pt>
                <c:pt idx="204">
                  <c:v>0.35604716740684317</c:v>
                </c:pt>
                <c:pt idx="205">
                  <c:v>0.3577924966588375</c:v>
                </c:pt>
                <c:pt idx="206">
                  <c:v>0.35953782591083194</c:v>
                </c:pt>
                <c:pt idx="207">
                  <c:v>0.36128315516282622</c:v>
                </c:pt>
                <c:pt idx="208">
                  <c:v>0.36302848441482055</c:v>
                </c:pt>
                <c:pt idx="209">
                  <c:v>0.36477381366681488</c:v>
                </c:pt>
                <c:pt idx="210">
                  <c:v>0.36651914291880922</c:v>
                </c:pt>
                <c:pt idx="211">
                  <c:v>0.36826447217080349</c:v>
                </c:pt>
                <c:pt idx="212">
                  <c:v>0.37000980142279788</c:v>
                </c:pt>
                <c:pt idx="213">
                  <c:v>0.37175513067479216</c:v>
                </c:pt>
                <c:pt idx="214">
                  <c:v>0.3735004599267866</c:v>
                </c:pt>
                <c:pt idx="215">
                  <c:v>0.37524578917878082</c:v>
                </c:pt>
                <c:pt idx="216">
                  <c:v>0.37699111843077515</c:v>
                </c:pt>
                <c:pt idx="217">
                  <c:v>0.37873644768276954</c:v>
                </c:pt>
                <c:pt idx="218">
                  <c:v>0.38048177693476387</c:v>
                </c:pt>
                <c:pt idx="219">
                  <c:v>0.38222710618675809</c:v>
                </c:pt>
                <c:pt idx="220">
                  <c:v>0.38397243543875248</c:v>
                </c:pt>
                <c:pt idx="221">
                  <c:v>0.38571776469074687</c:v>
                </c:pt>
                <c:pt idx="222">
                  <c:v>0.3874630939427412</c:v>
                </c:pt>
                <c:pt idx="223">
                  <c:v>0.38920842319473548</c:v>
                </c:pt>
                <c:pt idx="224">
                  <c:v>0.39095375244672981</c:v>
                </c:pt>
                <c:pt idx="225">
                  <c:v>0.39269908169872414</c:v>
                </c:pt>
                <c:pt idx="226">
                  <c:v>0.39444441095071842</c:v>
                </c:pt>
                <c:pt idx="227">
                  <c:v>0.39618974020271275</c:v>
                </c:pt>
                <c:pt idx="228">
                  <c:v>0.39793506945470708</c:v>
                </c:pt>
                <c:pt idx="229">
                  <c:v>0.39968039870670141</c:v>
                </c:pt>
                <c:pt idx="230">
                  <c:v>0.40142572795869574</c:v>
                </c:pt>
                <c:pt idx="231">
                  <c:v>0.40317105721069013</c:v>
                </c:pt>
                <c:pt idx="232">
                  <c:v>0.40491638646268446</c:v>
                </c:pt>
                <c:pt idx="233">
                  <c:v>0.4066617157146788</c:v>
                </c:pt>
                <c:pt idx="234">
                  <c:v>0.40840704496667307</c:v>
                </c:pt>
                <c:pt idx="235">
                  <c:v>0.41015237421866746</c:v>
                </c:pt>
                <c:pt idx="236">
                  <c:v>0.41189770347066174</c:v>
                </c:pt>
                <c:pt idx="237">
                  <c:v>0.41364303272265612</c:v>
                </c:pt>
                <c:pt idx="238">
                  <c:v>0.4153883619746504</c:v>
                </c:pt>
                <c:pt idx="239">
                  <c:v>0.41713369122664484</c:v>
                </c:pt>
                <c:pt idx="240">
                  <c:v>0.41887902047863906</c:v>
                </c:pt>
                <c:pt idx="241">
                  <c:v>0.4206243497306334</c:v>
                </c:pt>
                <c:pt idx="242">
                  <c:v>0.42236967898262778</c:v>
                </c:pt>
                <c:pt idx="243">
                  <c:v>0.42411500823462212</c:v>
                </c:pt>
                <c:pt idx="244">
                  <c:v>0.42586033748661634</c:v>
                </c:pt>
                <c:pt idx="245">
                  <c:v>0.42760566673861072</c:v>
                </c:pt>
                <c:pt idx="246">
                  <c:v>0.42935099599060511</c:v>
                </c:pt>
                <c:pt idx="247">
                  <c:v>0.43109632524259944</c:v>
                </c:pt>
                <c:pt idx="248">
                  <c:v>0.43284165449459372</c:v>
                </c:pt>
                <c:pt idx="249">
                  <c:v>0.43458698374658805</c:v>
                </c:pt>
                <c:pt idx="250">
                  <c:v>0.43633231299858238</c:v>
                </c:pt>
                <c:pt idx="251">
                  <c:v>0.43807764225057666</c:v>
                </c:pt>
                <c:pt idx="252">
                  <c:v>0.43982297150257099</c:v>
                </c:pt>
                <c:pt idx="253">
                  <c:v>0.44156830075456532</c:v>
                </c:pt>
                <c:pt idx="254">
                  <c:v>0.44331363000655966</c:v>
                </c:pt>
                <c:pt idx="255">
                  <c:v>0.44505895925855399</c:v>
                </c:pt>
                <c:pt idx="256">
                  <c:v>0.44680428851054838</c:v>
                </c:pt>
                <c:pt idx="257">
                  <c:v>0.44854961776254271</c:v>
                </c:pt>
                <c:pt idx="258">
                  <c:v>0.45029494701453704</c:v>
                </c:pt>
                <c:pt idx="259">
                  <c:v>0.45204027626653132</c:v>
                </c:pt>
                <c:pt idx="260">
                  <c:v>0.4537856055185257</c:v>
                </c:pt>
                <c:pt idx="261">
                  <c:v>0.45553093477051998</c:v>
                </c:pt>
                <c:pt idx="262">
                  <c:v>0.45727626402251437</c:v>
                </c:pt>
                <c:pt idx="263">
                  <c:v>0.45902159327450859</c:v>
                </c:pt>
                <c:pt idx="264">
                  <c:v>0.46076692252650298</c:v>
                </c:pt>
                <c:pt idx="265">
                  <c:v>0.46251225177849731</c:v>
                </c:pt>
                <c:pt idx="266">
                  <c:v>0.4642575810304917</c:v>
                </c:pt>
                <c:pt idx="267">
                  <c:v>0.46600291028248592</c:v>
                </c:pt>
                <c:pt idx="268">
                  <c:v>0.46774823953448036</c:v>
                </c:pt>
                <c:pt idx="269">
                  <c:v>0.46949356878647464</c:v>
                </c:pt>
                <c:pt idx="270">
                  <c:v>0.47123889803846897</c:v>
                </c:pt>
                <c:pt idx="271">
                  <c:v>0.4729842272904633</c:v>
                </c:pt>
                <c:pt idx="272">
                  <c:v>0.47472955654245769</c:v>
                </c:pt>
                <c:pt idx="273">
                  <c:v>0.47647488579445196</c:v>
                </c:pt>
                <c:pt idx="274">
                  <c:v>0.4782202150464463</c:v>
                </c:pt>
                <c:pt idx="275">
                  <c:v>0.47996554429844063</c:v>
                </c:pt>
                <c:pt idx="276">
                  <c:v>0.4817108735504349</c:v>
                </c:pt>
                <c:pt idx="277">
                  <c:v>0.48345620280242924</c:v>
                </c:pt>
                <c:pt idx="278">
                  <c:v>0.48520153205442357</c:v>
                </c:pt>
                <c:pt idx="279">
                  <c:v>0.4869468613064179</c:v>
                </c:pt>
                <c:pt idx="280">
                  <c:v>0.48869219055841229</c:v>
                </c:pt>
                <c:pt idx="281">
                  <c:v>0.49043751981040662</c:v>
                </c:pt>
                <c:pt idx="282">
                  <c:v>0.49218284906240095</c:v>
                </c:pt>
                <c:pt idx="283">
                  <c:v>0.49392817831439528</c:v>
                </c:pt>
                <c:pt idx="284">
                  <c:v>0.49567350756638956</c:v>
                </c:pt>
                <c:pt idx="285">
                  <c:v>0.49741883681838389</c:v>
                </c:pt>
                <c:pt idx="286">
                  <c:v>0.49916416607037822</c:v>
                </c:pt>
                <c:pt idx="287">
                  <c:v>0.50090949532237261</c:v>
                </c:pt>
                <c:pt idx="288">
                  <c:v>0.50265482457436683</c:v>
                </c:pt>
                <c:pt idx="289">
                  <c:v>0.50440015382636127</c:v>
                </c:pt>
                <c:pt idx="290">
                  <c:v>0.50614548307835561</c:v>
                </c:pt>
                <c:pt idx="291">
                  <c:v>0.50789081233034994</c:v>
                </c:pt>
                <c:pt idx="292">
                  <c:v>0.50963614158234416</c:v>
                </c:pt>
                <c:pt idx="293">
                  <c:v>0.5113814708343386</c:v>
                </c:pt>
                <c:pt idx="294">
                  <c:v>0.51312680008633282</c:v>
                </c:pt>
                <c:pt idx="295">
                  <c:v>0.51487212933832716</c:v>
                </c:pt>
                <c:pt idx="296">
                  <c:v>0.51661745859032149</c:v>
                </c:pt>
                <c:pt idx="297">
                  <c:v>0.51836278784231593</c:v>
                </c:pt>
                <c:pt idx="298">
                  <c:v>0.52010811709431026</c:v>
                </c:pt>
                <c:pt idx="299">
                  <c:v>0.52185344634630459</c:v>
                </c:pt>
                <c:pt idx="300">
                  <c:v>0.52359877559829882</c:v>
                </c:pt>
                <c:pt idx="301">
                  <c:v>0.52534410485029315</c:v>
                </c:pt>
                <c:pt idx="302">
                  <c:v>0.52708943410228748</c:v>
                </c:pt>
                <c:pt idx="303">
                  <c:v>0.5288347633542817</c:v>
                </c:pt>
                <c:pt idx="304">
                  <c:v>0.53058009260627614</c:v>
                </c:pt>
                <c:pt idx="305">
                  <c:v>0.53232542185827048</c:v>
                </c:pt>
                <c:pt idx="306">
                  <c:v>0.53407075111026481</c:v>
                </c:pt>
                <c:pt idx="307">
                  <c:v>0.53581608036225914</c:v>
                </c:pt>
                <c:pt idx="308">
                  <c:v>0.53756140961425358</c:v>
                </c:pt>
                <c:pt idx="309">
                  <c:v>0.5393067388662478</c:v>
                </c:pt>
                <c:pt idx="310">
                  <c:v>0.54105206811824214</c:v>
                </c:pt>
                <c:pt idx="311">
                  <c:v>0.54279739737023647</c:v>
                </c:pt>
                <c:pt idx="312">
                  <c:v>0.54454272662223091</c:v>
                </c:pt>
                <c:pt idx="313">
                  <c:v>0.54628805587422502</c:v>
                </c:pt>
                <c:pt idx="314">
                  <c:v>0.54803338512621946</c:v>
                </c:pt>
                <c:pt idx="315">
                  <c:v>0.5497787143782138</c:v>
                </c:pt>
                <c:pt idx="316">
                  <c:v>0.55152404363020813</c:v>
                </c:pt>
                <c:pt idx="317">
                  <c:v>0.55326937288220246</c:v>
                </c:pt>
                <c:pt idx="318">
                  <c:v>0.55501470213419679</c:v>
                </c:pt>
                <c:pt idx="319">
                  <c:v>0.55676003138619112</c:v>
                </c:pt>
                <c:pt idx="320">
                  <c:v>0.55850536063818546</c:v>
                </c:pt>
                <c:pt idx="321">
                  <c:v>0.56025068989017979</c:v>
                </c:pt>
                <c:pt idx="322">
                  <c:v>0.56199601914217412</c:v>
                </c:pt>
                <c:pt idx="323">
                  <c:v>0.56374134839416834</c:v>
                </c:pt>
                <c:pt idx="324">
                  <c:v>0.56548667764616289</c:v>
                </c:pt>
                <c:pt idx="325">
                  <c:v>0.56723200689815712</c:v>
                </c:pt>
                <c:pt idx="326">
                  <c:v>0.56897733615015134</c:v>
                </c:pt>
                <c:pt idx="327">
                  <c:v>0.57072266540214578</c:v>
                </c:pt>
                <c:pt idx="328">
                  <c:v>0.57246799465414</c:v>
                </c:pt>
                <c:pt idx="329">
                  <c:v>0.57421332390613444</c:v>
                </c:pt>
                <c:pt idx="330">
                  <c:v>0.57595865315812877</c:v>
                </c:pt>
                <c:pt idx="331">
                  <c:v>0.57770398241012311</c:v>
                </c:pt>
                <c:pt idx="332">
                  <c:v>0.57944931166211733</c:v>
                </c:pt>
                <c:pt idx="333">
                  <c:v>0.58119464091411166</c:v>
                </c:pt>
                <c:pt idx="334">
                  <c:v>0.58293997016610599</c:v>
                </c:pt>
                <c:pt idx="335">
                  <c:v>0.58468529941810032</c:v>
                </c:pt>
                <c:pt idx="336">
                  <c:v>0.58643062867009477</c:v>
                </c:pt>
                <c:pt idx="337">
                  <c:v>0.5881759579220891</c:v>
                </c:pt>
                <c:pt idx="338">
                  <c:v>0.58992128717408332</c:v>
                </c:pt>
                <c:pt idx="339">
                  <c:v>0.59166661642607765</c:v>
                </c:pt>
                <c:pt idx="340">
                  <c:v>0.59341194567807209</c:v>
                </c:pt>
                <c:pt idx="341">
                  <c:v>0.59515727493006643</c:v>
                </c:pt>
                <c:pt idx="342">
                  <c:v>0.59690260418206076</c:v>
                </c:pt>
                <c:pt idx="343">
                  <c:v>0.59864793343405509</c:v>
                </c:pt>
                <c:pt idx="344">
                  <c:v>0.60039326268604931</c:v>
                </c:pt>
                <c:pt idx="345">
                  <c:v>0.60213859193804364</c:v>
                </c:pt>
                <c:pt idx="346">
                  <c:v>0.60388392119003798</c:v>
                </c:pt>
                <c:pt idx="347">
                  <c:v>0.60562925044203242</c:v>
                </c:pt>
                <c:pt idx="348">
                  <c:v>0.60737457969402664</c:v>
                </c:pt>
                <c:pt idx="349">
                  <c:v>0.60911990894602108</c:v>
                </c:pt>
                <c:pt idx="350">
                  <c:v>0.6108652381980153</c:v>
                </c:pt>
                <c:pt idx="351">
                  <c:v>0.61261056745000952</c:v>
                </c:pt>
                <c:pt idx="352">
                  <c:v>0.61435589670200408</c:v>
                </c:pt>
                <c:pt idx="353">
                  <c:v>0.6161012259539983</c:v>
                </c:pt>
                <c:pt idx="354">
                  <c:v>0.61784655520599263</c:v>
                </c:pt>
                <c:pt idx="355">
                  <c:v>0.61959188445798696</c:v>
                </c:pt>
                <c:pt idx="356">
                  <c:v>0.6213372137099813</c:v>
                </c:pt>
                <c:pt idx="357">
                  <c:v>0.62308254296197552</c:v>
                </c:pt>
                <c:pt idx="358">
                  <c:v>0.62482787221396996</c:v>
                </c:pt>
                <c:pt idx="359">
                  <c:v>0.62657320146596429</c:v>
                </c:pt>
                <c:pt idx="360">
                  <c:v>0.62831853071795862</c:v>
                </c:pt>
                <c:pt idx="361">
                  <c:v>0.63006385996995296</c:v>
                </c:pt>
                <c:pt idx="362">
                  <c:v>0.63180918922194729</c:v>
                </c:pt>
                <c:pt idx="363">
                  <c:v>0.63355451847394151</c:v>
                </c:pt>
                <c:pt idx="364">
                  <c:v>0.63529984772593595</c:v>
                </c:pt>
                <c:pt idx="365">
                  <c:v>0.63704517697793028</c:v>
                </c:pt>
                <c:pt idx="366">
                  <c:v>0.63879050622992462</c:v>
                </c:pt>
                <c:pt idx="367">
                  <c:v>0.64053583548191895</c:v>
                </c:pt>
                <c:pt idx="368">
                  <c:v>0.64228116473391339</c:v>
                </c:pt>
                <c:pt idx="369">
                  <c:v>0.64402649398590761</c:v>
                </c:pt>
                <c:pt idx="370">
                  <c:v>0.64577182323790194</c:v>
                </c:pt>
                <c:pt idx="371">
                  <c:v>0.64751715248989627</c:v>
                </c:pt>
                <c:pt idx="372">
                  <c:v>0.64926248174189061</c:v>
                </c:pt>
                <c:pt idx="373">
                  <c:v>0.65100781099388483</c:v>
                </c:pt>
                <c:pt idx="374">
                  <c:v>0.65275314024587938</c:v>
                </c:pt>
                <c:pt idx="375">
                  <c:v>0.6544984694978736</c:v>
                </c:pt>
                <c:pt idx="376">
                  <c:v>0.65624379874986782</c:v>
                </c:pt>
                <c:pt idx="377">
                  <c:v>0.65798912800186227</c:v>
                </c:pt>
                <c:pt idx="378">
                  <c:v>0.65973445725385649</c:v>
                </c:pt>
                <c:pt idx="379">
                  <c:v>0.66147978650585082</c:v>
                </c:pt>
                <c:pt idx="380">
                  <c:v>0.66322511575784515</c:v>
                </c:pt>
                <c:pt idx="381">
                  <c:v>0.66497044500983959</c:v>
                </c:pt>
                <c:pt idx="382">
                  <c:v>0.66671577426183382</c:v>
                </c:pt>
                <c:pt idx="383">
                  <c:v>0.66846110351382815</c:v>
                </c:pt>
                <c:pt idx="384">
                  <c:v>0.67020643276582248</c:v>
                </c:pt>
                <c:pt idx="385">
                  <c:v>0.67195176201781692</c:v>
                </c:pt>
                <c:pt idx="386">
                  <c:v>0.67369709126981125</c:v>
                </c:pt>
                <c:pt idx="387">
                  <c:v>0.67544242052180559</c:v>
                </c:pt>
                <c:pt idx="388">
                  <c:v>0.67718774977379981</c:v>
                </c:pt>
                <c:pt idx="389">
                  <c:v>0.67893307902579414</c:v>
                </c:pt>
                <c:pt idx="390">
                  <c:v>0.68067840827778847</c:v>
                </c:pt>
                <c:pt idx="391">
                  <c:v>0.6824237375297828</c:v>
                </c:pt>
                <c:pt idx="392">
                  <c:v>0.68416906678177725</c:v>
                </c:pt>
                <c:pt idx="393">
                  <c:v>0.68591439603377158</c:v>
                </c:pt>
                <c:pt idx="394">
                  <c:v>0.6876597252857658</c:v>
                </c:pt>
                <c:pt idx="395">
                  <c:v>0.68940505453776013</c:v>
                </c:pt>
                <c:pt idx="396">
                  <c:v>0.69115038378975457</c:v>
                </c:pt>
                <c:pt idx="397">
                  <c:v>0.69289571304174891</c:v>
                </c:pt>
                <c:pt idx="398">
                  <c:v>0.69464104229374313</c:v>
                </c:pt>
                <c:pt idx="399">
                  <c:v>0.69638637154573757</c:v>
                </c:pt>
                <c:pt idx="400">
                  <c:v>0.69813170079773179</c:v>
                </c:pt>
                <c:pt idx="401">
                  <c:v>0.69987703004972601</c:v>
                </c:pt>
                <c:pt idx="402">
                  <c:v>0.70162235930172046</c:v>
                </c:pt>
                <c:pt idx="403">
                  <c:v>0.7033676885537149</c:v>
                </c:pt>
                <c:pt idx="404">
                  <c:v>0.70511301780570912</c:v>
                </c:pt>
                <c:pt idx="405">
                  <c:v>0.70685834705770345</c:v>
                </c:pt>
                <c:pt idx="406">
                  <c:v>0.70860367630969767</c:v>
                </c:pt>
                <c:pt idx="407">
                  <c:v>0.71034900556169223</c:v>
                </c:pt>
                <c:pt idx="408">
                  <c:v>0.71209433481368634</c:v>
                </c:pt>
                <c:pt idx="409">
                  <c:v>0.71383966406568078</c:v>
                </c:pt>
                <c:pt idx="410">
                  <c:v>0.715584993317675</c:v>
                </c:pt>
                <c:pt idx="411">
                  <c:v>0.71733032256966944</c:v>
                </c:pt>
                <c:pt idx="412">
                  <c:v>0.71907565182166389</c:v>
                </c:pt>
                <c:pt idx="413">
                  <c:v>0.720820981073658</c:v>
                </c:pt>
                <c:pt idx="414">
                  <c:v>0.72256631032565244</c:v>
                </c:pt>
                <c:pt idx="415">
                  <c:v>0.72431163957764677</c:v>
                </c:pt>
                <c:pt idx="416">
                  <c:v>0.7260569688296411</c:v>
                </c:pt>
                <c:pt idx="417">
                  <c:v>0.72780229808163555</c:v>
                </c:pt>
                <c:pt idx="418">
                  <c:v>0.72954762733362977</c:v>
                </c:pt>
                <c:pt idx="419">
                  <c:v>0.73129295658562421</c:v>
                </c:pt>
                <c:pt idx="420">
                  <c:v>0.73303828583761843</c:v>
                </c:pt>
                <c:pt idx="421">
                  <c:v>0.73478361508961265</c:v>
                </c:pt>
                <c:pt idx="422">
                  <c:v>0.73652894434160698</c:v>
                </c:pt>
                <c:pt idx="423">
                  <c:v>0.73827427359360154</c:v>
                </c:pt>
                <c:pt idx="424">
                  <c:v>0.74001960284559576</c:v>
                </c:pt>
                <c:pt idx="425">
                  <c:v>0.74176493209759009</c:v>
                </c:pt>
                <c:pt idx="426">
                  <c:v>0.74351026134958431</c:v>
                </c:pt>
                <c:pt idx="427">
                  <c:v>0.74525559060157853</c:v>
                </c:pt>
                <c:pt idx="428">
                  <c:v>0.7470009198535732</c:v>
                </c:pt>
                <c:pt idx="429">
                  <c:v>0.74874624910556742</c:v>
                </c:pt>
                <c:pt idx="430">
                  <c:v>0.75049157835756164</c:v>
                </c:pt>
                <c:pt idx="431">
                  <c:v>0.75223690760955597</c:v>
                </c:pt>
                <c:pt idx="432">
                  <c:v>0.7539822368615503</c:v>
                </c:pt>
                <c:pt idx="433">
                  <c:v>0.75572756611354464</c:v>
                </c:pt>
                <c:pt idx="434">
                  <c:v>0.75747289536553908</c:v>
                </c:pt>
                <c:pt idx="435">
                  <c:v>0.7592182246175333</c:v>
                </c:pt>
                <c:pt idx="436">
                  <c:v>0.76096355386952774</c:v>
                </c:pt>
                <c:pt idx="437">
                  <c:v>0.76270888312152207</c:v>
                </c:pt>
                <c:pt idx="438">
                  <c:v>0.76445421237351618</c:v>
                </c:pt>
                <c:pt idx="439">
                  <c:v>0.76619954162551063</c:v>
                </c:pt>
                <c:pt idx="440">
                  <c:v>0.76794487087750496</c:v>
                </c:pt>
                <c:pt idx="441">
                  <c:v>0.76969020012949929</c:v>
                </c:pt>
                <c:pt idx="442">
                  <c:v>0.77143552938149373</c:v>
                </c:pt>
                <c:pt idx="443">
                  <c:v>0.77318085863348784</c:v>
                </c:pt>
                <c:pt idx="444">
                  <c:v>0.7749261878854824</c:v>
                </c:pt>
                <c:pt idx="445">
                  <c:v>0.77667151713747673</c:v>
                </c:pt>
                <c:pt idx="446">
                  <c:v>0.77841684638947095</c:v>
                </c:pt>
                <c:pt idx="447">
                  <c:v>0.78016217564146517</c:v>
                </c:pt>
                <c:pt idx="448">
                  <c:v>0.78190750489345962</c:v>
                </c:pt>
                <c:pt idx="449">
                  <c:v>0.78365283414545406</c:v>
                </c:pt>
                <c:pt idx="450">
                  <c:v>0.78539816339744828</c:v>
                </c:pt>
                <c:pt idx="451">
                  <c:v>0.78714349264944261</c:v>
                </c:pt>
                <c:pt idx="452">
                  <c:v>0.78888882190143683</c:v>
                </c:pt>
                <c:pt idx="453">
                  <c:v>0.79063415115343139</c:v>
                </c:pt>
                <c:pt idx="454">
                  <c:v>0.7923794804054255</c:v>
                </c:pt>
                <c:pt idx="455">
                  <c:v>0.79412480965741994</c:v>
                </c:pt>
                <c:pt idx="456">
                  <c:v>0.79587013890941416</c:v>
                </c:pt>
                <c:pt idx="457">
                  <c:v>0.7976154681614086</c:v>
                </c:pt>
                <c:pt idx="458">
                  <c:v>0.79936079741340282</c:v>
                </c:pt>
                <c:pt idx="459">
                  <c:v>0.80110612666539727</c:v>
                </c:pt>
                <c:pt idx="460">
                  <c:v>0.80285145591739149</c:v>
                </c:pt>
                <c:pt idx="461">
                  <c:v>0.80459678516938593</c:v>
                </c:pt>
                <c:pt idx="462">
                  <c:v>0.80634211442138026</c:v>
                </c:pt>
                <c:pt idx="463">
                  <c:v>0.80808744367337448</c:v>
                </c:pt>
                <c:pt idx="464">
                  <c:v>0.80983277292536893</c:v>
                </c:pt>
                <c:pt idx="465">
                  <c:v>0.81157810217736315</c:v>
                </c:pt>
                <c:pt idx="466">
                  <c:v>0.81332343142935759</c:v>
                </c:pt>
                <c:pt idx="467">
                  <c:v>0.81506876068135203</c:v>
                </c:pt>
                <c:pt idx="468">
                  <c:v>0.81681408993334614</c:v>
                </c:pt>
                <c:pt idx="469">
                  <c:v>0.8185594191853407</c:v>
                </c:pt>
                <c:pt idx="470">
                  <c:v>0.82030474843733492</c:v>
                </c:pt>
                <c:pt idx="471">
                  <c:v>0.82205007768932914</c:v>
                </c:pt>
                <c:pt idx="472">
                  <c:v>0.82379540694132347</c:v>
                </c:pt>
                <c:pt idx="473">
                  <c:v>0.82554073619331791</c:v>
                </c:pt>
                <c:pt idx="474">
                  <c:v>0.82728606544531225</c:v>
                </c:pt>
                <c:pt idx="475">
                  <c:v>0.82903139469730658</c:v>
                </c:pt>
                <c:pt idx="476">
                  <c:v>0.8307767239493008</c:v>
                </c:pt>
                <c:pt idx="477">
                  <c:v>0.83252205320129502</c:v>
                </c:pt>
                <c:pt idx="478">
                  <c:v>0.83426738245328969</c:v>
                </c:pt>
                <c:pt idx="479">
                  <c:v>0.8360127117052838</c:v>
                </c:pt>
                <c:pt idx="480">
                  <c:v>0.83775804095727813</c:v>
                </c:pt>
                <c:pt idx="481">
                  <c:v>0.83950337020927246</c:v>
                </c:pt>
                <c:pt idx="482">
                  <c:v>0.84124869946126679</c:v>
                </c:pt>
                <c:pt idx="483">
                  <c:v>0.84299402871326112</c:v>
                </c:pt>
                <c:pt idx="484">
                  <c:v>0.84473935796525557</c:v>
                </c:pt>
                <c:pt idx="485">
                  <c:v>0.84648468721724979</c:v>
                </c:pt>
                <c:pt idx="486">
                  <c:v>0.84823001646924423</c:v>
                </c:pt>
                <c:pt idx="487">
                  <c:v>0.84997534572123845</c:v>
                </c:pt>
                <c:pt idx="488">
                  <c:v>0.85172067497323267</c:v>
                </c:pt>
                <c:pt idx="489">
                  <c:v>0.85346600422522712</c:v>
                </c:pt>
                <c:pt idx="490">
                  <c:v>0.85521133347722145</c:v>
                </c:pt>
                <c:pt idx="491">
                  <c:v>0.85695666272921578</c:v>
                </c:pt>
                <c:pt idx="492">
                  <c:v>0.85870199198121022</c:v>
                </c:pt>
                <c:pt idx="493">
                  <c:v>0.86044732123320433</c:v>
                </c:pt>
                <c:pt idx="494">
                  <c:v>0.86219265048519889</c:v>
                </c:pt>
                <c:pt idx="495">
                  <c:v>0.86393797973719322</c:v>
                </c:pt>
                <c:pt idx="496">
                  <c:v>0.86568330898918744</c:v>
                </c:pt>
                <c:pt idx="497">
                  <c:v>0.86742863824118166</c:v>
                </c:pt>
                <c:pt idx="498">
                  <c:v>0.8691739674931761</c:v>
                </c:pt>
                <c:pt idx="499">
                  <c:v>0.87091929674517055</c:v>
                </c:pt>
                <c:pt idx="500">
                  <c:v>0.87266462599716477</c:v>
                </c:pt>
                <c:pt idx="501">
                  <c:v>0.8744099552491591</c:v>
                </c:pt>
                <c:pt idx="502">
                  <c:v>0.87615528450115332</c:v>
                </c:pt>
                <c:pt idx="503">
                  <c:v>0.87790061375314787</c:v>
                </c:pt>
                <c:pt idx="504">
                  <c:v>0.87964594300514198</c:v>
                </c:pt>
                <c:pt idx="505">
                  <c:v>0.88139127225713643</c:v>
                </c:pt>
                <c:pt idx="506">
                  <c:v>0.88313660150913065</c:v>
                </c:pt>
                <c:pt idx="507">
                  <c:v>0.88488193076112509</c:v>
                </c:pt>
                <c:pt idx="508">
                  <c:v>0.88662726001311931</c:v>
                </c:pt>
                <c:pt idx="509">
                  <c:v>0.88837258926511375</c:v>
                </c:pt>
                <c:pt idx="510">
                  <c:v>0.89011791851710798</c:v>
                </c:pt>
                <c:pt idx="511">
                  <c:v>0.89186324776910242</c:v>
                </c:pt>
                <c:pt idx="512">
                  <c:v>0.89360857702109675</c:v>
                </c:pt>
                <c:pt idx="513">
                  <c:v>0.89535390627309097</c:v>
                </c:pt>
                <c:pt idx="514">
                  <c:v>0.89709923552508541</c:v>
                </c:pt>
                <c:pt idx="515">
                  <c:v>0.89884456477707964</c:v>
                </c:pt>
                <c:pt idx="516">
                  <c:v>0.90058989402907408</c:v>
                </c:pt>
                <c:pt idx="517">
                  <c:v>0.90233522328106852</c:v>
                </c:pt>
                <c:pt idx="518">
                  <c:v>0.90408055253306263</c:v>
                </c:pt>
                <c:pt idx="519">
                  <c:v>0.90582588178505719</c:v>
                </c:pt>
                <c:pt idx="520">
                  <c:v>0.90757121103705141</c:v>
                </c:pt>
                <c:pt idx="521">
                  <c:v>0.90931654028904574</c:v>
                </c:pt>
                <c:pt idx="522">
                  <c:v>0.91106186954103996</c:v>
                </c:pt>
                <c:pt idx="523">
                  <c:v>0.9128071987930344</c:v>
                </c:pt>
                <c:pt idx="524">
                  <c:v>0.91455252804502873</c:v>
                </c:pt>
                <c:pt idx="525">
                  <c:v>0.91629785729702307</c:v>
                </c:pt>
                <c:pt idx="526">
                  <c:v>0.91804318654901718</c:v>
                </c:pt>
                <c:pt idx="527">
                  <c:v>0.91978851580101151</c:v>
                </c:pt>
                <c:pt idx="528">
                  <c:v>0.92153384505300595</c:v>
                </c:pt>
                <c:pt idx="529">
                  <c:v>0.92327917430500028</c:v>
                </c:pt>
                <c:pt idx="530">
                  <c:v>0.92502450355699462</c:v>
                </c:pt>
                <c:pt idx="531">
                  <c:v>0.92676983280898895</c:v>
                </c:pt>
                <c:pt idx="532">
                  <c:v>0.92851516206098339</c:v>
                </c:pt>
                <c:pt idx="533">
                  <c:v>0.93026049131297761</c:v>
                </c:pt>
                <c:pt idx="534">
                  <c:v>0.93200582056497183</c:v>
                </c:pt>
                <c:pt idx="535">
                  <c:v>0.93375114981696627</c:v>
                </c:pt>
                <c:pt idx="536">
                  <c:v>0.93549647906896072</c:v>
                </c:pt>
                <c:pt idx="537">
                  <c:v>0.93724180832095494</c:v>
                </c:pt>
                <c:pt idx="538">
                  <c:v>0.93898713757294927</c:v>
                </c:pt>
                <c:pt idx="539">
                  <c:v>0.9407324668249436</c:v>
                </c:pt>
                <c:pt idx="540">
                  <c:v>0.94247779607693793</c:v>
                </c:pt>
                <c:pt idx="541">
                  <c:v>0.94422312532893227</c:v>
                </c:pt>
                <c:pt idx="542">
                  <c:v>0.9459684545809266</c:v>
                </c:pt>
                <c:pt idx="543">
                  <c:v>0.94771378383292082</c:v>
                </c:pt>
                <c:pt idx="544">
                  <c:v>0.94945911308491537</c:v>
                </c:pt>
                <c:pt idx="545">
                  <c:v>0.95120444233690948</c:v>
                </c:pt>
                <c:pt idx="546">
                  <c:v>0.95294977158890393</c:v>
                </c:pt>
                <c:pt idx="547">
                  <c:v>0.95469510084089815</c:v>
                </c:pt>
                <c:pt idx="548">
                  <c:v>0.95644043009289259</c:v>
                </c:pt>
                <c:pt idx="549">
                  <c:v>0.95818575934488703</c:v>
                </c:pt>
                <c:pt idx="550">
                  <c:v>0.95993108859688125</c:v>
                </c:pt>
                <c:pt idx="551">
                  <c:v>0.96167641784887536</c:v>
                </c:pt>
                <c:pt idx="552">
                  <c:v>0.96342174710086981</c:v>
                </c:pt>
                <c:pt idx="553">
                  <c:v>0.96516707635286425</c:v>
                </c:pt>
                <c:pt idx="554">
                  <c:v>0.96691240560485847</c:v>
                </c:pt>
                <c:pt idx="555">
                  <c:v>0.96865773485685291</c:v>
                </c:pt>
                <c:pt idx="556">
                  <c:v>0.97040306410884714</c:v>
                </c:pt>
                <c:pt idx="557">
                  <c:v>0.97214839336084158</c:v>
                </c:pt>
                <c:pt idx="558">
                  <c:v>0.9738937226128358</c:v>
                </c:pt>
                <c:pt idx="559">
                  <c:v>0.97563905186483013</c:v>
                </c:pt>
                <c:pt idx="560">
                  <c:v>0.97738438111682457</c:v>
                </c:pt>
                <c:pt idx="561">
                  <c:v>0.97912971036881891</c:v>
                </c:pt>
                <c:pt idx="562">
                  <c:v>0.98087503962081324</c:v>
                </c:pt>
                <c:pt idx="563">
                  <c:v>0.98262036887280746</c:v>
                </c:pt>
                <c:pt idx="564">
                  <c:v>0.9843656981248019</c:v>
                </c:pt>
                <c:pt idx="565">
                  <c:v>0.98611102737679612</c:v>
                </c:pt>
                <c:pt idx="566">
                  <c:v>0.98785635662879057</c:v>
                </c:pt>
                <c:pt idx="567">
                  <c:v>0.98960168588078479</c:v>
                </c:pt>
                <c:pt idx="568">
                  <c:v>0.99134701513277912</c:v>
                </c:pt>
                <c:pt idx="569">
                  <c:v>0.99309234438477367</c:v>
                </c:pt>
                <c:pt idx="570">
                  <c:v>0.99483767363676778</c:v>
                </c:pt>
                <c:pt idx="571">
                  <c:v>0.99658300288876223</c:v>
                </c:pt>
                <c:pt idx="572">
                  <c:v>0.99832833214075645</c:v>
                </c:pt>
                <c:pt idx="573">
                  <c:v>1.0000736613927508</c:v>
                </c:pt>
                <c:pt idx="574">
                  <c:v>1.0018189906447452</c:v>
                </c:pt>
                <c:pt idx="575">
                  <c:v>1.0035643198967394</c:v>
                </c:pt>
                <c:pt idx="576">
                  <c:v>1.0053096491487337</c:v>
                </c:pt>
                <c:pt idx="577">
                  <c:v>1.0070549784007281</c:v>
                </c:pt>
                <c:pt idx="578">
                  <c:v>1.0088003076527225</c:v>
                </c:pt>
                <c:pt idx="579">
                  <c:v>1.0105456369047168</c:v>
                </c:pt>
                <c:pt idx="580">
                  <c:v>1.0122909661567112</c:v>
                </c:pt>
                <c:pt idx="581">
                  <c:v>1.0140362954087054</c:v>
                </c:pt>
                <c:pt idx="582">
                  <c:v>1.0157816246606999</c:v>
                </c:pt>
                <c:pt idx="583">
                  <c:v>1.0175269539126941</c:v>
                </c:pt>
                <c:pt idx="584">
                  <c:v>1.0192722831646883</c:v>
                </c:pt>
                <c:pt idx="585">
                  <c:v>1.0210176124166828</c:v>
                </c:pt>
                <c:pt idx="586">
                  <c:v>1.0227629416686772</c:v>
                </c:pt>
                <c:pt idx="587">
                  <c:v>1.0245082709206714</c:v>
                </c:pt>
                <c:pt idx="588">
                  <c:v>1.0262536001726656</c:v>
                </c:pt>
                <c:pt idx="589">
                  <c:v>1.0279989294246601</c:v>
                </c:pt>
                <c:pt idx="590">
                  <c:v>1.0297442586766543</c:v>
                </c:pt>
                <c:pt idx="591">
                  <c:v>1.0314895879286488</c:v>
                </c:pt>
                <c:pt idx="592">
                  <c:v>1.033234917180643</c:v>
                </c:pt>
                <c:pt idx="593">
                  <c:v>1.0349802464326374</c:v>
                </c:pt>
                <c:pt idx="594">
                  <c:v>1.0367255756846319</c:v>
                </c:pt>
                <c:pt idx="595">
                  <c:v>1.0384709049366261</c:v>
                </c:pt>
                <c:pt idx="596">
                  <c:v>1.0402162341886205</c:v>
                </c:pt>
                <c:pt idx="597">
                  <c:v>1.0419615634406147</c:v>
                </c:pt>
                <c:pt idx="598">
                  <c:v>1.0437068926926092</c:v>
                </c:pt>
                <c:pt idx="599">
                  <c:v>1.0454522219446036</c:v>
                </c:pt>
                <c:pt idx="600">
                  <c:v>1.0471975511965976</c:v>
                </c:pt>
                <c:pt idx="601">
                  <c:v>1.0489428804485919</c:v>
                </c:pt>
                <c:pt idx="602">
                  <c:v>1.0506882097005863</c:v>
                </c:pt>
                <c:pt idx="603">
                  <c:v>1.0524335389525807</c:v>
                </c:pt>
                <c:pt idx="604">
                  <c:v>1.054178868204575</c:v>
                </c:pt>
                <c:pt idx="605">
                  <c:v>1.0559241974565694</c:v>
                </c:pt>
                <c:pt idx="606">
                  <c:v>1.0576695267085634</c:v>
                </c:pt>
                <c:pt idx="607">
                  <c:v>1.0594148559605581</c:v>
                </c:pt>
                <c:pt idx="608">
                  <c:v>1.0611601852125523</c:v>
                </c:pt>
                <c:pt idx="609">
                  <c:v>1.0629055144645465</c:v>
                </c:pt>
                <c:pt idx="610">
                  <c:v>1.064650843716541</c:v>
                </c:pt>
                <c:pt idx="611">
                  <c:v>1.0663961729685352</c:v>
                </c:pt>
                <c:pt idx="612">
                  <c:v>1.0681415022205296</c:v>
                </c:pt>
                <c:pt idx="613">
                  <c:v>1.0698868314725241</c:v>
                </c:pt>
                <c:pt idx="614">
                  <c:v>1.0716321607245183</c:v>
                </c:pt>
                <c:pt idx="615">
                  <c:v>1.0733774899765127</c:v>
                </c:pt>
                <c:pt idx="616">
                  <c:v>1.0751228192285072</c:v>
                </c:pt>
                <c:pt idx="617">
                  <c:v>1.0768681484805014</c:v>
                </c:pt>
                <c:pt idx="618">
                  <c:v>1.0786134777324956</c:v>
                </c:pt>
                <c:pt idx="619">
                  <c:v>1.08035880698449</c:v>
                </c:pt>
                <c:pt idx="620">
                  <c:v>1.0821041362364843</c:v>
                </c:pt>
                <c:pt idx="621">
                  <c:v>1.0838494654884787</c:v>
                </c:pt>
                <c:pt idx="622">
                  <c:v>1.0855947947404729</c:v>
                </c:pt>
                <c:pt idx="623">
                  <c:v>1.0873401239924674</c:v>
                </c:pt>
                <c:pt idx="624">
                  <c:v>1.0890854532444618</c:v>
                </c:pt>
                <c:pt idx="625">
                  <c:v>1.0908307824964558</c:v>
                </c:pt>
                <c:pt idx="626">
                  <c:v>1.09257611174845</c:v>
                </c:pt>
                <c:pt idx="627">
                  <c:v>1.0943214410004445</c:v>
                </c:pt>
                <c:pt idx="628">
                  <c:v>1.0960667702524389</c:v>
                </c:pt>
                <c:pt idx="629">
                  <c:v>1.0978120995044331</c:v>
                </c:pt>
                <c:pt idx="630">
                  <c:v>1.0995574287564276</c:v>
                </c:pt>
                <c:pt idx="631">
                  <c:v>1.1013027580084218</c:v>
                </c:pt>
                <c:pt idx="632">
                  <c:v>1.1030480872604163</c:v>
                </c:pt>
                <c:pt idx="633">
                  <c:v>1.1047934165124107</c:v>
                </c:pt>
                <c:pt idx="634">
                  <c:v>1.1065387457644049</c:v>
                </c:pt>
                <c:pt idx="635">
                  <c:v>1.1082840750163994</c:v>
                </c:pt>
                <c:pt idx="636">
                  <c:v>1.1100294042683936</c:v>
                </c:pt>
                <c:pt idx="637">
                  <c:v>1.111774733520388</c:v>
                </c:pt>
                <c:pt idx="638">
                  <c:v>1.1135200627723822</c:v>
                </c:pt>
                <c:pt idx="639">
                  <c:v>1.1152653920243765</c:v>
                </c:pt>
                <c:pt idx="640">
                  <c:v>1.1170107212763709</c:v>
                </c:pt>
                <c:pt idx="641">
                  <c:v>1.1187560505283651</c:v>
                </c:pt>
                <c:pt idx="642">
                  <c:v>1.1205013797803596</c:v>
                </c:pt>
                <c:pt idx="643">
                  <c:v>1.1222467090323538</c:v>
                </c:pt>
                <c:pt idx="644">
                  <c:v>1.1239920382843482</c:v>
                </c:pt>
                <c:pt idx="645">
                  <c:v>1.1257373675363425</c:v>
                </c:pt>
                <c:pt idx="646">
                  <c:v>1.1274826967883367</c:v>
                </c:pt>
                <c:pt idx="647">
                  <c:v>1.1292280260403311</c:v>
                </c:pt>
                <c:pt idx="648">
                  <c:v>1.1309733552923258</c:v>
                </c:pt>
                <c:pt idx="649">
                  <c:v>1.13271868454432</c:v>
                </c:pt>
                <c:pt idx="650">
                  <c:v>1.1344640137963142</c:v>
                </c:pt>
                <c:pt idx="651">
                  <c:v>1.1362093430483085</c:v>
                </c:pt>
                <c:pt idx="652">
                  <c:v>1.1379546723003027</c:v>
                </c:pt>
                <c:pt idx="653">
                  <c:v>1.1397000015522971</c:v>
                </c:pt>
                <c:pt idx="654">
                  <c:v>1.1414453308042916</c:v>
                </c:pt>
                <c:pt idx="655">
                  <c:v>1.143190660056286</c:v>
                </c:pt>
                <c:pt idx="656">
                  <c:v>1.14493598930828</c:v>
                </c:pt>
                <c:pt idx="657">
                  <c:v>1.1466813185602747</c:v>
                </c:pt>
                <c:pt idx="658">
                  <c:v>1.1484266478122689</c:v>
                </c:pt>
                <c:pt idx="659">
                  <c:v>1.1501719770642633</c:v>
                </c:pt>
                <c:pt idx="660">
                  <c:v>1.1519173063162575</c:v>
                </c:pt>
                <c:pt idx="661">
                  <c:v>1.153662635568252</c:v>
                </c:pt>
                <c:pt idx="662">
                  <c:v>1.1554079648202462</c:v>
                </c:pt>
                <c:pt idx="663">
                  <c:v>1.1571532940722404</c:v>
                </c:pt>
                <c:pt idx="664">
                  <c:v>1.1588986233242347</c:v>
                </c:pt>
                <c:pt idx="665">
                  <c:v>1.1606439525762291</c:v>
                </c:pt>
                <c:pt idx="666">
                  <c:v>1.1623892818282233</c:v>
                </c:pt>
                <c:pt idx="667">
                  <c:v>1.1641346110802178</c:v>
                </c:pt>
                <c:pt idx="668">
                  <c:v>1.165879940332212</c:v>
                </c:pt>
                <c:pt idx="669">
                  <c:v>1.1676252695842064</c:v>
                </c:pt>
                <c:pt idx="670">
                  <c:v>1.1693705988362006</c:v>
                </c:pt>
                <c:pt idx="671">
                  <c:v>1.1711159280881951</c:v>
                </c:pt>
                <c:pt idx="672">
                  <c:v>1.1728612573401895</c:v>
                </c:pt>
                <c:pt idx="673">
                  <c:v>1.174606586592184</c:v>
                </c:pt>
                <c:pt idx="674">
                  <c:v>1.1763519158441782</c:v>
                </c:pt>
                <c:pt idx="675">
                  <c:v>1.1780972450961724</c:v>
                </c:pt>
                <c:pt idx="676">
                  <c:v>1.1798425743481666</c:v>
                </c:pt>
                <c:pt idx="677">
                  <c:v>1.1815879036001609</c:v>
                </c:pt>
                <c:pt idx="678">
                  <c:v>1.1833332328521553</c:v>
                </c:pt>
                <c:pt idx="679">
                  <c:v>1.18507856210415</c:v>
                </c:pt>
                <c:pt idx="680">
                  <c:v>1.1868238913561442</c:v>
                </c:pt>
                <c:pt idx="681">
                  <c:v>1.1885692206081382</c:v>
                </c:pt>
                <c:pt idx="682">
                  <c:v>1.1903145498601329</c:v>
                </c:pt>
                <c:pt idx="683">
                  <c:v>1.1920598791121269</c:v>
                </c:pt>
                <c:pt idx="684">
                  <c:v>1.1938052083641215</c:v>
                </c:pt>
                <c:pt idx="685">
                  <c:v>1.1955505376161157</c:v>
                </c:pt>
                <c:pt idx="686">
                  <c:v>1.1972958668681102</c:v>
                </c:pt>
                <c:pt idx="687">
                  <c:v>1.1990411961201044</c:v>
                </c:pt>
                <c:pt idx="688">
                  <c:v>1.2007865253720986</c:v>
                </c:pt>
                <c:pt idx="689">
                  <c:v>1.2025318546240928</c:v>
                </c:pt>
                <c:pt idx="690">
                  <c:v>1.2042771838760873</c:v>
                </c:pt>
                <c:pt idx="691">
                  <c:v>1.2060225131280817</c:v>
                </c:pt>
                <c:pt idx="692">
                  <c:v>1.207767842380076</c:v>
                </c:pt>
                <c:pt idx="693">
                  <c:v>1.2095131716320704</c:v>
                </c:pt>
                <c:pt idx="694">
                  <c:v>1.2112585008840648</c:v>
                </c:pt>
                <c:pt idx="695">
                  <c:v>1.2130038301360591</c:v>
                </c:pt>
                <c:pt idx="696">
                  <c:v>1.2147491593880533</c:v>
                </c:pt>
                <c:pt idx="697">
                  <c:v>1.2164944886400477</c:v>
                </c:pt>
                <c:pt idx="698">
                  <c:v>1.2182398178920422</c:v>
                </c:pt>
                <c:pt idx="699">
                  <c:v>1.2199851471440364</c:v>
                </c:pt>
                <c:pt idx="700">
                  <c:v>1.2217304763960306</c:v>
                </c:pt>
                <c:pt idx="701">
                  <c:v>1.2234758056480248</c:v>
                </c:pt>
                <c:pt idx="702">
                  <c:v>1.225221134900019</c:v>
                </c:pt>
                <c:pt idx="703">
                  <c:v>1.2269664641520135</c:v>
                </c:pt>
                <c:pt idx="704">
                  <c:v>1.2287117934040082</c:v>
                </c:pt>
                <c:pt idx="705">
                  <c:v>1.2304571226560022</c:v>
                </c:pt>
                <c:pt idx="706">
                  <c:v>1.2322024519079966</c:v>
                </c:pt>
                <c:pt idx="707">
                  <c:v>1.233947781159991</c:v>
                </c:pt>
                <c:pt idx="708">
                  <c:v>1.2356931104119853</c:v>
                </c:pt>
                <c:pt idx="709">
                  <c:v>1.2374384396639797</c:v>
                </c:pt>
                <c:pt idx="710">
                  <c:v>1.2391837689159739</c:v>
                </c:pt>
                <c:pt idx="711">
                  <c:v>1.2409290981679684</c:v>
                </c:pt>
                <c:pt idx="712">
                  <c:v>1.2426744274199626</c:v>
                </c:pt>
                <c:pt idx="713">
                  <c:v>1.244419756671957</c:v>
                </c:pt>
                <c:pt idx="714">
                  <c:v>1.246165085923951</c:v>
                </c:pt>
                <c:pt idx="715">
                  <c:v>1.2479104151759457</c:v>
                </c:pt>
                <c:pt idx="716">
                  <c:v>1.2496557444279399</c:v>
                </c:pt>
                <c:pt idx="717">
                  <c:v>1.2514010736799344</c:v>
                </c:pt>
                <c:pt idx="718">
                  <c:v>1.2531464029319286</c:v>
                </c:pt>
                <c:pt idx="719">
                  <c:v>1.254891732183923</c:v>
                </c:pt>
                <c:pt idx="720">
                  <c:v>1.2566370614359172</c:v>
                </c:pt>
                <c:pt idx="721">
                  <c:v>1.2583823906879115</c:v>
                </c:pt>
                <c:pt idx="722">
                  <c:v>1.2601277199399059</c:v>
                </c:pt>
                <c:pt idx="723">
                  <c:v>1.2618730491919006</c:v>
                </c:pt>
                <c:pt idx="724">
                  <c:v>1.2636183784438946</c:v>
                </c:pt>
                <c:pt idx="725">
                  <c:v>1.2653637076958888</c:v>
                </c:pt>
                <c:pt idx="726">
                  <c:v>1.267109036947883</c:v>
                </c:pt>
                <c:pt idx="727">
                  <c:v>1.2688543661998775</c:v>
                </c:pt>
                <c:pt idx="728">
                  <c:v>1.2705996954518719</c:v>
                </c:pt>
                <c:pt idx="729">
                  <c:v>1.2723450247038663</c:v>
                </c:pt>
                <c:pt idx="730">
                  <c:v>1.2740903539558606</c:v>
                </c:pt>
                <c:pt idx="731">
                  <c:v>1.2758356832078548</c:v>
                </c:pt>
                <c:pt idx="732">
                  <c:v>1.2775810124598492</c:v>
                </c:pt>
                <c:pt idx="733">
                  <c:v>1.2793263417118435</c:v>
                </c:pt>
                <c:pt idx="734">
                  <c:v>1.2810716709638379</c:v>
                </c:pt>
                <c:pt idx="735">
                  <c:v>1.2828170002158323</c:v>
                </c:pt>
                <c:pt idx="736">
                  <c:v>1.2845623294678268</c:v>
                </c:pt>
                <c:pt idx="737">
                  <c:v>1.286307658719821</c:v>
                </c:pt>
                <c:pt idx="738">
                  <c:v>1.2880529879718152</c:v>
                </c:pt>
                <c:pt idx="739">
                  <c:v>1.2897983172238092</c:v>
                </c:pt>
                <c:pt idx="740">
                  <c:v>1.2915436464758039</c:v>
                </c:pt>
                <c:pt idx="741">
                  <c:v>1.2932889757277981</c:v>
                </c:pt>
                <c:pt idx="742">
                  <c:v>1.2950343049797925</c:v>
                </c:pt>
                <c:pt idx="743">
                  <c:v>1.2967796342317868</c:v>
                </c:pt>
                <c:pt idx="744">
                  <c:v>1.2985249634837812</c:v>
                </c:pt>
                <c:pt idx="745">
                  <c:v>1.3002702927357754</c:v>
                </c:pt>
                <c:pt idx="746">
                  <c:v>1.3020156219877697</c:v>
                </c:pt>
                <c:pt idx="747">
                  <c:v>1.3037609512397641</c:v>
                </c:pt>
                <c:pt idx="748">
                  <c:v>1.3055062804917588</c:v>
                </c:pt>
                <c:pt idx="749">
                  <c:v>1.3072516097437528</c:v>
                </c:pt>
                <c:pt idx="750">
                  <c:v>1.3089969389957472</c:v>
                </c:pt>
                <c:pt idx="751">
                  <c:v>1.3107422682477414</c:v>
                </c:pt>
                <c:pt idx="752">
                  <c:v>1.3124875974997356</c:v>
                </c:pt>
                <c:pt idx="753">
                  <c:v>1.3142329267517301</c:v>
                </c:pt>
                <c:pt idx="754">
                  <c:v>1.3159782560037245</c:v>
                </c:pt>
                <c:pt idx="755">
                  <c:v>1.3177235852557188</c:v>
                </c:pt>
                <c:pt idx="756">
                  <c:v>1.319468914507713</c:v>
                </c:pt>
                <c:pt idx="757">
                  <c:v>1.3212142437597076</c:v>
                </c:pt>
                <c:pt idx="758">
                  <c:v>1.3229595730117016</c:v>
                </c:pt>
                <c:pt idx="759">
                  <c:v>1.3247049022636963</c:v>
                </c:pt>
                <c:pt idx="760">
                  <c:v>1.3264502315156903</c:v>
                </c:pt>
                <c:pt idx="761">
                  <c:v>1.328195560767685</c:v>
                </c:pt>
                <c:pt idx="762">
                  <c:v>1.3299408900196792</c:v>
                </c:pt>
                <c:pt idx="763">
                  <c:v>1.3316862192716732</c:v>
                </c:pt>
                <c:pt idx="764">
                  <c:v>1.3334315485236676</c:v>
                </c:pt>
                <c:pt idx="765">
                  <c:v>1.3351768777756621</c:v>
                </c:pt>
                <c:pt idx="766">
                  <c:v>1.3369222070276563</c:v>
                </c:pt>
                <c:pt idx="767">
                  <c:v>1.3386675362796507</c:v>
                </c:pt>
                <c:pt idx="768">
                  <c:v>1.340412865531645</c:v>
                </c:pt>
                <c:pt idx="769">
                  <c:v>1.3421581947836394</c:v>
                </c:pt>
                <c:pt idx="770">
                  <c:v>1.3439035240356338</c:v>
                </c:pt>
                <c:pt idx="771">
                  <c:v>1.3456488532876281</c:v>
                </c:pt>
                <c:pt idx="772">
                  <c:v>1.3473941825396225</c:v>
                </c:pt>
                <c:pt idx="773">
                  <c:v>1.3491395117916167</c:v>
                </c:pt>
                <c:pt idx="774">
                  <c:v>1.3508848410436112</c:v>
                </c:pt>
                <c:pt idx="775">
                  <c:v>1.3526301702956054</c:v>
                </c:pt>
                <c:pt idx="776">
                  <c:v>1.3543754995475996</c:v>
                </c:pt>
                <c:pt idx="777">
                  <c:v>1.3561208287995938</c:v>
                </c:pt>
                <c:pt idx="778">
                  <c:v>1.3578661580515883</c:v>
                </c:pt>
                <c:pt idx="779">
                  <c:v>1.3596114873035827</c:v>
                </c:pt>
                <c:pt idx="780">
                  <c:v>1.3613568165555769</c:v>
                </c:pt>
                <c:pt idx="781">
                  <c:v>1.3631021458075712</c:v>
                </c:pt>
                <c:pt idx="782">
                  <c:v>1.3648474750595656</c:v>
                </c:pt>
                <c:pt idx="783">
                  <c:v>1.3665928043115598</c:v>
                </c:pt>
                <c:pt idx="784">
                  <c:v>1.3683381335635545</c:v>
                </c:pt>
                <c:pt idx="785">
                  <c:v>1.3700834628155485</c:v>
                </c:pt>
                <c:pt idx="786">
                  <c:v>1.3718287920675432</c:v>
                </c:pt>
                <c:pt idx="787">
                  <c:v>1.3735741213195374</c:v>
                </c:pt>
                <c:pt idx="788">
                  <c:v>1.3753194505715316</c:v>
                </c:pt>
                <c:pt idx="789">
                  <c:v>1.3770647798235258</c:v>
                </c:pt>
                <c:pt idx="790">
                  <c:v>1.3788101090755203</c:v>
                </c:pt>
                <c:pt idx="791">
                  <c:v>1.3805554383275145</c:v>
                </c:pt>
                <c:pt idx="792">
                  <c:v>1.3823007675795091</c:v>
                </c:pt>
                <c:pt idx="793">
                  <c:v>1.3840460968315034</c:v>
                </c:pt>
                <c:pt idx="794">
                  <c:v>1.3857914260834978</c:v>
                </c:pt>
                <c:pt idx="795">
                  <c:v>1.387536755335492</c:v>
                </c:pt>
                <c:pt idx="796">
                  <c:v>1.3892820845874863</c:v>
                </c:pt>
                <c:pt idx="797">
                  <c:v>1.3910274138394807</c:v>
                </c:pt>
                <c:pt idx="798">
                  <c:v>1.3927727430914751</c:v>
                </c:pt>
                <c:pt idx="799">
                  <c:v>1.3945180723434694</c:v>
                </c:pt>
                <c:pt idx="800">
                  <c:v>1.3962634015954636</c:v>
                </c:pt>
                <c:pt idx="801">
                  <c:v>1.3980087308474578</c:v>
                </c:pt>
                <c:pt idx="802">
                  <c:v>1.399754060099452</c:v>
                </c:pt>
                <c:pt idx="803">
                  <c:v>1.4014993893514465</c:v>
                </c:pt>
                <c:pt idx="804">
                  <c:v>1.4032447186034409</c:v>
                </c:pt>
                <c:pt idx="805">
                  <c:v>1.4049900478554351</c:v>
                </c:pt>
                <c:pt idx="806">
                  <c:v>1.4067353771074298</c:v>
                </c:pt>
                <c:pt idx="807">
                  <c:v>1.4084807063594238</c:v>
                </c:pt>
                <c:pt idx="808">
                  <c:v>1.4102260356114182</c:v>
                </c:pt>
                <c:pt idx="809">
                  <c:v>1.4119713648634127</c:v>
                </c:pt>
                <c:pt idx="810">
                  <c:v>1.4137166941154069</c:v>
                </c:pt>
                <c:pt idx="811">
                  <c:v>1.4154620233674011</c:v>
                </c:pt>
                <c:pt idx="812">
                  <c:v>1.4172073526193953</c:v>
                </c:pt>
                <c:pt idx="813">
                  <c:v>1.41895268187139</c:v>
                </c:pt>
                <c:pt idx="814">
                  <c:v>1.4206980111233845</c:v>
                </c:pt>
                <c:pt idx="815">
                  <c:v>1.4224433403753785</c:v>
                </c:pt>
                <c:pt idx="816">
                  <c:v>1.4241886696273727</c:v>
                </c:pt>
                <c:pt idx="817">
                  <c:v>1.4259339988793673</c:v>
                </c:pt>
                <c:pt idx="818">
                  <c:v>1.4276793281313616</c:v>
                </c:pt>
                <c:pt idx="819">
                  <c:v>1.4294246573833558</c:v>
                </c:pt>
                <c:pt idx="820">
                  <c:v>1.43116998663535</c:v>
                </c:pt>
                <c:pt idx="821">
                  <c:v>1.4329153158873447</c:v>
                </c:pt>
                <c:pt idx="822">
                  <c:v>1.4346606451393389</c:v>
                </c:pt>
                <c:pt idx="823">
                  <c:v>1.4364059743913336</c:v>
                </c:pt>
                <c:pt idx="824">
                  <c:v>1.4381513036433278</c:v>
                </c:pt>
                <c:pt idx="825">
                  <c:v>1.4398966328953218</c:v>
                </c:pt>
                <c:pt idx="826">
                  <c:v>1.441641962147316</c:v>
                </c:pt>
                <c:pt idx="827">
                  <c:v>1.4433872913993102</c:v>
                </c:pt>
                <c:pt idx="828">
                  <c:v>1.4451326206513049</c:v>
                </c:pt>
                <c:pt idx="829">
                  <c:v>1.4468779499032991</c:v>
                </c:pt>
                <c:pt idx="830">
                  <c:v>1.4486232791552935</c:v>
                </c:pt>
                <c:pt idx="831">
                  <c:v>1.450368608407288</c:v>
                </c:pt>
                <c:pt idx="832">
                  <c:v>1.4521139376592822</c:v>
                </c:pt>
                <c:pt idx="833">
                  <c:v>1.4538592669112764</c:v>
                </c:pt>
                <c:pt idx="834">
                  <c:v>1.4556045961632711</c:v>
                </c:pt>
                <c:pt idx="835">
                  <c:v>1.4573499254152653</c:v>
                </c:pt>
                <c:pt idx="836">
                  <c:v>1.4590952546672595</c:v>
                </c:pt>
                <c:pt idx="837">
                  <c:v>1.4608405839192535</c:v>
                </c:pt>
                <c:pt idx="838">
                  <c:v>1.4625859131712484</c:v>
                </c:pt>
                <c:pt idx="839">
                  <c:v>1.4643312424232426</c:v>
                </c:pt>
                <c:pt idx="840">
                  <c:v>1.4660765716752369</c:v>
                </c:pt>
                <c:pt idx="841">
                  <c:v>1.4678219009272311</c:v>
                </c:pt>
                <c:pt idx="842">
                  <c:v>1.4695672301792253</c:v>
                </c:pt>
                <c:pt idx="843">
                  <c:v>1.4713125594312197</c:v>
                </c:pt>
                <c:pt idx="844">
                  <c:v>1.473057888683214</c:v>
                </c:pt>
                <c:pt idx="845">
                  <c:v>1.4748032179352084</c:v>
                </c:pt>
                <c:pt idx="846">
                  <c:v>1.4765485471872031</c:v>
                </c:pt>
                <c:pt idx="847">
                  <c:v>1.4782938764391971</c:v>
                </c:pt>
                <c:pt idx="848">
                  <c:v>1.4800392056911915</c:v>
                </c:pt>
                <c:pt idx="849">
                  <c:v>1.4817845349431857</c:v>
                </c:pt>
                <c:pt idx="850">
                  <c:v>1.4835298641951802</c:v>
                </c:pt>
                <c:pt idx="851">
                  <c:v>1.4852751934471744</c:v>
                </c:pt>
                <c:pt idx="852">
                  <c:v>1.4870205226991686</c:v>
                </c:pt>
                <c:pt idx="853">
                  <c:v>1.4887658519511628</c:v>
                </c:pt>
                <c:pt idx="854">
                  <c:v>1.4905111812031571</c:v>
                </c:pt>
                <c:pt idx="855">
                  <c:v>1.4922565104551517</c:v>
                </c:pt>
                <c:pt idx="856">
                  <c:v>1.4940018397071464</c:v>
                </c:pt>
                <c:pt idx="857">
                  <c:v>1.4957471689591406</c:v>
                </c:pt>
                <c:pt idx="858">
                  <c:v>1.4974924982111348</c:v>
                </c:pt>
                <c:pt idx="859">
                  <c:v>1.4992378274631291</c:v>
                </c:pt>
                <c:pt idx="860">
                  <c:v>1.5009831567151233</c:v>
                </c:pt>
                <c:pt idx="861">
                  <c:v>1.5027284859671175</c:v>
                </c:pt>
                <c:pt idx="862">
                  <c:v>1.5044738152191119</c:v>
                </c:pt>
                <c:pt idx="863">
                  <c:v>1.5062191444711064</c:v>
                </c:pt>
                <c:pt idx="864">
                  <c:v>1.5079644737231006</c:v>
                </c:pt>
                <c:pt idx="865">
                  <c:v>1.509709802975095</c:v>
                </c:pt>
                <c:pt idx="866">
                  <c:v>1.5114551322270893</c:v>
                </c:pt>
                <c:pt idx="867">
                  <c:v>1.5132004614790837</c:v>
                </c:pt>
                <c:pt idx="868">
                  <c:v>1.5149457907310782</c:v>
                </c:pt>
                <c:pt idx="869">
                  <c:v>1.5166911199830724</c:v>
                </c:pt>
                <c:pt idx="870">
                  <c:v>1.5184364492350666</c:v>
                </c:pt>
                <c:pt idx="871">
                  <c:v>1.520181778487061</c:v>
                </c:pt>
                <c:pt idx="872">
                  <c:v>1.5219271077390555</c:v>
                </c:pt>
                <c:pt idx="873">
                  <c:v>1.5236724369910499</c:v>
                </c:pt>
                <c:pt idx="874">
                  <c:v>1.5254177662430441</c:v>
                </c:pt>
                <c:pt idx="875">
                  <c:v>1.5271630954950381</c:v>
                </c:pt>
                <c:pt idx="876">
                  <c:v>1.5289084247470324</c:v>
                </c:pt>
                <c:pt idx="877">
                  <c:v>1.5306537539990268</c:v>
                </c:pt>
                <c:pt idx="878">
                  <c:v>1.5323990832510213</c:v>
                </c:pt>
                <c:pt idx="879">
                  <c:v>1.5341444125030155</c:v>
                </c:pt>
                <c:pt idx="880">
                  <c:v>1.5358897417550099</c:v>
                </c:pt>
                <c:pt idx="881">
                  <c:v>1.5376350710070044</c:v>
                </c:pt>
                <c:pt idx="882">
                  <c:v>1.5393804002589986</c:v>
                </c:pt>
                <c:pt idx="883">
                  <c:v>1.5411257295109928</c:v>
                </c:pt>
                <c:pt idx="884">
                  <c:v>1.5428710587629875</c:v>
                </c:pt>
                <c:pt idx="885">
                  <c:v>1.5446163880149817</c:v>
                </c:pt>
                <c:pt idx="886">
                  <c:v>1.5463617172669757</c:v>
                </c:pt>
                <c:pt idx="887">
                  <c:v>1.5481070465189699</c:v>
                </c:pt>
                <c:pt idx="888">
                  <c:v>1.5498523757709648</c:v>
                </c:pt>
                <c:pt idx="889">
                  <c:v>1.551597705022959</c:v>
                </c:pt>
                <c:pt idx="890">
                  <c:v>1.5533430342749535</c:v>
                </c:pt>
                <c:pt idx="891">
                  <c:v>1.5550883635269477</c:v>
                </c:pt>
                <c:pt idx="892">
                  <c:v>1.5568336927789419</c:v>
                </c:pt>
                <c:pt idx="893">
                  <c:v>1.5585790220309361</c:v>
                </c:pt>
                <c:pt idx="894">
                  <c:v>1.5603243512829303</c:v>
                </c:pt>
                <c:pt idx="895">
                  <c:v>1.562069680534925</c:v>
                </c:pt>
                <c:pt idx="896">
                  <c:v>1.5638150097869192</c:v>
                </c:pt>
                <c:pt idx="897">
                  <c:v>1.5655603390389135</c:v>
                </c:pt>
                <c:pt idx="898">
                  <c:v>1.5673056682909081</c:v>
                </c:pt>
                <c:pt idx="899">
                  <c:v>1.5690509975429023</c:v>
                </c:pt>
                <c:pt idx="900">
                  <c:v>1.5707963267948966</c:v>
                </c:pt>
                <c:pt idx="901">
                  <c:v>1.5725416560468908</c:v>
                </c:pt>
                <c:pt idx="902">
                  <c:v>1.5742869852988852</c:v>
                </c:pt>
                <c:pt idx="903">
                  <c:v>1.5760323145508794</c:v>
                </c:pt>
                <c:pt idx="904">
                  <c:v>1.5777776438028737</c:v>
                </c:pt>
                <c:pt idx="905">
                  <c:v>1.5795229730548681</c:v>
                </c:pt>
                <c:pt idx="906">
                  <c:v>1.5812683023068628</c:v>
                </c:pt>
                <c:pt idx="907">
                  <c:v>1.583013631558857</c:v>
                </c:pt>
                <c:pt idx="908">
                  <c:v>1.584758960810851</c:v>
                </c:pt>
                <c:pt idx="909">
                  <c:v>1.5865042900628457</c:v>
                </c:pt>
                <c:pt idx="910">
                  <c:v>1.5882496193148399</c:v>
                </c:pt>
                <c:pt idx="911">
                  <c:v>1.5899949485668341</c:v>
                </c:pt>
                <c:pt idx="912">
                  <c:v>1.5917402778188283</c:v>
                </c:pt>
                <c:pt idx="913">
                  <c:v>1.593485607070823</c:v>
                </c:pt>
                <c:pt idx="914">
                  <c:v>1.5952309363228172</c:v>
                </c:pt>
                <c:pt idx="915">
                  <c:v>1.5969762655748114</c:v>
                </c:pt>
                <c:pt idx="916">
                  <c:v>1.5987215948268056</c:v>
                </c:pt>
                <c:pt idx="917">
                  <c:v>1.6004669240788003</c:v>
                </c:pt>
                <c:pt idx="918">
                  <c:v>1.6022122533307945</c:v>
                </c:pt>
                <c:pt idx="919">
                  <c:v>1.6039575825827888</c:v>
                </c:pt>
                <c:pt idx="920">
                  <c:v>1.605702911834783</c:v>
                </c:pt>
                <c:pt idx="921">
                  <c:v>1.6074482410867776</c:v>
                </c:pt>
                <c:pt idx="922">
                  <c:v>1.6091935703387719</c:v>
                </c:pt>
                <c:pt idx="923">
                  <c:v>1.6109388995907665</c:v>
                </c:pt>
                <c:pt idx="924">
                  <c:v>1.6126842288427605</c:v>
                </c:pt>
                <c:pt idx="925">
                  <c:v>1.6144295580947547</c:v>
                </c:pt>
                <c:pt idx="926">
                  <c:v>1.616174887346749</c:v>
                </c:pt>
                <c:pt idx="927">
                  <c:v>1.6179202165987432</c:v>
                </c:pt>
                <c:pt idx="928">
                  <c:v>1.6196655458507379</c:v>
                </c:pt>
                <c:pt idx="929">
                  <c:v>1.6214108751027321</c:v>
                </c:pt>
                <c:pt idx="930">
                  <c:v>1.6231562043547263</c:v>
                </c:pt>
                <c:pt idx="931">
                  <c:v>1.624901533606721</c:v>
                </c:pt>
                <c:pt idx="932">
                  <c:v>1.6266468628587152</c:v>
                </c:pt>
                <c:pt idx="933">
                  <c:v>1.6283921921107094</c:v>
                </c:pt>
                <c:pt idx="934">
                  <c:v>1.6301375213627041</c:v>
                </c:pt>
                <c:pt idx="935">
                  <c:v>1.6318828506146983</c:v>
                </c:pt>
                <c:pt idx="936">
                  <c:v>1.6336281798666923</c:v>
                </c:pt>
                <c:pt idx="937">
                  <c:v>1.6353735091186865</c:v>
                </c:pt>
                <c:pt idx="938">
                  <c:v>1.6371188383706814</c:v>
                </c:pt>
                <c:pt idx="939">
                  <c:v>1.6388641676226756</c:v>
                </c:pt>
                <c:pt idx="940">
                  <c:v>1.6406094968746698</c:v>
                </c:pt>
                <c:pt idx="941">
                  <c:v>1.6423548261266641</c:v>
                </c:pt>
                <c:pt idx="942">
                  <c:v>1.6441001553786583</c:v>
                </c:pt>
                <c:pt idx="943">
                  <c:v>1.6458454846306527</c:v>
                </c:pt>
                <c:pt idx="944">
                  <c:v>1.6475908138826469</c:v>
                </c:pt>
                <c:pt idx="945">
                  <c:v>1.6493361431346414</c:v>
                </c:pt>
                <c:pt idx="946">
                  <c:v>1.6510814723866358</c:v>
                </c:pt>
                <c:pt idx="947">
                  <c:v>1.65282680163863</c:v>
                </c:pt>
                <c:pt idx="948">
                  <c:v>1.6545721308906245</c:v>
                </c:pt>
                <c:pt idx="949">
                  <c:v>1.6563174601426189</c:v>
                </c:pt>
                <c:pt idx="950">
                  <c:v>1.6580627893946132</c:v>
                </c:pt>
                <c:pt idx="951">
                  <c:v>1.6598081186466074</c:v>
                </c:pt>
                <c:pt idx="952">
                  <c:v>1.6615534478986016</c:v>
                </c:pt>
                <c:pt idx="953">
                  <c:v>1.6632987771505958</c:v>
                </c:pt>
                <c:pt idx="954">
                  <c:v>1.66504410640259</c:v>
                </c:pt>
                <c:pt idx="955">
                  <c:v>1.6667894356545847</c:v>
                </c:pt>
                <c:pt idx="956">
                  <c:v>1.6685347649065794</c:v>
                </c:pt>
                <c:pt idx="957">
                  <c:v>1.6702800941585736</c:v>
                </c:pt>
                <c:pt idx="958">
                  <c:v>1.6720254234105676</c:v>
                </c:pt>
                <c:pt idx="959">
                  <c:v>1.673770752662562</c:v>
                </c:pt>
                <c:pt idx="960">
                  <c:v>1.6755160819145563</c:v>
                </c:pt>
                <c:pt idx="961">
                  <c:v>1.6772614111665507</c:v>
                </c:pt>
                <c:pt idx="962">
                  <c:v>1.6790067404185449</c:v>
                </c:pt>
                <c:pt idx="963">
                  <c:v>1.6807520696705394</c:v>
                </c:pt>
                <c:pt idx="964">
                  <c:v>1.6824973989225336</c:v>
                </c:pt>
                <c:pt idx="965">
                  <c:v>1.684242728174528</c:v>
                </c:pt>
                <c:pt idx="966">
                  <c:v>1.6859880574265222</c:v>
                </c:pt>
                <c:pt idx="967">
                  <c:v>1.6877333866785167</c:v>
                </c:pt>
                <c:pt idx="968">
                  <c:v>1.6894787159305111</c:v>
                </c:pt>
                <c:pt idx="969">
                  <c:v>1.6912240451825049</c:v>
                </c:pt>
                <c:pt idx="970">
                  <c:v>1.6929693744344996</c:v>
                </c:pt>
                <c:pt idx="971">
                  <c:v>1.6947147036864942</c:v>
                </c:pt>
                <c:pt idx="972">
                  <c:v>1.6964600329384885</c:v>
                </c:pt>
                <c:pt idx="973">
                  <c:v>1.6982053621904827</c:v>
                </c:pt>
                <c:pt idx="974">
                  <c:v>1.6999506914424769</c:v>
                </c:pt>
                <c:pt idx="975">
                  <c:v>1.7016960206944711</c:v>
                </c:pt>
                <c:pt idx="976">
                  <c:v>1.7034413499464653</c:v>
                </c:pt>
                <c:pt idx="977">
                  <c:v>1.7051866791984598</c:v>
                </c:pt>
                <c:pt idx="978">
                  <c:v>1.7069320084504542</c:v>
                </c:pt>
                <c:pt idx="979">
                  <c:v>1.7086773377024485</c:v>
                </c:pt>
                <c:pt idx="980">
                  <c:v>1.7104226669544429</c:v>
                </c:pt>
                <c:pt idx="981">
                  <c:v>1.7121679962064373</c:v>
                </c:pt>
                <c:pt idx="982">
                  <c:v>1.7139133254584316</c:v>
                </c:pt>
                <c:pt idx="983">
                  <c:v>1.715658654710426</c:v>
                </c:pt>
                <c:pt idx="984">
                  <c:v>1.7174039839624204</c:v>
                </c:pt>
                <c:pt idx="985">
                  <c:v>1.7191493132144144</c:v>
                </c:pt>
                <c:pt idx="986">
                  <c:v>1.7208946424664087</c:v>
                </c:pt>
                <c:pt idx="987">
                  <c:v>1.7226399717184029</c:v>
                </c:pt>
                <c:pt idx="988">
                  <c:v>1.7243853009703978</c:v>
                </c:pt>
                <c:pt idx="989">
                  <c:v>1.726130630222392</c:v>
                </c:pt>
                <c:pt idx="990">
                  <c:v>1.7278759594743864</c:v>
                </c:pt>
                <c:pt idx="991">
                  <c:v>1.7296212887263802</c:v>
                </c:pt>
                <c:pt idx="992">
                  <c:v>1.7313666179783749</c:v>
                </c:pt>
                <c:pt idx="993">
                  <c:v>1.7331119472303691</c:v>
                </c:pt>
                <c:pt idx="994">
                  <c:v>1.7348572764823633</c:v>
                </c:pt>
                <c:pt idx="995">
                  <c:v>1.736602605734358</c:v>
                </c:pt>
                <c:pt idx="996">
                  <c:v>1.7383479349863522</c:v>
                </c:pt>
                <c:pt idx="997">
                  <c:v>1.7400932642383464</c:v>
                </c:pt>
                <c:pt idx="998">
                  <c:v>1.7418385934903411</c:v>
                </c:pt>
                <c:pt idx="999">
                  <c:v>1.7435839227423353</c:v>
                </c:pt>
                <c:pt idx="1000">
                  <c:v>1.7453292519943295</c:v>
                </c:pt>
                <c:pt idx="1001">
                  <c:v>1.7470745812463238</c:v>
                </c:pt>
                <c:pt idx="1002">
                  <c:v>1.7488199104983182</c:v>
                </c:pt>
                <c:pt idx="1003">
                  <c:v>1.7505652397503124</c:v>
                </c:pt>
                <c:pt idx="1004">
                  <c:v>1.7523105690023066</c:v>
                </c:pt>
                <c:pt idx="1005">
                  <c:v>1.7540558982543013</c:v>
                </c:pt>
                <c:pt idx="1006">
                  <c:v>1.7558012275062957</c:v>
                </c:pt>
                <c:pt idx="1007">
                  <c:v>1.7575465567582897</c:v>
                </c:pt>
                <c:pt idx="1008">
                  <c:v>1.759291886010284</c:v>
                </c:pt>
                <c:pt idx="1009">
                  <c:v>1.7610372152622786</c:v>
                </c:pt>
                <c:pt idx="1010">
                  <c:v>1.7627825445142729</c:v>
                </c:pt>
                <c:pt idx="1011">
                  <c:v>1.7645278737662671</c:v>
                </c:pt>
                <c:pt idx="1012">
                  <c:v>1.7662732030182613</c:v>
                </c:pt>
                <c:pt idx="1013">
                  <c:v>1.768018532270256</c:v>
                </c:pt>
                <c:pt idx="1014">
                  <c:v>1.7697638615222502</c:v>
                </c:pt>
                <c:pt idx="1015">
                  <c:v>1.7715091907742444</c:v>
                </c:pt>
                <c:pt idx="1016">
                  <c:v>1.7732545200262386</c:v>
                </c:pt>
                <c:pt idx="1017">
                  <c:v>1.7749998492782333</c:v>
                </c:pt>
                <c:pt idx="1018">
                  <c:v>1.7767451785302275</c:v>
                </c:pt>
                <c:pt idx="1019">
                  <c:v>1.7784905077822215</c:v>
                </c:pt>
                <c:pt idx="1020">
                  <c:v>1.780235837034216</c:v>
                </c:pt>
                <c:pt idx="1021">
                  <c:v>1.7819811662862106</c:v>
                </c:pt>
                <c:pt idx="1022">
                  <c:v>1.7837264955382048</c:v>
                </c:pt>
                <c:pt idx="1023">
                  <c:v>1.7854718247901991</c:v>
                </c:pt>
                <c:pt idx="1024">
                  <c:v>1.7872171540421935</c:v>
                </c:pt>
                <c:pt idx="1025">
                  <c:v>1.7889624832941877</c:v>
                </c:pt>
                <c:pt idx="1026">
                  <c:v>1.7907078125461819</c:v>
                </c:pt>
                <c:pt idx="1027">
                  <c:v>1.7924531417981762</c:v>
                </c:pt>
                <c:pt idx="1028">
                  <c:v>1.7941984710501708</c:v>
                </c:pt>
                <c:pt idx="1029">
                  <c:v>1.795943800302165</c:v>
                </c:pt>
                <c:pt idx="1030">
                  <c:v>1.7976891295541593</c:v>
                </c:pt>
                <c:pt idx="1031">
                  <c:v>1.7994344588061539</c:v>
                </c:pt>
                <c:pt idx="1032">
                  <c:v>1.8011797880581482</c:v>
                </c:pt>
                <c:pt idx="1033">
                  <c:v>1.8029251173101424</c:v>
                </c:pt>
                <c:pt idx="1034">
                  <c:v>1.804670446562137</c:v>
                </c:pt>
                <c:pt idx="1035">
                  <c:v>1.8064157758141308</c:v>
                </c:pt>
                <c:pt idx="1036">
                  <c:v>1.8081611050661253</c:v>
                </c:pt>
                <c:pt idx="1037">
                  <c:v>1.8099064343181195</c:v>
                </c:pt>
                <c:pt idx="1038">
                  <c:v>1.8116517635701144</c:v>
                </c:pt>
                <c:pt idx="1039">
                  <c:v>1.8133970928221086</c:v>
                </c:pt>
                <c:pt idx="1040">
                  <c:v>1.8151424220741028</c:v>
                </c:pt>
                <c:pt idx="1041">
                  <c:v>1.8168877513260968</c:v>
                </c:pt>
                <c:pt idx="1042">
                  <c:v>1.8186330805780915</c:v>
                </c:pt>
                <c:pt idx="1043">
                  <c:v>1.8203784098300857</c:v>
                </c:pt>
                <c:pt idx="1044">
                  <c:v>1.8221237390820799</c:v>
                </c:pt>
                <c:pt idx="1045">
                  <c:v>1.8238690683340744</c:v>
                </c:pt>
                <c:pt idx="1046">
                  <c:v>1.8256143975860688</c:v>
                </c:pt>
                <c:pt idx="1047">
                  <c:v>1.827359726838063</c:v>
                </c:pt>
                <c:pt idx="1048">
                  <c:v>1.8291050560900575</c:v>
                </c:pt>
                <c:pt idx="1049">
                  <c:v>1.8308503853420519</c:v>
                </c:pt>
                <c:pt idx="1050">
                  <c:v>1.8325957145940461</c:v>
                </c:pt>
                <c:pt idx="1051">
                  <c:v>1.8343410438460404</c:v>
                </c:pt>
                <c:pt idx="1052">
                  <c:v>1.8360863730980344</c:v>
                </c:pt>
                <c:pt idx="1053">
                  <c:v>1.8378317023500288</c:v>
                </c:pt>
                <c:pt idx="1054">
                  <c:v>1.839577031602023</c:v>
                </c:pt>
                <c:pt idx="1055">
                  <c:v>1.8413223608540177</c:v>
                </c:pt>
                <c:pt idx="1056">
                  <c:v>1.8430676901060119</c:v>
                </c:pt>
                <c:pt idx="1057">
                  <c:v>1.8448130193580061</c:v>
                </c:pt>
                <c:pt idx="1058">
                  <c:v>1.8465583486100006</c:v>
                </c:pt>
                <c:pt idx="1059">
                  <c:v>1.848303677861995</c:v>
                </c:pt>
                <c:pt idx="1060">
                  <c:v>1.8500490071139892</c:v>
                </c:pt>
                <c:pt idx="1061">
                  <c:v>1.8517943363659837</c:v>
                </c:pt>
                <c:pt idx="1062">
                  <c:v>1.8535396656179779</c:v>
                </c:pt>
                <c:pt idx="1063">
                  <c:v>1.8552849948699723</c:v>
                </c:pt>
                <c:pt idx="1064">
                  <c:v>1.8570303241219668</c:v>
                </c:pt>
                <c:pt idx="1065">
                  <c:v>1.858775653373961</c:v>
                </c:pt>
                <c:pt idx="1066">
                  <c:v>1.8605209826259552</c:v>
                </c:pt>
                <c:pt idx="1067">
                  <c:v>1.8622663118779497</c:v>
                </c:pt>
                <c:pt idx="1068">
                  <c:v>1.8640116411299437</c:v>
                </c:pt>
                <c:pt idx="1069">
                  <c:v>1.8657569703819379</c:v>
                </c:pt>
                <c:pt idx="1070">
                  <c:v>1.8675022996339325</c:v>
                </c:pt>
                <c:pt idx="1071">
                  <c:v>1.8692476288859272</c:v>
                </c:pt>
                <c:pt idx="1072">
                  <c:v>1.8709929581379214</c:v>
                </c:pt>
                <c:pt idx="1073">
                  <c:v>1.8727382873899157</c:v>
                </c:pt>
                <c:pt idx="1074">
                  <c:v>1.8744836166419099</c:v>
                </c:pt>
                <c:pt idx="1075">
                  <c:v>1.8762289458939041</c:v>
                </c:pt>
                <c:pt idx="1076">
                  <c:v>1.8779742751458985</c:v>
                </c:pt>
                <c:pt idx="1077">
                  <c:v>1.8797196043978928</c:v>
                </c:pt>
                <c:pt idx="1078">
                  <c:v>1.8814649336498872</c:v>
                </c:pt>
                <c:pt idx="1079">
                  <c:v>1.8832102629018814</c:v>
                </c:pt>
                <c:pt idx="1080">
                  <c:v>1.8849555921538759</c:v>
                </c:pt>
                <c:pt idx="1081">
                  <c:v>1.8867009214058703</c:v>
                </c:pt>
                <c:pt idx="1082">
                  <c:v>1.8884462506578645</c:v>
                </c:pt>
                <c:pt idx="1083">
                  <c:v>1.890191579909859</c:v>
                </c:pt>
                <c:pt idx="1084">
                  <c:v>1.8919369091618532</c:v>
                </c:pt>
                <c:pt idx="1085">
                  <c:v>1.8936822384138474</c:v>
                </c:pt>
                <c:pt idx="1086">
                  <c:v>1.8954275676658416</c:v>
                </c:pt>
                <c:pt idx="1087">
                  <c:v>1.8971728969178359</c:v>
                </c:pt>
                <c:pt idx="1088">
                  <c:v>1.8989182261698307</c:v>
                </c:pt>
                <c:pt idx="1089">
                  <c:v>1.9006635554218252</c:v>
                </c:pt>
                <c:pt idx="1090">
                  <c:v>1.902408884673819</c:v>
                </c:pt>
                <c:pt idx="1091">
                  <c:v>1.9041542139258132</c:v>
                </c:pt>
                <c:pt idx="1092">
                  <c:v>1.9058995431778079</c:v>
                </c:pt>
                <c:pt idx="1093">
                  <c:v>1.9076448724298021</c:v>
                </c:pt>
                <c:pt idx="1094">
                  <c:v>1.9093902016817963</c:v>
                </c:pt>
                <c:pt idx="1095">
                  <c:v>1.911135530933791</c:v>
                </c:pt>
                <c:pt idx="1096">
                  <c:v>1.9128808601857852</c:v>
                </c:pt>
                <c:pt idx="1097">
                  <c:v>1.9146261894377794</c:v>
                </c:pt>
                <c:pt idx="1098">
                  <c:v>1.9163715186897741</c:v>
                </c:pt>
                <c:pt idx="1099">
                  <c:v>1.9181168479417683</c:v>
                </c:pt>
                <c:pt idx="1100">
                  <c:v>1.9198621771937625</c:v>
                </c:pt>
                <c:pt idx="1101">
                  <c:v>1.9216075064457567</c:v>
                </c:pt>
                <c:pt idx="1102">
                  <c:v>1.9233528356977507</c:v>
                </c:pt>
                <c:pt idx="1103">
                  <c:v>1.9250981649497454</c:v>
                </c:pt>
                <c:pt idx="1104">
                  <c:v>1.9268434942017396</c:v>
                </c:pt>
                <c:pt idx="1105">
                  <c:v>1.9285888234537343</c:v>
                </c:pt>
                <c:pt idx="1106">
                  <c:v>1.9303341527057285</c:v>
                </c:pt>
                <c:pt idx="1107">
                  <c:v>1.9320794819577227</c:v>
                </c:pt>
                <c:pt idx="1108">
                  <c:v>1.9338248112097169</c:v>
                </c:pt>
                <c:pt idx="1109">
                  <c:v>1.9355701404617116</c:v>
                </c:pt>
                <c:pt idx="1110">
                  <c:v>1.9373154697137058</c:v>
                </c:pt>
                <c:pt idx="1111">
                  <c:v>1.9390607989657</c:v>
                </c:pt>
                <c:pt idx="1112">
                  <c:v>1.9408061282176943</c:v>
                </c:pt>
                <c:pt idx="1113">
                  <c:v>1.9425514574696889</c:v>
                </c:pt>
                <c:pt idx="1114">
                  <c:v>1.9442967867216832</c:v>
                </c:pt>
                <c:pt idx="1115">
                  <c:v>1.9460421159736774</c:v>
                </c:pt>
                <c:pt idx="1116">
                  <c:v>1.9477874452256716</c:v>
                </c:pt>
                <c:pt idx="1117">
                  <c:v>1.9495327744776663</c:v>
                </c:pt>
                <c:pt idx="1118">
                  <c:v>1.9512781037296603</c:v>
                </c:pt>
                <c:pt idx="1119">
                  <c:v>1.9530234329816545</c:v>
                </c:pt>
                <c:pt idx="1120">
                  <c:v>1.9547687622336491</c:v>
                </c:pt>
                <c:pt idx="1121">
                  <c:v>1.9565140914856436</c:v>
                </c:pt>
                <c:pt idx="1122">
                  <c:v>1.9582594207376378</c:v>
                </c:pt>
                <c:pt idx="1123">
                  <c:v>1.9600047499896323</c:v>
                </c:pt>
                <c:pt idx="1124">
                  <c:v>1.9617500792416265</c:v>
                </c:pt>
                <c:pt idx="1125">
                  <c:v>1.9634954084936207</c:v>
                </c:pt>
                <c:pt idx="1126">
                  <c:v>1.9652407377456149</c:v>
                </c:pt>
                <c:pt idx="1127">
                  <c:v>1.9669860669976091</c:v>
                </c:pt>
                <c:pt idx="1128">
                  <c:v>1.9687313962496038</c:v>
                </c:pt>
                <c:pt idx="1129">
                  <c:v>1.9704767255015978</c:v>
                </c:pt>
                <c:pt idx="1130">
                  <c:v>1.9722220547535922</c:v>
                </c:pt>
                <c:pt idx="1131">
                  <c:v>1.9739673840055869</c:v>
                </c:pt>
                <c:pt idx="1132">
                  <c:v>1.9757127132575811</c:v>
                </c:pt>
                <c:pt idx="1133">
                  <c:v>1.9774580425095754</c:v>
                </c:pt>
                <c:pt idx="1134">
                  <c:v>1.9792033717615696</c:v>
                </c:pt>
                <c:pt idx="1135">
                  <c:v>1.9809487010135638</c:v>
                </c:pt>
                <c:pt idx="1136">
                  <c:v>1.9826940302655582</c:v>
                </c:pt>
                <c:pt idx="1137">
                  <c:v>1.9844393595175525</c:v>
                </c:pt>
                <c:pt idx="1138">
                  <c:v>1.9861846887695473</c:v>
                </c:pt>
                <c:pt idx="1139">
                  <c:v>1.9879300180215413</c:v>
                </c:pt>
                <c:pt idx="1140">
                  <c:v>1.9896753472735356</c:v>
                </c:pt>
                <c:pt idx="1141">
                  <c:v>1.9914206765255298</c:v>
                </c:pt>
                <c:pt idx="1142">
                  <c:v>1.9931660057775245</c:v>
                </c:pt>
                <c:pt idx="1143">
                  <c:v>1.9949113350295187</c:v>
                </c:pt>
                <c:pt idx="1144">
                  <c:v>1.9966566642815129</c:v>
                </c:pt>
                <c:pt idx="1145">
                  <c:v>1.9984019935335071</c:v>
                </c:pt>
                <c:pt idx="1146">
                  <c:v>2.0001473227855016</c:v>
                </c:pt>
                <c:pt idx="1147">
                  <c:v>2.0018926520374958</c:v>
                </c:pt>
                <c:pt idx="1148">
                  <c:v>2.0036379812894904</c:v>
                </c:pt>
                <c:pt idx="1149">
                  <c:v>2.0053833105414847</c:v>
                </c:pt>
                <c:pt idx="1150">
                  <c:v>2.0071286397934789</c:v>
                </c:pt>
                <c:pt idx="1151">
                  <c:v>2.0088739690454731</c:v>
                </c:pt>
                <c:pt idx="1152">
                  <c:v>2.0106192982974673</c:v>
                </c:pt>
                <c:pt idx="1153">
                  <c:v>2.012364627549462</c:v>
                </c:pt>
                <c:pt idx="1154">
                  <c:v>2.0141099568014562</c:v>
                </c:pt>
                <c:pt idx="1155">
                  <c:v>2.0158552860534509</c:v>
                </c:pt>
                <c:pt idx="1156">
                  <c:v>2.0176006153054451</c:v>
                </c:pt>
                <c:pt idx="1157">
                  <c:v>2.0193459445574393</c:v>
                </c:pt>
                <c:pt idx="1158">
                  <c:v>2.0210912738094335</c:v>
                </c:pt>
                <c:pt idx="1159">
                  <c:v>2.0228366030614282</c:v>
                </c:pt>
                <c:pt idx="1160">
                  <c:v>2.0245819323134224</c:v>
                </c:pt>
                <c:pt idx="1161">
                  <c:v>2.0263272615654166</c:v>
                </c:pt>
                <c:pt idx="1162">
                  <c:v>2.0280725908174109</c:v>
                </c:pt>
                <c:pt idx="1163">
                  <c:v>2.0298179200694055</c:v>
                </c:pt>
                <c:pt idx="1164">
                  <c:v>2.0315632493213998</c:v>
                </c:pt>
                <c:pt idx="1165">
                  <c:v>2.033308578573394</c:v>
                </c:pt>
                <c:pt idx="1166">
                  <c:v>2.0350539078253882</c:v>
                </c:pt>
                <c:pt idx="1167">
                  <c:v>2.0367992370773824</c:v>
                </c:pt>
                <c:pt idx="1168">
                  <c:v>2.0385445663293766</c:v>
                </c:pt>
                <c:pt idx="1169">
                  <c:v>2.0402898955813709</c:v>
                </c:pt>
                <c:pt idx="1170">
                  <c:v>2.0420352248333655</c:v>
                </c:pt>
                <c:pt idx="1171">
                  <c:v>2.0437805540853602</c:v>
                </c:pt>
                <c:pt idx="1172">
                  <c:v>2.0455258833373544</c:v>
                </c:pt>
                <c:pt idx="1173">
                  <c:v>2.0472712125893486</c:v>
                </c:pt>
                <c:pt idx="1174">
                  <c:v>2.0490165418413429</c:v>
                </c:pt>
                <c:pt idx="1175">
                  <c:v>2.0507618710933371</c:v>
                </c:pt>
                <c:pt idx="1176">
                  <c:v>2.0525072003453313</c:v>
                </c:pt>
                <c:pt idx="1177">
                  <c:v>2.0542525295973255</c:v>
                </c:pt>
                <c:pt idx="1178">
                  <c:v>2.0559978588493202</c:v>
                </c:pt>
                <c:pt idx="1179">
                  <c:v>2.0577431881013144</c:v>
                </c:pt>
                <c:pt idx="1180">
                  <c:v>2.0594885173533086</c:v>
                </c:pt>
                <c:pt idx="1181">
                  <c:v>2.0612338466053033</c:v>
                </c:pt>
                <c:pt idx="1182">
                  <c:v>2.0629791758572975</c:v>
                </c:pt>
                <c:pt idx="1183">
                  <c:v>2.0647245051092917</c:v>
                </c:pt>
                <c:pt idx="1184">
                  <c:v>2.066469834361286</c:v>
                </c:pt>
                <c:pt idx="1185">
                  <c:v>2.0682151636132806</c:v>
                </c:pt>
                <c:pt idx="1186">
                  <c:v>2.0699604928652748</c:v>
                </c:pt>
                <c:pt idx="1187">
                  <c:v>2.0717058221172691</c:v>
                </c:pt>
                <c:pt idx="1188">
                  <c:v>2.0734511513692637</c:v>
                </c:pt>
                <c:pt idx="1189">
                  <c:v>2.0751964806212579</c:v>
                </c:pt>
                <c:pt idx="1190">
                  <c:v>2.0769418098732522</c:v>
                </c:pt>
                <c:pt idx="1191">
                  <c:v>2.0786871391252464</c:v>
                </c:pt>
                <c:pt idx="1192">
                  <c:v>2.0804324683772411</c:v>
                </c:pt>
                <c:pt idx="1193">
                  <c:v>2.0821777976292353</c:v>
                </c:pt>
                <c:pt idx="1194">
                  <c:v>2.0839231268812295</c:v>
                </c:pt>
                <c:pt idx="1195">
                  <c:v>2.0856684561332237</c:v>
                </c:pt>
                <c:pt idx="1196">
                  <c:v>2.0874137853852184</c:v>
                </c:pt>
                <c:pt idx="1197">
                  <c:v>2.0891591146372126</c:v>
                </c:pt>
                <c:pt idx="1198">
                  <c:v>2.0909044438892073</c:v>
                </c:pt>
                <c:pt idx="1199">
                  <c:v>2.0926497731412015</c:v>
                </c:pt>
                <c:pt idx="1200">
                  <c:v>2.0943951023931953</c:v>
                </c:pt>
                <c:pt idx="1201">
                  <c:v>2.0961404316451895</c:v>
                </c:pt>
                <c:pt idx="1202">
                  <c:v>2.0978857608971837</c:v>
                </c:pt>
                <c:pt idx="1203">
                  <c:v>2.0996310901491784</c:v>
                </c:pt>
                <c:pt idx="1204">
                  <c:v>2.1013764194011726</c:v>
                </c:pt>
                <c:pt idx="1205">
                  <c:v>2.1031217486531673</c:v>
                </c:pt>
                <c:pt idx="1206">
                  <c:v>2.1048670779051615</c:v>
                </c:pt>
                <c:pt idx="1207">
                  <c:v>2.1066124071571557</c:v>
                </c:pt>
                <c:pt idx="1208">
                  <c:v>2.1083577364091499</c:v>
                </c:pt>
                <c:pt idx="1209">
                  <c:v>2.1101030656611446</c:v>
                </c:pt>
                <c:pt idx="1210">
                  <c:v>2.1118483949131388</c:v>
                </c:pt>
                <c:pt idx="1211">
                  <c:v>2.113593724165133</c:v>
                </c:pt>
                <c:pt idx="1212">
                  <c:v>2.1153390534171268</c:v>
                </c:pt>
                <c:pt idx="1213">
                  <c:v>2.1170843826691219</c:v>
                </c:pt>
                <c:pt idx="1214">
                  <c:v>2.1188297119211161</c:v>
                </c:pt>
                <c:pt idx="1215">
                  <c:v>2.1205750411731104</c:v>
                </c:pt>
                <c:pt idx="1216">
                  <c:v>2.1223203704251046</c:v>
                </c:pt>
                <c:pt idx="1217">
                  <c:v>2.1240656996770988</c:v>
                </c:pt>
                <c:pt idx="1218">
                  <c:v>2.125811028929093</c:v>
                </c:pt>
                <c:pt idx="1219">
                  <c:v>2.1275563581810877</c:v>
                </c:pt>
                <c:pt idx="1220">
                  <c:v>2.1293016874330819</c:v>
                </c:pt>
                <c:pt idx="1221">
                  <c:v>2.1310470166850766</c:v>
                </c:pt>
                <c:pt idx="1222">
                  <c:v>2.1327923459370703</c:v>
                </c:pt>
                <c:pt idx="1223">
                  <c:v>2.134537675189065</c:v>
                </c:pt>
                <c:pt idx="1224">
                  <c:v>2.1362830044410592</c:v>
                </c:pt>
                <c:pt idx="1225">
                  <c:v>2.1380283336930535</c:v>
                </c:pt>
                <c:pt idx="1226">
                  <c:v>2.1397736629450481</c:v>
                </c:pt>
                <c:pt idx="1227">
                  <c:v>2.1415189921970423</c:v>
                </c:pt>
                <c:pt idx="1228">
                  <c:v>2.1432643214490366</c:v>
                </c:pt>
                <c:pt idx="1229">
                  <c:v>2.1450096507010308</c:v>
                </c:pt>
                <c:pt idx="1230">
                  <c:v>2.1467549799530254</c:v>
                </c:pt>
                <c:pt idx="1231">
                  <c:v>2.1485003092050197</c:v>
                </c:pt>
                <c:pt idx="1232">
                  <c:v>2.1502456384570143</c:v>
                </c:pt>
                <c:pt idx="1233">
                  <c:v>2.1519909677090086</c:v>
                </c:pt>
                <c:pt idx="1234">
                  <c:v>2.1537362969610028</c:v>
                </c:pt>
                <c:pt idx="1235">
                  <c:v>2.155481626212997</c:v>
                </c:pt>
                <c:pt idx="1236">
                  <c:v>2.1572269554649912</c:v>
                </c:pt>
                <c:pt idx="1237">
                  <c:v>2.1589722847169854</c:v>
                </c:pt>
                <c:pt idx="1238">
                  <c:v>2.1607176139689801</c:v>
                </c:pt>
                <c:pt idx="1239">
                  <c:v>2.1624629432209743</c:v>
                </c:pt>
                <c:pt idx="1240">
                  <c:v>2.1642082724729685</c:v>
                </c:pt>
                <c:pt idx="1241">
                  <c:v>2.1659536017249628</c:v>
                </c:pt>
                <c:pt idx="1242">
                  <c:v>2.1676989309769574</c:v>
                </c:pt>
                <c:pt idx="1243">
                  <c:v>2.1694442602289516</c:v>
                </c:pt>
                <c:pt idx="1244">
                  <c:v>2.1711895894809459</c:v>
                </c:pt>
                <c:pt idx="1245">
                  <c:v>2.1729349187329401</c:v>
                </c:pt>
                <c:pt idx="1246">
                  <c:v>2.1746802479849348</c:v>
                </c:pt>
                <c:pt idx="1247">
                  <c:v>2.176425577236929</c:v>
                </c:pt>
                <c:pt idx="1248">
                  <c:v>2.1781709064889236</c:v>
                </c:pt>
                <c:pt idx="1249">
                  <c:v>2.1799162357409179</c:v>
                </c:pt>
                <c:pt idx="1250">
                  <c:v>2.1816615649929116</c:v>
                </c:pt>
                <c:pt idx="1251">
                  <c:v>2.1834068942449059</c:v>
                </c:pt>
                <c:pt idx="1252">
                  <c:v>2.1851522234969001</c:v>
                </c:pt>
                <c:pt idx="1253">
                  <c:v>2.1868975527488947</c:v>
                </c:pt>
                <c:pt idx="1254">
                  <c:v>2.188642882000889</c:v>
                </c:pt>
                <c:pt idx="1255">
                  <c:v>2.1903882112528836</c:v>
                </c:pt>
                <c:pt idx="1256">
                  <c:v>2.1921335405048779</c:v>
                </c:pt>
                <c:pt idx="1257">
                  <c:v>2.1938788697568721</c:v>
                </c:pt>
                <c:pt idx="1258">
                  <c:v>2.1956241990088663</c:v>
                </c:pt>
                <c:pt idx="1259">
                  <c:v>2.197369528260861</c:v>
                </c:pt>
                <c:pt idx="1260">
                  <c:v>2.1991148575128552</c:v>
                </c:pt>
                <c:pt idx="1261">
                  <c:v>2.2008601867648494</c:v>
                </c:pt>
                <c:pt idx="1262">
                  <c:v>2.2026055160168436</c:v>
                </c:pt>
                <c:pt idx="1263">
                  <c:v>2.2043508452688383</c:v>
                </c:pt>
                <c:pt idx="1264">
                  <c:v>2.2060961745208325</c:v>
                </c:pt>
                <c:pt idx="1265">
                  <c:v>2.2078415037728267</c:v>
                </c:pt>
                <c:pt idx="1266">
                  <c:v>2.2095868330248214</c:v>
                </c:pt>
                <c:pt idx="1267">
                  <c:v>2.2113321622768156</c:v>
                </c:pt>
                <c:pt idx="1268">
                  <c:v>2.2130774915288098</c:v>
                </c:pt>
                <c:pt idx="1269">
                  <c:v>2.2148228207808041</c:v>
                </c:pt>
                <c:pt idx="1270">
                  <c:v>2.2165681500327987</c:v>
                </c:pt>
                <c:pt idx="1271">
                  <c:v>2.2183134792847929</c:v>
                </c:pt>
                <c:pt idx="1272">
                  <c:v>2.2200588085367872</c:v>
                </c:pt>
                <c:pt idx="1273">
                  <c:v>2.2218041377887818</c:v>
                </c:pt>
                <c:pt idx="1274">
                  <c:v>2.2235494670407761</c:v>
                </c:pt>
                <c:pt idx="1275">
                  <c:v>2.2252947962927703</c:v>
                </c:pt>
                <c:pt idx="1276">
                  <c:v>2.2270401255447645</c:v>
                </c:pt>
                <c:pt idx="1277">
                  <c:v>2.2287854547967587</c:v>
                </c:pt>
                <c:pt idx="1278">
                  <c:v>2.2305307840487529</c:v>
                </c:pt>
                <c:pt idx="1279">
                  <c:v>2.2322761133007472</c:v>
                </c:pt>
                <c:pt idx="1280">
                  <c:v>2.2340214425527418</c:v>
                </c:pt>
                <c:pt idx="1281">
                  <c:v>2.235766771804736</c:v>
                </c:pt>
                <c:pt idx="1282">
                  <c:v>2.2375121010567303</c:v>
                </c:pt>
                <c:pt idx="1283">
                  <c:v>2.2392574303087249</c:v>
                </c:pt>
                <c:pt idx="1284">
                  <c:v>2.2410027595607191</c:v>
                </c:pt>
                <c:pt idx="1285">
                  <c:v>2.2427480888127134</c:v>
                </c:pt>
                <c:pt idx="1286">
                  <c:v>2.2444934180647076</c:v>
                </c:pt>
                <c:pt idx="1287">
                  <c:v>2.2462387473167018</c:v>
                </c:pt>
                <c:pt idx="1288">
                  <c:v>2.2479840765686965</c:v>
                </c:pt>
                <c:pt idx="1289">
                  <c:v>2.2497294058206907</c:v>
                </c:pt>
                <c:pt idx="1290">
                  <c:v>2.2514747350726849</c:v>
                </c:pt>
                <c:pt idx="1291">
                  <c:v>2.2532200643246791</c:v>
                </c:pt>
                <c:pt idx="1292">
                  <c:v>2.2549653935766734</c:v>
                </c:pt>
                <c:pt idx="1293">
                  <c:v>2.256710722828668</c:v>
                </c:pt>
                <c:pt idx="1294">
                  <c:v>2.2584560520806622</c:v>
                </c:pt>
                <c:pt idx="1295">
                  <c:v>2.2602013813326565</c:v>
                </c:pt>
                <c:pt idx="1296">
                  <c:v>2.2619467105846516</c:v>
                </c:pt>
                <c:pt idx="1297">
                  <c:v>2.2636920398366458</c:v>
                </c:pt>
                <c:pt idx="1298">
                  <c:v>2.26543736908864</c:v>
                </c:pt>
                <c:pt idx="1299">
                  <c:v>2.2671826983406338</c:v>
                </c:pt>
                <c:pt idx="1300">
                  <c:v>2.2689280275926285</c:v>
                </c:pt>
                <c:pt idx="1301">
                  <c:v>2.2706733568446227</c:v>
                </c:pt>
                <c:pt idx="1302">
                  <c:v>2.2724186860966169</c:v>
                </c:pt>
                <c:pt idx="1303">
                  <c:v>2.2741640153486111</c:v>
                </c:pt>
                <c:pt idx="1304">
                  <c:v>2.2759093446006053</c:v>
                </c:pt>
                <c:pt idx="1305">
                  <c:v>2.2776546738526</c:v>
                </c:pt>
                <c:pt idx="1306">
                  <c:v>2.2794000031045942</c:v>
                </c:pt>
                <c:pt idx="1307">
                  <c:v>2.2811453323565885</c:v>
                </c:pt>
                <c:pt idx="1308">
                  <c:v>2.2828906616085831</c:v>
                </c:pt>
                <c:pt idx="1309">
                  <c:v>2.2846359908605773</c:v>
                </c:pt>
                <c:pt idx="1310">
                  <c:v>2.286381320112572</c:v>
                </c:pt>
                <c:pt idx="1311">
                  <c:v>2.2881266493645658</c:v>
                </c:pt>
                <c:pt idx="1312">
                  <c:v>2.28987197861656</c:v>
                </c:pt>
                <c:pt idx="1313">
                  <c:v>2.2916173078685551</c:v>
                </c:pt>
                <c:pt idx="1314">
                  <c:v>2.2933626371205493</c:v>
                </c:pt>
                <c:pt idx="1315">
                  <c:v>2.2951079663725436</c:v>
                </c:pt>
                <c:pt idx="1316">
                  <c:v>2.2968532956245378</c:v>
                </c:pt>
                <c:pt idx="1317">
                  <c:v>2.2985986248765315</c:v>
                </c:pt>
                <c:pt idx="1318">
                  <c:v>2.3003439541285267</c:v>
                </c:pt>
                <c:pt idx="1319">
                  <c:v>2.3020892833805209</c:v>
                </c:pt>
                <c:pt idx="1320">
                  <c:v>2.3038346126325151</c:v>
                </c:pt>
                <c:pt idx="1321">
                  <c:v>2.3055799418845098</c:v>
                </c:pt>
                <c:pt idx="1322">
                  <c:v>2.307325271136504</c:v>
                </c:pt>
                <c:pt idx="1323">
                  <c:v>2.3090706003884982</c:v>
                </c:pt>
                <c:pt idx="1324">
                  <c:v>2.3108159296404924</c:v>
                </c:pt>
                <c:pt idx="1325">
                  <c:v>2.3125612588924866</c:v>
                </c:pt>
                <c:pt idx="1326">
                  <c:v>2.3143065881444809</c:v>
                </c:pt>
                <c:pt idx="1327">
                  <c:v>2.3160519173964751</c:v>
                </c:pt>
                <c:pt idx="1328">
                  <c:v>2.3177972466484693</c:v>
                </c:pt>
                <c:pt idx="1329">
                  <c:v>2.3195425759004635</c:v>
                </c:pt>
                <c:pt idx="1330">
                  <c:v>2.3212879051524582</c:v>
                </c:pt>
                <c:pt idx="1331">
                  <c:v>2.3230332344044524</c:v>
                </c:pt>
                <c:pt idx="1332">
                  <c:v>2.3247785636564466</c:v>
                </c:pt>
                <c:pt idx="1333">
                  <c:v>2.3265238929084413</c:v>
                </c:pt>
                <c:pt idx="1334">
                  <c:v>2.3282692221604355</c:v>
                </c:pt>
                <c:pt idx="1335">
                  <c:v>2.3300145514124297</c:v>
                </c:pt>
                <c:pt idx="1336">
                  <c:v>2.331759880664424</c:v>
                </c:pt>
                <c:pt idx="1337">
                  <c:v>2.3335052099164182</c:v>
                </c:pt>
                <c:pt idx="1338">
                  <c:v>2.3352505391684129</c:v>
                </c:pt>
                <c:pt idx="1339">
                  <c:v>2.3369958684204071</c:v>
                </c:pt>
                <c:pt idx="1340">
                  <c:v>2.3387411976724013</c:v>
                </c:pt>
                <c:pt idx="1341">
                  <c:v>2.340486526924396</c:v>
                </c:pt>
                <c:pt idx="1342">
                  <c:v>2.3422318561763902</c:v>
                </c:pt>
                <c:pt idx="1343">
                  <c:v>2.3439771854283844</c:v>
                </c:pt>
                <c:pt idx="1344">
                  <c:v>2.3457225146803791</c:v>
                </c:pt>
                <c:pt idx="1345">
                  <c:v>2.3474678439323733</c:v>
                </c:pt>
                <c:pt idx="1346">
                  <c:v>2.349213173184368</c:v>
                </c:pt>
                <c:pt idx="1347">
                  <c:v>2.3509585024363622</c:v>
                </c:pt>
                <c:pt idx="1348">
                  <c:v>2.3527038316883564</c:v>
                </c:pt>
                <c:pt idx="1349">
                  <c:v>2.3544491609403506</c:v>
                </c:pt>
                <c:pt idx="1350">
                  <c:v>2.3561944901923448</c:v>
                </c:pt>
                <c:pt idx="1351">
                  <c:v>2.3579398194443391</c:v>
                </c:pt>
                <c:pt idx="1352">
                  <c:v>2.3596851486963333</c:v>
                </c:pt>
                <c:pt idx="1353">
                  <c:v>2.3614304779483275</c:v>
                </c:pt>
                <c:pt idx="1354">
                  <c:v>2.3631758072003217</c:v>
                </c:pt>
                <c:pt idx="1355">
                  <c:v>2.3649211364523164</c:v>
                </c:pt>
                <c:pt idx="1356">
                  <c:v>2.3666664657043106</c:v>
                </c:pt>
                <c:pt idx="1357">
                  <c:v>2.3684117949563048</c:v>
                </c:pt>
                <c:pt idx="1358">
                  <c:v>2.3701571242082999</c:v>
                </c:pt>
                <c:pt idx="1359">
                  <c:v>2.3719024534602942</c:v>
                </c:pt>
                <c:pt idx="1360">
                  <c:v>2.3736477827122884</c:v>
                </c:pt>
                <c:pt idx="1361">
                  <c:v>2.3753931119642822</c:v>
                </c:pt>
                <c:pt idx="1362">
                  <c:v>2.3771384412162764</c:v>
                </c:pt>
                <c:pt idx="1363">
                  <c:v>2.3788837704682715</c:v>
                </c:pt>
                <c:pt idx="1364">
                  <c:v>2.3806290997202657</c:v>
                </c:pt>
                <c:pt idx="1365">
                  <c:v>2.3823744289722599</c:v>
                </c:pt>
                <c:pt idx="1366">
                  <c:v>2.3841197582242537</c:v>
                </c:pt>
                <c:pt idx="1367">
                  <c:v>2.3858650874762479</c:v>
                </c:pt>
                <c:pt idx="1368">
                  <c:v>2.387610416728243</c:v>
                </c:pt>
                <c:pt idx="1369">
                  <c:v>2.3893557459802373</c:v>
                </c:pt>
                <c:pt idx="1370">
                  <c:v>2.3911010752322315</c:v>
                </c:pt>
                <c:pt idx="1371">
                  <c:v>2.3928464044842261</c:v>
                </c:pt>
                <c:pt idx="1372">
                  <c:v>2.3945917337362204</c:v>
                </c:pt>
                <c:pt idx="1373">
                  <c:v>2.3963370629882146</c:v>
                </c:pt>
                <c:pt idx="1374">
                  <c:v>2.3980823922402088</c:v>
                </c:pt>
                <c:pt idx="1375">
                  <c:v>2.399827721492203</c:v>
                </c:pt>
                <c:pt idx="1376">
                  <c:v>2.4015730507441972</c:v>
                </c:pt>
                <c:pt idx="1377">
                  <c:v>2.4033183799961915</c:v>
                </c:pt>
                <c:pt idx="1378">
                  <c:v>2.4050637092481857</c:v>
                </c:pt>
                <c:pt idx="1379">
                  <c:v>2.4068090385001799</c:v>
                </c:pt>
                <c:pt idx="1380">
                  <c:v>2.4085543677521746</c:v>
                </c:pt>
                <c:pt idx="1381">
                  <c:v>2.4102996970041692</c:v>
                </c:pt>
                <c:pt idx="1382">
                  <c:v>2.4120450262561635</c:v>
                </c:pt>
                <c:pt idx="1383">
                  <c:v>2.4137903555081577</c:v>
                </c:pt>
                <c:pt idx="1384">
                  <c:v>2.4155356847601519</c:v>
                </c:pt>
                <c:pt idx="1385">
                  <c:v>2.4172810140121466</c:v>
                </c:pt>
                <c:pt idx="1386">
                  <c:v>2.4190263432641408</c:v>
                </c:pt>
                <c:pt idx="1387">
                  <c:v>2.420771672516135</c:v>
                </c:pt>
                <c:pt idx="1388">
                  <c:v>2.4225170017681297</c:v>
                </c:pt>
                <c:pt idx="1389">
                  <c:v>2.4242623310201239</c:v>
                </c:pt>
                <c:pt idx="1390">
                  <c:v>2.4260076602721181</c:v>
                </c:pt>
                <c:pt idx="1391">
                  <c:v>2.4277529895241123</c:v>
                </c:pt>
                <c:pt idx="1392">
                  <c:v>2.4294983187761066</c:v>
                </c:pt>
                <c:pt idx="1393">
                  <c:v>2.4312436480281012</c:v>
                </c:pt>
                <c:pt idx="1394">
                  <c:v>2.4329889772800954</c:v>
                </c:pt>
                <c:pt idx="1395">
                  <c:v>2.4347343065320897</c:v>
                </c:pt>
                <c:pt idx="1396">
                  <c:v>2.4364796357840843</c:v>
                </c:pt>
                <c:pt idx="1397">
                  <c:v>2.4382249650360786</c:v>
                </c:pt>
                <c:pt idx="1398">
                  <c:v>2.4399702942880728</c:v>
                </c:pt>
                <c:pt idx="1399">
                  <c:v>2.441715623540067</c:v>
                </c:pt>
                <c:pt idx="1400">
                  <c:v>2.4434609527920612</c:v>
                </c:pt>
                <c:pt idx="1401">
                  <c:v>2.4452062820440554</c:v>
                </c:pt>
                <c:pt idx="1402">
                  <c:v>2.4469516112960497</c:v>
                </c:pt>
                <c:pt idx="1403">
                  <c:v>2.4486969405480439</c:v>
                </c:pt>
                <c:pt idx="1404">
                  <c:v>2.4504422698000381</c:v>
                </c:pt>
                <c:pt idx="1405">
                  <c:v>2.4521875990520328</c:v>
                </c:pt>
                <c:pt idx="1406">
                  <c:v>2.453932928304027</c:v>
                </c:pt>
                <c:pt idx="1407">
                  <c:v>2.4556782575560212</c:v>
                </c:pt>
                <c:pt idx="1408">
                  <c:v>2.4574235868080163</c:v>
                </c:pt>
                <c:pt idx="1409">
                  <c:v>2.4591689160600105</c:v>
                </c:pt>
                <c:pt idx="1410">
                  <c:v>2.4609142453120043</c:v>
                </c:pt>
                <c:pt idx="1411">
                  <c:v>2.4626595745639985</c:v>
                </c:pt>
                <c:pt idx="1412">
                  <c:v>2.4644049038159932</c:v>
                </c:pt>
                <c:pt idx="1413">
                  <c:v>2.4661502330679879</c:v>
                </c:pt>
                <c:pt idx="1414">
                  <c:v>2.4678955623199821</c:v>
                </c:pt>
                <c:pt idx="1415">
                  <c:v>2.4696408915719763</c:v>
                </c:pt>
                <c:pt idx="1416">
                  <c:v>2.4713862208239705</c:v>
                </c:pt>
                <c:pt idx="1417">
                  <c:v>2.4731315500759647</c:v>
                </c:pt>
                <c:pt idx="1418">
                  <c:v>2.4748768793279594</c:v>
                </c:pt>
                <c:pt idx="1419">
                  <c:v>2.4766222085799536</c:v>
                </c:pt>
                <c:pt idx="1420">
                  <c:v>2.4783675378319479</c:v>
                </c:pt>
                <c:pt idx="1421">
                  <c:v>2.4801128670839425</c:v>
                </c:pt>
                <c:pt idx="1422">
                  <c:v>2.4818581963359367</c:v>
                </c:pt>
                <c:pt idx="1423">
                  <c:v>2.483603525587931</c:v>
                </c:pt>
                <c:pt idx="1424">
                  <c:v>2.4853488548399252</c:v>
                </c:pt>
                <c:pt idx="1425">
                  <c:v>2.4870941840919198</c:v>
                </c:pt>
                <c:pt idx="1426">
                  <c:v>2.4888395133439141</c:v>
                </c:pt>
                <c:pt idx="1427">
                  <c:v>2.4905848425959083</c:v>
                </c:pt>
                <c:pt idx="1428">
                  <c:v>2.4923301718479021</c:v>
                </c:pt>
                <c:pt idx="1429">
                  <c:v>2.4940755010998963</c:v>
                </c:pt>
                <c:pt idx="1430">
                  <c:v>2.4958208303518914</c:v>
                </c:pt>
                <c:pt idx="1431">
                  <c:v>2.4975661596038856</c:v>
                </c:pt>
                <c:pt idx="1432">
                  <c:v>2.4993114888558798</c:v>
                </c:pt>
                <c:pt idx="1433">
                  <c:v>2.5010568181078745</c:v>
                </c:pt>
                <c:pt idx="1434">
                  <c:v>2.5028021473598687</c:v>
                </c:pt>
                <c:pt idx="1435">
                  <c:v>2.5045474766118629</c:v>
                </c:pt>
                <c:pt idx="1436">
                  <c:v>2.5062928058638572</c:v>
                </c:pt>
                <c:pt idx="1437">
                  <c:v>2.5080381351158514</c:v>
                </c:pt>
                <c:pt idx="1438">
                  <c:v>2.5097834643678461</c:v>
                </c:pt>
                <c:pt idx="1439">
                  <c:v>2.5115287936198403</c:v>
                </c:pt>
                <c:pt idx="1440">
                  <c:v>2.5132741228718345</c:v>
                </c:pt>
                <c:pt idx="1441">
                  <c:v>2.5150194521238287</c:v>
                </c:pt>
                <c:pt idx="1442">
                  <c:v>2.5167647813758229</c:v>
                </c:pt>
                <c:pt idx="1443">
                  <c:v>2.5185101106278176</c:v>
                </c:pt>
                <c:pt idx="1444">
                  <c:v>2.5202554398798118</c:v>
                </c:pt>
                <c:pt idx="1445">
                  <c:v>2.522000769131806</c:v>
                </c:pt>
                <c:pt idx="1446">
                  <c:v>2.5237460983838012</c:v>
                </c:pt>
                <c:pt idx="1447">
                  <c:v>2.5254914276357949</c:v>
                </c:pt>
                <c:pt idx="1448">
                  <c:v>2.5272367568877891</c:v>
                </c:pt>
                <c:pt idx="1449">
                  <c:v>2.5289820861397834</c:v>
                </c:pt>
                <c:pt idx="1450">
                  <c:v>2.5307274153917776</c:v>
                </c:pt>
                <c:pt idx="1451">
                  <c:v>2.5324727446437718</c:v>
                </c:pt>
                <c:pt idx="1452">
                  <c:v>2.534218073895766</c:v>
                </c:pt>
                <c:pt idx="1453">
                  <c:v>2.5359634031477607</c:v>
                </c:pt>
                <c:pt idx="1454">
                  <c:v>2.5377087323997549</c:v>
                </c:pt>
                <c:pt idx="1455">
                  <c:v>2.5394540616517491</c:v>
                </c:pt>
                <c:pt idx="1456">
                  <c:v>2.5411993909037438</c:v>
                </c:pt>
                <c:pt idx="1457">
                  <c:v>2.542944720155738</c:v>
                </c:pt>
                <c:pt idx="1458">
                  <c:v>2.5446900494077327</c:v>
                </c:pt>
                <c:pt idx="1459">
                  <c:v>2.5464353786597269</c:v>
                </c:pt>
                <c:pt idx="1460">
                  <c:v>2.5481807079117211</c:v>
                </c:pt>
                <c:pt idx="1461">
                  <c:v>2.5499260371637154</c:v>
                </c:pt>
                <c:pt idx="1462">
                  <c:v>2.5516713664157096</c:v>
                </c:pt>
                <c:pt idx="1463">
                  <c:v>2.5534166956677042</c:v>
                </c:pt>
                <c:pt idx="1464">
                  <c:v>2.5551620249196985</c:v>
                </c:pt>
                <c:pt idx="1465">
                  <c:v>2.5569073541716927</c:v>
                </c:pt>
                <c:pt idx="1466">
                  <c:v>2.5586526834236869</c:v>
                </c:pt>
                <c:pt idx="1467">
                  <c:v>2.5603980126756811</c:v>
                </c:pt>
                <c:pt idx="1468">
                  <c:v>2.5621433419276758</c:v>
                </c:pt>
                <c:pt idx="1469">
                  <c:v>2.5638886711796705</c:v>
                </c:pt>
                <c:pt idx="1470">
                  <c:v>2.5656340004316647</c:v>
                </c:pt>
                <c:pt idx="1471">
                  <c:v>2.5673793296836589</c:v>
                </c:pt>
                <c:pt idx="1472">
                  <c:v>2.5691246589356536</c:v>
                </c:pt>
                <c:pt idx="1473">
                  <c:v>2.5708699881876478</c:v>
                </c:pt>
                <c:pt idx="1474">
                  <c:v>2.572615317439642</c:v>
                </c:pt>
                <c:pt idx="1475">
                  <c:v>2.5743606466916362</c:v>
                </c:pt>
                <c:pt idx="1476">
                  <c:v>2.5761059759436304</c:v>
                </c:pt>
                <c:pt idx="1477">
                  <c:v>2.5778513051956242</c:v>
                </c:pt>
                <c:pt idx="1478">
                  <c:v>2.5795966344476184</c:v>
                </c:pt>
                <c:pt idx="1479">
                  <c:v>2.5813419636996127</c:v>
                </c:pt>
                <c:pt idx="1480">
                  <c:v>2.5830872929516078</c:v>
                </c:pt>
                <c:pt idx="1481">
                  <c:v>2.584832622203602</c:v>
                </c:pt>
                <c:pt idx="1482">
                  <c:v>2.5865779514555962</c:v>
                </c:pt>
                <c:pt idx="1483">
                  <c:v>2.5883232807075909</c:v>
                </c:pt>
                <c:pt idx="1484">
                  <c:v>2.5900686099595851</c:v>
                </c:pt>
                <c:pt idx="1485">
                  <c:v>2.5918139392115793</c:v>
                </c:pt>
                <c:pt idx="1486">
                  <c:v>2.5935592684635735</c:v>
                </c:pt>
                <c:pt idx="1487">
                  <c:v>2.5953045977155678</c:v>
                </c:pt>
                <c:pt idx="1488">
                  <c:v>2.5970499269675624</c:v>
                </c:pt>
                <c:pt idx="1489">
                  <c:v>2.5987952562195566</c:v>
                </c:pt>
                <c:pt idx="1490">
                  <c:v>2.6005405854715509</c:v>
                </c:pt>
                <c:pt idx="1491">
                  <c:v>2.6022859147235451</c:v>
                </c:pt>
                <c:pt idx="1492">
                  <c:v>2.6040312439755393</c:v>
                </c:pt>
                <c:pt idx="1493">
                  <c:v>2.605776573227534</c:v>
                </c:pt>
                <c:pt idx="1494">
                  <c:v>2.6075219024795282</c:v>
                </c:pt>
                <c:pt idx="1495">
                  <c:v>2.6092672317315224</c:v>
                </c:pt>
                <c:pt idx="1496">
                  <c:v>2.6110125609835175</c:v>
                </c:pt>
                <c:pt idx="1497">
                  <c:v>2.6127578902355113</c:v>
                </c:pt>
                <c:pt idx="1498">
                  <c:v>2.6145032194875055</c:v>
                </c:pt>
                <c:pt idx="1499">
                  <c:v>2.6162485487394997</c:v>
                </c:pt>
                <c:pt idx="1500">
                  <c:v>2.6179938779914944</c:v>
                </c:pt>
                <c:pt idx="1501">
                  <c:v>2.6197392072434886</c:v>
                </c:pt>
                <c:pt idx="1502">
                  <c:v>2.6214845364954829</c:v>
                </c:pt>
                <c:pt idx="1503">
                  <c:v>2.6232298657474771</c:v>
                </c:pt>
                <c:pt idx="1504">
                  <c:v>2.6249751949994713</c:v>
                </c:pt>
                <c:pt idx="1505">
                  <c:v>2.626720524251466</c:v>
                </c:pt>
                <c:pt idx="1506">
                  <c:v>2.6284658535034602</c:v>
                </c:pt>
                <c:pt idx="1507">
                  <c:v>2.6302111827554544</c:v>
                </c:pt>
                <c:pt idx="1508">
                  <c:v>2.6319565120074491</c:v>
                </c:pt>
                <c:pt idx="1509">
                  <c:v>2.6337018412594433</c:v>
                </c:pt>
                <c:pt idx="1510">
                  <c:v>2.6354471705114375</c:v>
                </c:pt>
                <c:pt idx="1511">
                  <c:v>2.6371924997634317</c:v>
                </c:pt>
                <c:pt idx="1512">
                  <c:v>2.638937829015426</c:v>
                </c:pt>
                <c:pt idx="1513">
                  <c:v>2.6406831582674211</c:v>
                </c:pt>
                <c:pt idx="1514">
                  <c:v>2.6424284875194153</c:v>
                </c:pt>
                <c:pt idx="1515">
                  <c:v>2.6441738167714091</c:v>
                </c:pt>
                <c:pt idx="1516">
                  <c:v>2.6459191460234033</c:v>
                </c:pt>
                <c:pt idx="1517">
                  <c:v>2.6476644752753975</c:v>
                </c:pt>
                <c:pt idx="1518">
                  <c:v>2.6494098045273926</c:v>
                </c:pt>
                <c:pt idx="1519">
                  <c:v>2.6511551337793868</c:v>
                </c:pt>
                <c:pt idx="1520">
                  <c:v>2.6529004630313806</c:v>
                </c:pt>
                <c:pt idx="1521">
                  <c:v>2.6546457922833757</c:v>
                </c:pt>
                <c:pt idx="1522">
                  <c:v>2.6563911215353699</c:v>
                </c:pt>
                <c:pt idx="1523">
                  <c:v>2.6581364507873642</c:v>
                </c:pt>
                <c:pt idx="1524">
                  <c:v>2.6598817800393584</c:v>
                </c:pt>
                <c:pt idx="1525">
                  <c:v>2.6616271092913526</c:v>
                </c:pt>
                <c:pt idx="1526">
                  <c:v>2.6633724385433464</c:v>
                </c:pt>
                <c:pt idx="1527">
                  <c:v>2.665117767795341</c:v>
                </c:pt>
                <c:pt idx="1528">
                  <c:v>2.6668630970473353</c:v>
                </c:pt>
                <c:pt idx="1529">
                  <c:v>2.6686084262993295</c:v>
                </c:pt>
                <c:pt idx="1530">
                  <c:v>2.6703537555513241</c:v>
                </c:pt>
                <c:pt idx="1531">
                  <c:v>2.6720990848033184</c:v>
                </c:pt>
                <c:pt idx="1532">
                  <c:v>2.6738444140553126</c:v>
                </c:pt>
                <c:pt idx="1533">
                  <c:v>2.6755897433073073</c:v>
                </c:pt>
                <c:pt idx="1534">
                  <c:v>2.6773350725593015</c:v>
                </c:pt>
                <c:pt idx="1535">
                  <c:v>2.6790804018112957</c:v>
                </c:pt>
                <c:pt idx="1536">
                  <c:v>2.6808257310632899</c:v>
                </c:pt>
                <c:pt idx="1537">
                  <c:v>2.6825710603152846</c:v>
                </c:pt>
                <c:pt idx="1538">
                  <c:v>2.6843163895672788</c:v>
                </c:pt>
                <c:pt idx="1539">
                  <c:v>2.686061718819273</c:v>
                </c:pt>
                <c:pt idx="1540">
                  <c:v>2.6878070480712677</c:v>
                </c:pt>
                <c:pt idx="1541">
                  <c:v>2.6895523773232619</c:v>
                </c:pt>
                <c:pt idx="1542">
                  <c:v>2.6912977065752561</c:v>
                </c:pt>
                <c:pt idx="1543">
                  <c:v>2.6930430358272508</c:v>
                </c:pt>
                <c:pt idx="1544">
                  <c:v>2.694788365079245</c:v>
                </c:pt>
                <c:pt idx="1545">
                  <c:v>2.6965336943312392</c:v>
                </c:pt>
                <c:pt idx="1546">
                  <c:v>2.6982790235832335</c:v>
                </c:pt>
                <c:pt idx="1547">
                  <c:v>2.7000243528352281</c:v>
                </c:pt>
                <c:pt idx="1548">
                  <c:v>2.7017696820872223</c:v>
                </c:pt>
                <c:pt idx="1549">
                  <c:v>2.7035150113392166</c:v>
                </c:pt>
                <c:pt idx="1550">
                  <c:v>2.7052603405912108</c:v>
                </c:pt>
                <c:pt idx="1551">
                  <c:v>2.707005669843205</c:v>
                </c:pt>
                <c:pt idx="1552">
                  <c:v>2.7087509990951992</c:v>
                </c:pt>
                <c:pt idx="1553">
                  <c:v>2.7104963283471935</c:v>
                </c:pt>
                <c:pt idx="1554">
                  <c:v>2.7122416575991877</c:v>
                </c:pt>
                <c:pt idx="1555">
                  <c:v>2.7139869868511823</c:v>
                </c:pt>
                <c:pt idx="1556">
                  <c:v>2.7157323161031766</c:v>
                </c:pt>
                <c:pt idx="1557">
                  <c:v>2.7174776453551708</c:v>
                </c:pt>
                <c:pt idx="1558">
                  <c:v>2.7192229746071654</c:v>
                </c:pt>
                <c:pt idx="1559">
                  <c:v>2.7209683038591597</c:v>
                </c:pt>
                <c:pt idx="1560">
                  <c:v>2.7227136331111539</c:v>
                </c:pt>
                <c:pt idx="1561">
                  <c:v>2.7244589623631481</c:v>
                </c:pt>
                <c:pt idx="1562">
                  <c:v>2.7262042916151423</c:v>
                </c:pt>
                <c:pt idx="1563">
                  <c:v>2.7279496208671374</c:v>
                </c:pt>
                <c:pt idx="1564">
                  <c:v>2.7296949501191312</c:v>
                </c:pt>
                <c:pt idx="1565">
                  <c:v>2.7314402793711254</c:v>
                </c:pt>
                <c:pt idx="1566">
                  <c:v>2.7331856086231197</c:v>
                </c:pt>
                <c:pt idx="1567">
                  <c:v>2.7349309378751139</c:v>
                </c:pt>
                <c:pt idx="1568">
                  <c:v>2.736676267127109</c:v>
                </c:pt>
                <c:pt idx="1569">
                  <c:v>2.7384215963791032</c:v>
                </c:pt>
                <c:pt idx="1570">
                  <c:v>2.740166925631097</c:v>
                </c:pt>
                <c:pt idx="1571">
                  <c:v>2.7419122548830921</c:v>
                </c:pt>
                <c:pt idx="1572">
                  <c:v>2.7436575841350863</c:v>
                </c:pt>
                <c:pt idx="1573">
                  <c:v>2.7454029133870805</c:v>
                </c:pt>
                <c:pt idx="1574">
                  <c:v>2.7471482426390748</c:v>
                </c:pt>
                <c:pt idx="1575">
                  <c:v>2.748893571891069</c:v>
                </c:pt>
                <c:pt idx="1576">
                  <c:v>2.7506389011430632</c:v>
                </c:pt>
                <c:pt idx="1577">
                  <c:v>2.7523842303950574</c:v>
                </c:pt>
                <c:pt idx="1578">
                  <c:v>2.7541295596470516</c:v>
                </c:pt>
                <c:pt idx="1579">
                  <c:v>2.7558748888990459</c:v>
                </c:pt>
                <c:pt idx="1580">
                  <c:v>2.7576202181510405</c:v>
                </c:pt>
                <c:pt idx="1581">
                  <c:v>2.7593655474030352</c:v>
                </c:pt>
                <c:pt idx="1582">
                  <c:v>2.761110876655029</c:v>
                </c:pt>
                <c:pt idx="1583">
                  <c:v>2.7628562059070236</c:v>
                </c:pt>
                <c:pt idx="1584">
                  <c:v>2.7646015351590183</c:v>
                </c:pt>
                <c:pt idx="1585">
                  <c:v>2.7663468644110125</c:v>
                </c:pt>
                <c:pt idx="1586">
                  <c:v>2.7680921936630067</c:v>
                </c:pt>
                <c:pt idx="1587">
                  <c:v>2.769837522915001</c:v>
                </c:pt>
                <c:pt idx="1588">
                  <c:v>2.7715828521669956</c:v>
                </c:pt>
                <c:pt idx="1589">
                  <c:v>2.7733281814189898</c:v>
                </c:pt>
                <c:pt idx="1590">
                  <c:v>2.7750735106709841</c:v>
                </c:pt>
                <c:pt idx="1591">
                  <c:v>2.7768188399229783</c:v>
                </c:pt>
                <c:pt idx="1592">
                  <c:v>2.7785641691749725</c:v>
                </c:pt>
                <c:pt idx="1593">
                  <c:v>2.7803094984269672</c:v>
                </c:pt>
                <c:pt idx="1594">
                  <c:v>2.7820548276789614</c:v>
                </c:pt>
                <c:pt idx="1595">
                  <c:v>2.7838001569309556</c:v>
                </c:pt>
                <c:pt idx="1596">
                  <c:v>2.7855454861829503</c:v>
                </c:pt>
                <c:pt idx="1597">
                  <c:v>2.7872908154349445</c:v>
                </c:pt>
                <c:pt idx="1598">
                  <c:v>2.7890361446869387</c:v>
                </c:pt>
                <c:pt idx="1599">
                  <c:v>2.7907814739389329</c:v>
                </c:pt>
                <c:pt idx="1600">
                  <c:v>2.7925268031909272</c:v>
                </c:pt>
                <c:pt idx="1601">
                  <c:v>2.7942721324429218</c:v>
                </c:pt>
                <c:pt idx="1602">
                  <c:v>2.7960174616949156</c:v>
                </c:pt>
                <c:pt idx="1603">
                  <c:v>2.7977627909469103</c:v>
                </c:pt>
                <c:pt idx="1604">
                  <c:v>2.799508120198904</c:v>
                </c:pt>
                <c:pt idx="1605">
                  <c:v>2.8012534494508987</c:v>
                </c:pt>
                <c:pt idx="1606">
                  <c:v>2.8029987787028929</c:v>
                </c:pt>
                <c:pt idx="1607">
                  <c:v>2.8047441079548872</c:v>
                </c:pt>
                <c:pt idx="1608">
                  <c:v>2.8064894372068818</c:v>
                </c:pt>
                <c:pt idx="1609">
                  <c:v>2.808234766458876</c:v>
                </c:pt>
                <c:pt idx="1610">
                  <c:v>2.8099800957108703</c:v>
                </c:pt>
                <c:pt idx="1611">
                  <c:v>2.8117254249628649</c:v>
                </c:pt>
                <c:pt idx="1612">
                  <c:v>2.8134707542148596</c:v>
                </c:pt>
                <c:pt idx="1613">
                  <c:v>2.8152160834668534</c:v>
                </c:pt>
                <c:pt idx="1614">
                  <c:v>2.8169614127188476</c:v>
                </c:pt>
                <c:pt idx="1615">
                  <c:v>2.8187067419708423</c:v>
                </c:pt>
                <c:pt idx="1616">
                  <c:v>2.8204520712228365</c:v>
                </c:pt>
                <c:pt idx="1617">
                  <c:v>2.8221974004748311</c:v>
                </c:pt>
                <c:pt idx="1618">
                  <c:v>2.8239427297268254</c:v>
                </c:pt>
                <c:pt idx="1619">
                  <c:v>2.8256880589788196</c:v>
                </c:pt>
                <c:pt idx="1620">
                  <c:v>2.8274333882308138</c:v>
                </c:pt>
                <c:pt idx="1621">
                  <c:v>2.8291787174828085</c:v>
                </c:pt>
                <c:pt idx="1622">
                  <c:v>2.8309240467348022</c:v>
                </c:pt>
                <c:pt idx="1623">
                  <c:v>2.8326693759867969</c:v>
                </c:pt>
                <c:pt idx="1624">
                  <c:v>2.8344147052387907</c:v>
                </c:pt>
                <c:pt idx="1625">
                  <c:v>2.8361600344907854</c:v>
                </c:pt>
                <c:pt idx="1626">
                  <c:v>2.83790536374278</c:v>
                </c:pt>
                <c:pt idx="1627">
                  <c:v>2.8396506929947738</c:v>
                </c:pt>
                <c:pt idx="1628">
                  <c:v>2.8413960222467689</c:v>
                </c:pt>
                <c:pt idx="1629">
                  <c:v>2.8431413514987622</c:v>
                </c:pt>
                <c:pt idx="1630">
                  <c:v>2.8448866807507569</c:v>
                </c:pt>
                <c:pt idx="1631">
                  <c:v>2.8466320100027511</c:v>
                </c:pt>
                <c:pt idx="1632">
                  <c:v>2.8483773392547453</c:v>
                </c:pt>
                <c:pt idx="1633">
                  <c:v>2.8501226685067396</c:v>
                </c:pt>
                <c:pt idx="1634">
                  <c:v>2.8518679977587347</c:v>
                </c:pt>
                <c:pt idx="1635">
                  <c:v>2.8536133270107289</c:v>
                </c:pt>
                <c:pt idx="1636">
                  <c:v>2.8553586562627231</c:v>
                </c:pt>
                <c:pt idx="1637">
                  <c:v>2.8571039855147182</c:v>
                </c:pt>
                <c:pt idx="1638">
                  <c:v>2.8588493147667116</c:v>
                </c:pt>
                <c:pt idx="1639">
                  <c:v>2.8605946440187058</c:v>
                </c:pt>
                <c:pt idx="1640">
                  <c:v>2.8623399732707</c:v>
                </c:pt>
                <c:pt idx="1641">
                  <c:v>2.8640853025226942</c:v>
                </c:pt>
                <c:pt idx="1642">
                  <c:v>2.8658306317746893</c:v>
                </c:pt>
                <c:pt idx="1643">
                  <c:v>2.8675759610266836</c:v>
                </c:pt>
                <c:pt idx="1644">
                  <c:v>2.8693212902786778</c:v>
                </c:pt>
                <c:pt idx="1645">
                  <c:v>2.871066619530672</c:v>
                </c:pt>
                <c:pt idx="1646">
                  <c:v>2.8728119487826671</c:v>
                </c:pt>
                <c:pt idx="1647">
                  <c:v>2.8745572780346604</c:v>
                </c:pt>
                <c:pt idx="1648">
                  <c:v>2.8763026072866555</c:v>
                </c:pt>
                <c:pt idx="1649">
                  <c:v>2.8780479365386493</c:v>
                </c:pt>
                <c:pt idx="1650">
                  <c:v>2.8797932657906435</c:v>
                </c:pt>
                <c:pt idx="1651">
                  <c:v>2.8815385950426382</c:v>
                </c:pt>
                <c:pt idx="1652">
                  <c:v>2.883283924294632</c:v>
                </c:pt>
                <c:pt idx="1653">
                  <c:v>2.8850292535466266</c:v>
                </c:pt>
                <c:pt idx="1654">
                  <c:v>2.8867745827986204</c:v>
                </c:pt>
                <c:pt idx="1655">
                  <c:v>2.8885199120506155</c:v>
                </c:pt>
                <c:pt idx="1656">
                  <c:v>2.8902652413026098</c:v>
                </c:pt>
                <c:pt idx="1657">
                  <c:v>2.892010570554604</c:v>
                </c:pt>
                <c:pt idx="1658">
                  <c:v>2.8937558998065982</c:v>
                </c:pt>
                <c:pt idx="1659">
                  <c:v>2.8955012290585929</c:v>
                </c:pt>
                <c:pt idx="1660">
                  <c:v>2.8972465583105871</c:v>
                </c:pt>
                <c:pt idx="1661">
                  <c:v>2.8989918875625813</c:v>
                </c:pt>
                <c:pt idx="1662">
                  <c:v>2.900737216814576</c:v>
                </c:pt>
                <c:pt idx="1663">
                  <c:v>2.9024825460665693</c:v>
                </c:pt>
                <c:pt idx="1664">
                  <c:v>2.9042278753185644</c:v>
                </c:pt>
                <c:pt idx="1665">
                  <c:v>2.9059732045705586</c:v>
                </c:pt>
                <c:pt idx="1666">
                  <c:v>2.9077185338225529</c:v>
                </c:pt>
                <c:pt idx="1667">
                  <c:v>2.9094638630745475</c:v>
                </c:pt>
                <c:pt idx="1668">
                  <c:v>2.9112091923265422</c:v>
                </c:pt>
                <c:pt idx="1669">
                  <c:v>2.9129545215785364</c:v>
                </c:pt>
                <c:pt idx="1670">
                  <c:v>2.9146998508305306</c:v>
                </c:pt>
                <c:pt idx="1671">
                  <c:v>2.9164451800825248</c:v>
                </c:pt>
                <c:pt idx="1672">
                  <c:v>2.9181905093345191</c:v>
                </c:pt>
                <c:pt idx="1673">
                  <c:v>2.9199358385865133</c:v>
                </c:pt>
                <c:pt idx="1674">
                  <c:v>2.9216811678385071</c:v>
                </c:pt>
                <c:pt idx="1675">
                  <c:v>2.9234264970905017</c:v>
                </c:pt>
                <c:pt idx="1676">
                  <c:v>2.9251718263424968</c:v>
                </c:pt>
                <c:pt idx="1677">
                  <c:v>2.9269171555944902</c:v>
                </c:pt>
                <c:pt idx="1678">
                  <c:v>2.9286624848464853</c:v>
                </c:pt>
                <c:pt idx="1679">
                  <c:v>2.9304078140984791</c:v>
                </c:pt>
                <c:pt idx="1680">
                  <c:v>2.9321531433504737</c:v>
                </c:pt>
                <c:pt idx="1681">
                  <c:v>2.9338984726024679</c:v>
                </c:pt>
                <c:pt idx="1682">
                  <c:v>2.9356438018544622</c:v>
                </c:pt>
                <c:pt idx="1683">
                  <c:v>2.9373891311064564</c:v>
                </c:pt>
                <c:pt idx="1684">
                  <c:v>2.9391344603584506</c:v>
                </c:pt>
                <c:pt idx="1685">
                  <c:v>2.9408797896104448</c:v>
                </c:pt>
                <c:pt idx="1686">
                  <c:v>2.9426251188624395</c:v>
                </c:pt>
                <c:pt idx="1687">
                  <c:v>2.9443704481144342</c:v>
                </c:pt>
                <c:pt idx="1688">
                  <c:v>2.9461157773664279</c:v>
                </c:pt>
                <c:pt idx="1689">
                  <c:v>2.9478611066184226</c:v>
                </c:pt>
                <c:pt idx="1690">
                  <c:v>2.9496064358704168</c:v>
                </c:pt>
                <c:pt idx="1691">
                  <c:v>2.951351765122411</c:v>
                </c:pt>
                <c:pt idx="1692">
                  <c:v>2.9530970943744062</c:v>
                </c:pt>
                <c:pt idx="1693">
                  <c:v>2.9548424236263999</c:v>
                </c:pt>
                <c:pt idx="1694">
                  <c:v>2.9565877528783941</c:v>
                </c:pt>
                <c:pt idx="1695">
                  <c:v>2.9583330821303884</c:v>
                </c:pt>
                <c:pt idx="1696">
                  <c:v>2.960078411382383</c:v>
                </c:pt>
                <c:pt idx="1697">
                  <c:v>2.9618237406343768</c:v>
                </c:pt>
                <c:pt idx="1698">
                  <c:v>2.9635690698863715</c:v>
                </c:pt>
                <c:pt idx="1699">
                  <c:v>2.9653143991383653</c:v>
                </c:pt>
                <c:pt idx="1700">
                  <c:v>2.9670597283903604</c:v>
                </c:pt>
                <c:pt idx="1701">
                  <c:v>2.968805057642355</c:v>
                </c:pt>
                <c:pt idx="1702">
                  <c:v>2.9705503868943488</c:v>
                </c:pt>
                <c:pt idx="1703">
                  <c:v>2.9722957161463435</c:v>
                </c:pt>
                <c:pt idx="1704">
                  <c:v>2.9740410453983372</c:v>
                </c:pt>
                <c:pt idx="1705">
                  <c:v>2.9757863746503315</c:v>
                </c:pt>
                <c:pt idx="1706">
                  <c:v>2.9775317039023257</c:v>
                </c:pt>
                <c:pt idx="1707">
                  <c:v>2.9792770331543199</c:v>
                </c:pt>
                <c:pt idx="1708">
                  <c:v>2.9810223624063141</c:v>
                </c:pt>
                <c:pt idx="1709">
                  <c:v>2.9827676916583092</c:v>
                </c:pt>
                <c:pt idx="1710">
                  <c:v>2.9845130209103035</c:v>
                </c:pt>
                <c:pt idx="1711">
                  <c:v>2.9862583501622977</c:v>
                </c:pt>
                <c:pt idx="1712">
                  <c:v>2.9880036794142928</c:v>
                </c:pt>
                <c:pt idx="1713">
                  <c:v>2.9897490086662861</c:v>
                </c:pt>
                <c:pt idx="1714">
                  <c:v>2.9914943379182812</c:v>
                </c:pt>
                <c:pt idx="1715">
                  <c:v>2.9932396671702755</c:v>
                </c:pt>
                <c:pt idx="1716">
                  <c:v>2.9949849964222697</c:v>
                </c:pt>
                <c:pt idx="1717">
                  <c:v>2.9967303256742639</c:v>
                </c:pt>
                <c:pt idx="1718">
                  <c:v>2.9984756549262581</c:v>
                </c:pt>
                <c:pt idx="1719">
                  <c:v>3.0002209841782523</c:v>
                </c:pt>
                <c:pt idx="1720">
                  <c:v>3.0019663134302466</c:v>
                </c:pt>
                <c:pt idx="1721">
                  <c:v>3.0037116426822417</c:v>
                </c:pt>
                <c:pt idx="1722">
                  <c:v>3.005456971934235</c:v>
                </c:pt>
                <c:pt idx="1723">
                  <c:v>3.0072023011862301</c:v>
                </c:pt>
                <c:pt idx="1724">
                  <c:v>3.0089476304382239</c:v>
                </c:pt>
                <c:pt idx="1725">
                  <c:v>3.0106929596902186</c:v>
                </c:pt>
                <c:pt idx="1726">
                  <c:v>3.0124382889422128</c:v>
                </c:pt>
                <c:pt idx="1727">
                  <c:v>3.014183618194207</c:v>
                </c:pt>
                <c:pt idx="1728">
                  <c:v>3.0159289474462012</c:v>
                </c:pt>
                <c:pt idx="1729">
                  <c:v>3.017674276698195</c:v>
                </c:pt>
                <c:pt idx="1730">
                  <c:v>3.0194196059501901</c:v>
                </c:pt>
                <c:pt idx="1731">
                  <c:v>3.0211649352021843</c:v>
                </c:pt>
                <c:pt idx="1732">
                  <c:v>3.0229102644541785</c:v>
                </c:pt>
                <c:pt idx="1733">
                  <c:v>3.0246555937061728</c:v>
                </c:pt>
                <c:pt idx="1734">
                  <c:v>3.0264009229581674</c:v>
                </c:pt>
                <c:pt idx="1735">
                  <c:v>3.0281462522101616</c:v>
                </c:pt>
                <c:pt idx="1736">
                  <c:v>3.0298915814621563</c:v>
                </c:pt>
                <c:pt idx="1737">
                  <c:v>3.0316369107141505</c:v>
                </c:pt>
                <c:pt idx="1738">
                  <c:v>3.0333822399661448</c:v>
                </c:pt>
                <c:pt idx="1739">
                  <c:v>3.035127569218139</c:v>
                </c:pt>
                <c:pt idx="1740">
                  <c:v>3.0368728984701332</c:v>
                </c:pt>
                <c:pt idx="1741">
                  <c:v>3.0386182277221274</c:v>
                </c:pt>
                <c:pt idx="1742">
                  <c:v>3.0403635569741221</c:v>
                </c:pt>
                <c:pt idx="1743">
                  <c:v>3.0421088862261167</c:v>
                </c:pt>
                <c:pt idx="1744">
                  <c:v>3.043854215478111</c:v>
                </c:pt>
                <c:pt idx="1745">
                  <c:v>3.0455995447301052</c:v>
                </c:pt>
                <c:pt idx="1746">
                  <c:v>3.0473448739820999</c:v>
                </c:pt>
                <c:pt idx="1747">
                  <c:v>3.0490902032340936</c:v>
                </c:pt>
                <c:pt idx="1748">
                  <c:v>3.0508355324860883</c:v>
                </c:pt>
                <c:pt idx="1749">
                  <c:v>3.0525808617380821</c:v>
                </c:pt>
                <c:pt idx="1750">
                  <c:v>3.0543261909900763</c:v>
                </c:pt>
                <c:pt idx="1751">
                  <c:v>3.0560715202420714</c:v>
                </c:pt>
                <c:pt idx="1752">
                  <c:v>3.0578168494940647</c:v>
                </c:pt>
                <c:pt idx="1753">
                  <c:v>3.0595621787460598</c:v>
                </c:pt>
                <c:pt idx="1754">
                  <c:v>3.0613075079980536</c:v>
                </c:pt>
                <c:pt idx="1755">
                  <c:v>3.0630528372500483</c:v>
                </c:pt>
                <c:pt idx="1756">
                  <c:v>3.0647981665020425</c:v>
                </c:pt>
                <c:pt idx="1757">
                  <c:v>3.0665434957540367</c:v>
                </c:pt>
                <c:pt idx="1758">
                  <c:v>3.068288825006031</c:v>
                </c:pt>
                <c:pt idx="1759">
                  <c:v>3.0700341542580261</c:v>
                </c:pt>
                <c:pt idx="1760">
                  <c:v>3.0717794835100198</c:v>
                </c:pt>
                <c:pt idx="1761">
                  <c:v>3.0735248127620141</c:v>
                </c:pt>
                <c:pt idx="1762">
                  <c:v>3.0752701420140087</c:v>
                </c:pt>
                <c:pt idx="1763">
                  <c:v>3.0770154712660025</c:v>
                </c:pt>
                <c:pt idx="1764">
                  <c:v>3.0787608005179972</c:v>
                </c:pt>
                <c:pt idx="1765">
                  <c:v>3.0805061297699914</c:v>
                </c:pt>
                <c:pt idx="1766">
                  <c:v>3.0822514590219856</c:v>
                </c:pt>
                <c:pt idx="1767">
                  <c:v>3.0839967882739807</c:v>
                </c:pt>
                <c:pt idx="1768">
                  <c:v>3.0857421175259749</c:v>
                </c:pt>
                <c:pt idx="1769">
                  <c:v>3.0874874467779692</c:v>
                </c:pt>
                <c:pt idx="1770">
                  <c:v>3.0892327760299634</c:v>
                </c:pt>
                <c:pt idx="1771">
                  <c:v>3.0909781052819576</c:v>
                </c:pt>
                <c:pt idx="1772">
                  <c:v>3.0927234345339514</c:v>
                </c:pt>
                <c:pt idx="1773">
                  <c:v>3.0944687637859465</c:v>
                </c:pt>
                <c:pt idx="1774">
                  <c:v>3.0962140930379398</c:v>
                </c:pt>
                <c:pt idx="1775">
                  <c:v>3.0979594222899349</c:v>
                </c:pt>
                <c:pt idx="1776">
                  <c:v>3.0997047515419296</c:v>
                </c:pt>
                <c:pt idx="1777">
                  <c:v>3.1014500807939234</c:v>
                </c:pt>
                <c:pt idx="1778">
                  <c:v>3.103195410045918</c:v>
                </c:pt>
                <c:pt idx="1779">
                  <c:v>3.1049407392979118</c:v>
                </c:pt>
                <c:pt idx="1780">
                  <c:v>3.1066860685499069</c:v>
                </c:pt>
                <c:pt idx="1781">
                  <c:v>3.1084313978019011</c:v>
                </c:pt>
                <c:pt idx="1782">
                  <c:v>3.1101767270538954</c:v>
                </c:pt>
                <c:pt idx="1783">
                  <c:v>3.1119220563058896</c:v>
                </c:pt>
                <c:pt idx="1784">
                  <c:v>3.1136673855578838</c:v>
                </c:pt>
                <c:pt idx="1785">
                  <c:v>3.115412714809878</c:v>
                </c:pt>
                <c:pt idx="1786">
                  <c:v>3.1171580440618722</c:v>
                </c:pt>
                <c:pt idx="1787">
                  <c:v>3.1189033733138674</c:v>
                </c:pt>
                <c:pt idx="1788">
                  <c:v>3.1206487025658607</c:v>
                </c:pt>
                <c:pt idx="1789">
                  <c:v>3.1223940318178558</c:v>
                </c:pt>
                <c:pt idx="1790">
                  <c:v>3.12413936106985</c:v>
                </c:pt>
                <c:pt idx="1791">
                  <c:v>3.1258846903218442</c:v>
                </c:pt>
                <c:pt idx="1792">
                  <c:v>3.1276300195738385</c:v>
                </c:pt>
                <c:pt idx="1793">
                  <c:v>3.1293753488258327</c:v>
                </c:pt>
                <c:pt idx="1794">
                  <c:v>3.1311206780778269</c:v>
                </c:pt>
                <c:pt idx="1795">
                  <c:v>3.1328660073298211</c:v>
                </c:pt>
                <c:pt idx="1796">
                  <c:v>3.1346113365818162</c:v>
                </c:pt>
                <c:pt idx="1797">
                  <c:v>3.1363566658338096</c:v>
                </c:pt>
                <c:pt idx="1798">
                  <c:v>3.1381019950858047</c:v>
                </c:pt>
                <c:pt idx="1799">
                  <c:v>3.1398473243377985</c:v>
                </c:pt>
                <c:pt idx="1800">
                  <c:v>3.1415926535897931</c:v>
                </c:pt>
                <c:pt idx="1801">
                  <c:v>3.1433379828417882</c:v>
                </c:pt>
                <c:pt idx="1802">
                  <c:v>3.1450833120937816</c:v>
                </c:pt>
                <c:pt idx="1803">
                  <c:v>3.1468286413457767</c:v>
                </c:pt>
                <c:pt idx="1804">
                  <c:v>3.1485739705977704</c:v>
                </c:pt>
                <c:pt idx="1805">
                  <c:v>3.1503192998497647</c:v>
                </c:pt>
                <c:pt idx="1806">
                  <c:v>3.1520646291017589</c:v>
                </c:pt>
                <c:pt idx="1807">
                  <c:v>3.1538099583537531</c:v>
                </c:pt>
                <c:pt idx="1808">
                  <c:v>3.1555552876057473</c:v>
                </c:pt>
                <c:pt idx="1809">
                  <c:v>3.157300616857742</c:v>
                </c:pt>
                <c:pt idx="1810">
                  <c:v>3.1590459461097362</c:v>
                </c:pt>
                <c:pt idx="1811">
                  <c:v>3.1607912753617309</c:v>
                </c:pt>
                <c:pt idx="1812">
                  <c:v>3.1625366046137255</c:v>
                </c:pt>
                <c:pt idx="1813">
                  <c:v>3.1642819338657193</c:v>
                </c:pt>
                <c:pt idx="1814">
                  <c:v>3.166027263117714</c:v>
                </c:pt>
                <c:pt idx="1815">
                  <c:v>3.1677725923697082</c:v>
                </c:pt>
                <c:pt idx="1816">
                  <c:v>3.169517921621702</c:v>
                </c:pt>
                <c:pt idx="1817">
                  <c:v>3.1712632508736971</c:v>
                </c:pt>
                <c:pt idx="1818">
                  <c:v>3.1730085801256913</c:v>
                </c:pt>
                <c:pt idx="1819">
                  <c:v>3.1747539093776855</c:v>
                </c:pt>
                <c:pt idx="1820">
                  <c:v>3.1764992386296798</c:v>
                </c:pt>
                <c:pt idx="1821">
                  <c:v>3.1782445678816744</c:v>
                </c:pt>
                <c:pt idx="1822">
                  <c:v>3.1799898971336682</c:v>
                </c:pt>
                <c:pt idx="1823">
                  <c:v>3.1817352263856629</c:v>
                </c:pt>
                <c:pt idx="1824">
                  <c:v>3.1834805556376566</c:v>
                </c:pt>
                <c:pt idx="1825">
                  <c:v>3.1852258848896517</c:v>
                </c:pt>
                <c:pt idx="1826">
                  <c:v>3.186971214141646</c:v>
                </c:pt>
                <c:pt idx="1827">
                  <c:v>3.1887165433936402</c:v>
                </c:pt>
                <c:pt idx="1828">
                  <c:v>3.1904618726456344</c:v>
                </c:pt>
                <c:pt idx="1829">
                  <c:v>3.1922072018976282</c:v>
                </c:pt>
                <c:pt idx="1830">
                  <c:v>3.1939525311496229</c:v>
                </c:pt>
                <c:pt idx="1831">
                  <c:v>3.1956978604016171</c:v>
                </c:pt>
                <c:pt idx="1832">
                  <c:v>3.1974431896536113</c:v>
                </c:pt>
                <c:pt idx="1833">
                  <c:v>3.1991885189056055</c:v>
                </c:pt>
                <c:pt idx="1834">
                  <c:v>3.2009338481576006</c:v>
                </c:pt>
                <c:pt idx="1835">
                  <c:v>3.2026791774095948</c:v>
                </c:pt>
                <c:pt idx="1836">
                  <c:v>3.2044245066615891</c:v>
                </c:pt>
                <c:pt idx="1837">
                  <c:v>3.2061698359135833</c:v>
                </c:pt>
                <c:pt idx="1838">
                  <c:v>3.2079151651655775</c:v>
                </c:pt>
                <c:pt idx="1839">
                  <c:v>3.2096604944175717</c:v>
                </c:pt>
                <c:pt idx="1840">
                  <c:v>3.211405823669566</c:v>
                </c:pt>
                <c:pt idx="1841">
                  <c:v>3.2131511529215606</c:v>
                </c:pt>
                <c:pt idx="1842">
                  <c:v>3.2148964821735553</c:v>
                </c:pt>
                <c:pt idx="1843">
                  <c:v>3.2166418114255495</c:v>
                </c:pt>
                <c:pt idx="1844">
                  <c:v>3.2183871406775437</c:v>
                </c:pt>
                <c:pt idx="1845">
                  <c:v>3.2201324699295379</c:v>
                </c:pt>
                <c:pt idx="1846">
                  <c:v>3.2218777991815331</c:v>
                </c:pt>
                <c:pt idx="1847">
                  <c:v>3.2236231284335264</c:v>
                </c:pt>
                <c:pt idx="1848">
                  <c:v>3.2253684576855211</c:v>
                </c:pt>
                <c:pt idx="1849">
                  <c:v>3.2271137869375153</c:v>
                </c:pt>
                <c:pt idx="1850">
                  <c:v>3.2288591161895095</c:v>
                </c:pt>
                <c:pt idx="1851">
                  <c:v>3.2306044454415042</c:v>
                </c:pt>
                <c:pt idx="1852">
                  <c:v>3.2323497746934979</c:v>
                </c:pt>
                <c:pt idx="1853">
                  <c:v>3.2340951039454926</c:v>
                </c:pt>
                <c:pt idx="1854">
                  <c:v>3.2358404331974864</c:v>
                </c:pt>
                <c:pt idx="1855">
                  <c:v>3.2375857624494815</c:v>
                </c:pt>
                <c:pt idx="1856">
                  <c:v>3.2393310917014757</c:v>
                </c:pt>
                <c:pt idx="1857">
                  <c:v>3.2410764209534699</c:v>
                </c:pt>
                <c:pt idx="1858">
                  <c:v>3.2428217502054641</c:v>
                </c:pt>
                <c:pt idx="1859">
                  <c:v>3.2445670794574584</c:v>
                </c:pt>
                <c:pt idx="1860">
                  <c:v>3.2463124087094526</c:v>
                </c:pt>
                <c:pt idx="1861">
                  <c:v>3.2480577379614468</c:v>
                </c:pt>
                <c:pt idx="1862">
                  <c:v>3.2498030672134419</c:v>
                </c:pt>
                <c:pt idx="1863">
                  <c:v>3.2515483964654353</c:v>
                </c:pt>
                <c:pt idx="1864">
                  <c:v>3.2532937257174304</c:v>
                </c:pt>
                <c:pt idx="1865">
                  <c:v>3.2550390549694246</c:v>
                </c:pt>
                <c:pt idx="1866">
                  <c:v>3.2567843842214188</c:v>
                </c:pt>
                <c:pt idx="1867">
                  <c:v>3.2585297134734139</c:v>
                </c:pt>
                <c:pt idx="1868">
                  <c:v>3.2602750427254081</c:v>
                </c:pt>
                <c:pt idx="1869">
                  <c:v>3.2620203719774024</c:v>
                </c:pt>
                <c:pt idx="1870">
                  <c:v>3.2637657012293966</c:v>
                </c:pt>
                <c:pt idx="1871">
                  <c:v>3.2655110304813908</c:v>
                </c:pt>
                <c:pt idx="1872">
                  <c:v>3.2672563597333846</c:v>
                </c:pt>
                <c:pt idx="1873">
                  <c:v>3.2690016889853792</c:v>
                </c:pt>
                <c:pt idx="1874">
                  <c:v>3.270747018237373</c:v>
                </c:pt>
                <c:pt idx="1875">
                  <c:v>3.2724923474893677</c:v>
                </c:pt>
                <c:pt idx="1876">
                  <c:v>3.2742376767413628</c:v>
                </c:pt>
                <c:pt idx="1877">
                  <c:v>3.2759830059933561</c:v>
                </c:pt>
                <c:pt idx="1878">
                  <c:v>3.2777283352453512</c:v>
                </c:pt>
                <c:pt idx="1879">
                  <c:v>3.279473664497345</c:v>
                </c:pt>
                <c:pt idx="1880">
                  <c:v>3.2812189937493397</c:v>
                </c:pt>
                <c:pt idx="1881">
                  <c:v>3.2829643230013339</c:v>
                </c:pt>
                <c:pt idx="1882">
                  <c:v>3.2847096522533281</c:v>
                </c:pt>
                <c:pt idx="1883">
                  <c:v>3.2864549815053219</c:v>
                </c:pt>
                <c:pt idx="1884">
                  <c:v>3.2882003107573166</c:v>
                </c:pt>
                <c:pt idx="1885">
                  <c:v>3.2899456400093112</c:v>
                </c:pt>
                <c:pt idx="1886">
                  <c:v>3.2916909692613054</c:v>
                </c:pt>
                <c:pt idx="1887">
                  <c:v>3.2934362985133001</c:v>
                </c:pt>
                <c:pt idx="1888">
                  <c:v>3.2951816277652939</c:v>
                </c:pt>
                <c:pt idx="1889">
                  <c:v>3.2969269570172886</c:v>
                </c:pt>
                <c:pt idx="1890">
                  <c:v>3.2986722862692828</c:v>
                </c:pt>
                <c:pt idx="1891">
                  <c:v>3.300417615521277</c:v>
                </c:pt>
                <c:pt idx="1892">
                  <c:v>3.3021629447732717</c:v>
                </c:pt>
                <c:pt idx="1893">
                  <c:v>3.3039082740252659</c:v>
                </c:pt>
                <c:pt idx="1894">
                  <c:v>3.3056536032772601</c:v>
                </c:pt>
                <c:pt idx="1895">
                  <c:v>3.3073989325292543</c:v>
                </c:pt>
                <c:pt idx="1896">
                  <c:v>3.309144261781249</c:v>
                </c:pt>
                <c:pt idx="1897">
                  <c:v>3.3108895910332428</c:v>
                </c:pt>
                <c:pt idx="1898">
                  <c:v>3.3126349202852379</c:v>
                </c:pt>
                <c:pt idx="1899">
                  <c:v>3.3143802495372312</c:v>
                </c:pt>
                <c:pt idx="1900">
                  <c:v>3.3161255787892263</c:v>
                </c:pt>
                <c:pt idx="1901">
                  <c:v>3.317870908041221</c:v>
                </c:pt>
                <c:pt idx="1902">
                  <c:v>3.3196162372932148</c:v>
                </c:pt>
                <c:pt idx="1903">
                  <c:v>3.321361566545209</c:v>
                </c:pt>
                <c:pt idx="1904">
                  <c:v>3.3231068957972032</c:v>
                </c:pt>
                <c:pt idx="1905">
                  <c:v>3.3248522250491974</c:v>
                </c:pt>
                <c:pt idx="1906">
                  <c:v>3.3265975543011916</c:v>
                </c:pt>
                <c:pt idx="1907">
                  <c:v>3.3283428835531859</c:v>
                </c:pt>
                <c:pt idx="1908">
                  <c:v>3.3300882128051801</c:v>
                </c:pt>
                <c:pt idx="1909">
                  <c:v>3.3318335420571752</c:v>
                </c:pt>
                <c:pt idx="1910">
                  <c:v>3.3335788713091694</c:v>
                </c:pt>
                <c:pt idx="1911">
                  <c:v>3.3353242005611636</c:v>
                </c:pt>
                <c:pt idx="1912">
                  <c:v>3.3370695298131587</c:v>
                </c:pt>
                <c:pt idx="1913">
                  <c:v>3.3388148590651521</c:v>
                </c:pt>
                <c:pt idx="1914">
                  <c:v>3.3405601883171472</c:v>
                </c:pt>
                <c:pt idx="1915">
                  <c:v>3.3423055175691405</c:v>
                </c:pt>
                <c:pt idx="1916">
                  <c:v>3.3440508468211352</c:v>
                </c:pt>
                <c:pt idx="1917">
                  <c:v>3.3457961760731298</c:v>
                </c:pt>
                <c:pt idx="1918">
                  <c:v>3.3475415053251241</c:v>
                </c:pt>
                <c:pt idx="1919">
                  <c:v>3.3492868345771183</c:v>
                </c:pt>
                <c:pt idx="1920">
                  <c:v>3.3510321638291125</c:v>
                </c:pt>
                <c:pt idx="1921">
                  <c:v>3.3527774930811076</c:v>
                </c:pt>
                <c:pt idx="1922">
                  <c:v>3.3545228223331014</c:v>
                </c:pt>
                <c:pt idx="1923">
                  <c:v>3.3562681515850961</c:v>
                </c:pt>
                <c:pt idx="1924">
                  <c:v>3.3580134808370898</c:v>
                </c:pt>
                <c:pt idx="1925">
                  <c:v>3.3597588100890845</c:v>
                </c:pt>
                <c:pt idx="1926">
                  <c:v>3.3615041393410787</c:v>
                </c:pt>
                <c:pt idx="1927">
                  <c:v>3.3632494685930725</c:v>
                </c:pt>
                <c:pt idx="1928">
                  <c:v>3.3649947978450672</c:v>
                </c:pt>
                <c:pt idx="1929">
                  <c:v>3.3667401270970609</c:v>
                </c:pt>
                <c:pt idx="1930">
                  <c:v>3.3684854563490561</c:v>
                </c:pt>
                <c:pt idx="1931">
                  <c:v>3.3702307856010503</c:v>
                </c:pt>
                <c:pt idx="1932">
                  <c:v>3.3719761148530445</c:v>
                </c:pt>
                <c:pt idx="1933">
                  <c:v>3.3737214441050387</c:v>
                </c:pt>
                <c:pt idx="1934">
                  <c:v>3.3754667733570334</c:v>
                </c:pt>
                <c:pt idx="1935">
                  <c:v>3.377212102609028</c:v>
                </c:pt>
                <c:pt idx="1936">
                  <c:v>3.3789574318610223</c:v>
                </c:pt>
                <c:pt idx="1937">
                  <c:v>3.3807027611130165</c:v>
                </c:pt>
                <c:pt idx="1938">
                  <c:v>3.3824480903650098</c:v>
                </c:pt>
                <c:pt idx="1939">
                  <c:v>3.3841934196170049</c:v>
                </c:pt>
                <c:pt idx="1940">
                  <c:v>3.3859387488689991</c:v>
                </c:pt>
                <c:pt idx="1941">
                  <c:v>3.3876840781209934</c:v>
                </c:pt>
                <c:pt idx="1942">
                  <c:v>3.3894294073729885</c:v>
                </c:pt>
                <c:pt idx="1943">
                  <c:v>3.3911747366249827</c:v>
                </c:pt>
                <c:pt idx="1944">
                  <c:v>3.3929200658769769</c:v>
                </c:pt>
                <c:pt idx="1945">
                  <c:v>3.3946653951289711</c:v>
                </c:pt>
                <c:pt idx="1946">
                  <c:v>3.3964107243809654</c:v>
                </c:pt>
                <c:pt idx="1947">
                  <c:v>3.3981560536329596</c:v>
                </c:pt>
                <c:pt idx="1948">
                  <c:v>3.3999013828849538</c:v>
                </c:pt>
                <c:pt idx="1949">
                  <c:v>3.401646712136948</c:v>
                </c:pt>
                <c:pt idx="1950">
                  <c:v>3.4033920413889422</c:v>
                </c:pt>
                <c:pt idx="1951">
                  <c:v>3.4051373706409374</c:v>
                </c:pt>
                <c:pt idx="1952">
                  <c:v>3.4068826998929307</c:v>
                </c:pt>
                <c:pt idx="1953">
                  <c:v>3.4086280291449258</c:v>
                </c:pt>
                <c:pt idx="1954">
                  <c:v>3.4103733583969196</c:v>
                </c:pt>
                <c:pt idx="1955">
                  <c:v>3.4121186876489142</c:v>
                </c:pt>
                <c:pt idx="1956">
                  <c:v>3.4138640169009085</c:v>
                </c:pt>
                <c:pt idx="1957">
                  <c:v>3.4156093461529027</c:v>
                </c:pt>
                <c:pt idx="1958">
                  <c:v>3.4173546754048969</c:v>
                </c:pt>
                <c:pt idx="1959">
                  <c:v>3.4191000046568911</c:v>
                </c:pt>
                <c:pt idx="1960">
                  <c:v>3.4208453339088858</c:v>
                </c:pt>
                <c:pt idx="1961">
                  <c:v>3.42259066316088</c:v>
                </c:pt>
                <c:pt idx="1962">
                  <c:v>3.4243359924128747</c:v>
                </c:pt>
                <c:pt idx="1963">
                  <c:v>3.4260813216648685</c:v>
                </c:pt>
                <c:pt idx="1964">
                  <c:v>3.4278266509168631</c:v>
                </c:pt>
                <c:pt idx="1965">
                  <c:v>3.4295719801688573</c:v>
                </c:pt>
                <c:pt idx="1966">
                  <c:v>3.431317309420852</c:v>
                </c:pt>
                <c:pt idx="1967">
                  <c:v>3.4330626386728467</c:v>
                </c:pt>
                <c:pt idx="1968">
                  <c:v>3.4348079679248409</c:v>
                </c:pt>
                <c:pt idx="1969">
                  <c:v>3.4365532971768351</c:v>
                </c:pt>
                <c:pt idx="1970">
                  <c:v>3.4382986264288289</c:v>
                </c:pt>
                <c:pt idx="1971">
                  <c:v>3.4400439556808236</c:v>
                </c:pt>
                <c:pt idx="1972">
                  <c:v>3.4417892849328173</c:v>
                </c:pt>
                <c:pt idx="1973">
                  <c:v>3.4435346141848124</c:v>
                </c:pt>
                <c:pt idx="1974">
                  <c:v>3.4452799434368058</c:v>
                </c:pt>
                <c:pt idx="1975">
                  <c:v>3.4470252726888009</c:v>
                </c:pt>
                <c:pt idx="1976">
                  <c:v>3.4487706019407955</c:v>
                </c:pt>
                <c:pt idx="1977">
                  <c:v>3.4505159311927893</c:v>
                </c:pt>
                <c:pt idx="1978">
                  <c:v>3.452261260444784</c:v>
                </c:pt>
                <c:pt idx="1979">
                  <c:v>3.4540065896967778</c:v>
                </c:pt>
                <c:pt idx="1980">
                  <c:v>3.4557519189487729</c:v>
                </c:pt>
                <c:pt idx="1981">
                  <c:v>3.4574972482007671</c:v>
                </c:pt>
                <c:pt idx="1982">
                  <c:v>3.4592425774527604</c:v>
                </c:pt>
                <c:pt idx="1983">
                  <c:v>3.4609879067047546</c:v>
                </c:pt>
                <c:pt idx="1984">
                  <c:v>3.4627332359567498</c:v>
                </c:pt>
                <c:pt idx="1985">
                  <c:v>3.464478565208744</c:v>
                </c:pt>
                <c:pt idx="1986">
                  <c:v>3.4662238944607382</c:v>
                </c:pt>
                <c:pt idx="1987">
                  <c:v>3.4679692237127333</c:v>
                </c:pt>
                <c:pt idx="1988">
                  <c:v>3.4697145529647266</c:v>
                </c:pt>
                <c:pt idx="1989">
                  <c:v>3.4714598822167217</c:v>
                </c:pt>
                <c:pt idx="1990">
                  <c:v>3.473205211468716</c:v>
                </c:pt>
                <c:pt idx="1991">
                  <c:v>3.4749505407207102</c:v>
                </c:pt>
                <c:pt idx="1992">
                  <c:v>3.4766958699727044</c:v>
                </c:pt>
                <c:pt idx="1993">
                  <c:v>3.4784411992246986</c:v>
                </c:pt>
                <c:pt idx="1994">
                  <c:v>3.4801865284766929</c:v>
                </c:pt>
                <c:pt idx="1995">
                  <c:v>3.4819318577286871</c:v>
                </c:pt>
                <c:pt idx="1996">
                  <c:v>3.4836771869806822</c:v>
                </c:pt>
                <c:pt idx="1997">
                  <c:v>3.485422516232676</c:v>
                </c:pt>
                <c:pt idx="1998">
                  <c:v>3.4871678454846706</c:v>
                </c:pt>
                <c:pt idx="1999">
                  <c:v>3.4889131747366644</c:v>
                </c:pt>
                <c:pt idx="2000">
                  <c:v>3.4906585039886591</c:v>
                </c:pt>
                <c:pt idx="2001">
                  <c:v>3.4924038332406533</c:v>
                </c:pt>
                <c:pt idx="2002">
                  <c:v>3.4941491624926475</c:v>
                </c:pt>
                <c:pt idx="2003">
                  <c:v>3.4958944917446422</c:v>
                </c:pt>
                <c:pt idx="2004">
                  <c:v>3.4976398209966364</c:v>
                </c:pt>
                <c:pt idx="2005">
                  <c:v>3.4993851502486306</c:v>
                </c:pt>
                <c:pt idx="2006">
                  <c:v>3.5011304795006248</c:v>
                </c:pt>
                <c:pt idx="2007">
                  <c:v>3.5028758087526191</c:v>
                </c:pt>
                <c:pt idx="2008">
                  <c:v>3.5046211380046133</c:v>
                </c:pt>
                <c:pt idx="2009">
                  <c:v>3.5063664672566079</c:v>
                </c:pt>
                <c:pt idx="2010">
                  <c:v>3.5081117965086026</c:v>
                </c:pt>
                <c:pt idx="2011">
                  <c:v>3.5098571257605968</c:v>
                </c:pt>
                <c:pt idx="2012">
                  <c:v>3.5116024550125915</c:v>
                </c:pt>
                <c:pt idx="2013">
                  <c:v>3.5133477842645853</c:v>
                </c:pt>
                <c:pt idx="2014">
                  <c:v>3.5150931135165795</c:v>
                </c:pt>
                <c:pt idx="2015">
                  <c:v>3.5168384427685737</c:v>
                </c:pt>
                <c:pt idx="2016">
                  <c:v>3.5185837720205679</c:v>
                </c:pt>
                <c:pt idx="2017">
                  <c:v>3.520329101272563</c:v>
                </c:pt>
                <c:pt idx="2018">
                  <c:v>3.5220744305245573</c:v>
                </c:pt>
                <c:pt idx="2019">
                  <c:v>3.5238197597765515</c:v>
                </c:pt>
                <c:pt idx="2020">
                  <c:v>3.5255650890285457</c:v>
                </c:pt>
                <c:pt idx="2021">
                  <c:v>3.5273104182805404</c:v>
                </c:pt>
                <c:pt idx="2022">
                  <c:v>3.5290557475325341</c:v>
                </c:pt>
                <c:pt idx="2023">
                  <c:v>3.5308010767845293</c:v>
                </c:pt>
                <c:pt idx="2024">
                  <c:v>3.5325464060365226</c:v>
                </c:pt>
                <c:pt idx="2025">
                  <c:v>3.5342917352885168</c:v>
                </c:pt>
                <c:pt idx="2026">
                  <c:v>3.5360370645405119</c:v>
                </c:pt>
                <c:pt idx="2027">
                  <c:v>3.5377823937925053</c:v>
                </c:pt>
                <c:pt idx="2028">
                  <c:v>3.5395277230445004</c:v>
                </c:pt>
                <c:pt idx="2029">
                  <c:v>3.5412730522964941</c:v>
                </c:pt>
                <c:pt idx="2030">
                  <c:v>3.5430183815484888</c:v>
                </c:pt>
                <c:pt idx="2031">
                  <c:v>3.544763710800483</c:v>
                </c:pt>
                <c:pt idx="2032">
                  <c:v>3.5465090400524772</c:v>
                </c:pt>
                <c:pt idx="2033">
                  <c:v>3.5482543693044715</c:v>
                </c:pt>
                <c:pt idx="2034">
                  <c:v>3.5499996985564666</c:v>
                </c:pt>
                <c:pt idx="2035">
                  <c:v>3.5517450278084608</c:v>
                </c:pt>
                <c:pt idx="2036">
                  <c:v>3.553490357060455</c:v>
                </c:pt>
                <c:pt idx="2037">
                  <c:v>3.5552356863124492</c:v>
                </c:pt>
                <c:pt idx="2038">
                  <c:v>3.556981015564443</c:v>
                </c:pt>
                <c:pt idx="2039">
                  <c:v>3.5587263448164377</c:v>
                </c:pt>
                <c:pt idx="2040">
                  <c:v>3.5604716740684319</c:v>
                </c:pt>
                <c:pt idx="2041">
                  <c:v>3.5622170033204266</c:v>
                </c:pt>
                <c:pt idx="2042">
                  <c:v>3.5639623325724212</c:v>
                </c:pt>
                <c:pt idx="2043">
                  <c:v>3.5657076618244155</c:v>
                </c:pt>
                <c:pt idx="2044">
                  <c:v>3.5674529910764097</c:v>
                </c:pt>
                <c:pt idx="2045">
                  <c:v>3.5691983203284039</c:v>
                </c:pt>
                <c:pt idx="2046">
                  <c:v>3.5709436495803981</c:v>
                </c:pt>
                <c:pt idx="2047">
                  <c:v>3.5726889788323928</c:v>
                </c:pt>
                <c:pt idx="2048">
                  <c:v>3.574434308084387</c:v>
                </c:pt>
                <c:pt idx="2049">
                  <c:v>3.5761796373363803</c:v>
                </c:pt>
                <c:pt idx="2050">
                  <c:v>3.5779249665883754</c:v>
                </c:pt>
                <c:pt idx="2051">
                  <c:v>3.5796702958403701</c:v>
                </c:pt>
                <c:pt idx="2052">
                  <c:v>3.5814156250923639</c:v>
                </c:pt>
                <c:pt idx="2053">
                  <c:v>3.5831609543443586</c:v>
                </c:pt>
                <c:pt idx="2054">
                  <c:v>3.5849062835963523</c:v>
                </c:pt>
                <c:pt idx="2055">
                  <c:v>3.5866516128483474</c:v>
                </c:pt>
                <c:pt idx="2056">
                  <c:v>3.5883969421003417</c:v>
                </c:pt>
                <c:pt idx="2057">
                  <c:v>3.5901422713523359</c:v>
                </c:pt>
                <c:pt idx="2058">
                  <c:v>3.5918876006043301</c:v>
                </c:pt>
                <c:pt idx="2059">
                  <c:v>3.5936329298563243</c:v>
                </c:pt>
                <c:pt idx="2060">
                  <c:v>3.5953782591083185</c:v>
                </c:pt>
                <c:pt idx="2061">
                  <c:v>3.5971235883603128</c:v>
                </c:pt>
                <c:pt idx="2062">
                  <c:v>3.5988689176123079</c:v>
                </c:pt>
                <c:pt idx="2063">
                  <c:v>3.6006142468643012</c:v>
                </c:pt>
                <c:pt idx="2064">
                  <c:v>3.6023595761162963</c:v>
                </c:pt>
                <c:pt idx="2065">
                  <c:v>3.6041049053682905</c:v>
                </c:pt>
                <c:pt idx="2066">
                  <c:v>3.6058502346202848</c:v>
                </c:pt>
                <c:pt idx="2067">
                  <c:v>3.6075955638722799</c:v>
                </c:pt>
                <c:pt idx="2068">
                  <c:v>3.6093408931242741</c:v>
                </c:pt>
                <c:pt idx="2069">
                  <c:v>3.6110862223762674</c:v>
                </c:pt>
                <c:pt idx="2070">
                  <c:v>3.6128315516282616</c:v>
                </c:pt>
                <c:pt idx="2071">
                  <c:v>3.6145768808802567</c:v>
                </c:pt>
                <c:pt idx="2072">
                  <c:v>3.6163222101322505</c:v>
                </c:pt>
                <c:pt idx="2073">
                  <c:v>3.6180675393842452</c:v>
                </c:pt>
                <c:pt idx="2074">
                  <c:v>3.619812868636239</c:v>
                </c:pt>
                <c:pt idx="2075">
                  <c:v>3.6215581978882336</c:v>
                </c:pt>
                <c:pt idx="2076">
                  <c:v>3.6233035271402287</c:v>
                </c:pt>
                <c:pt idx="2077">
                  <c:v>3.6250488563922221</c:v>
                </c:pt>
                <c:pt idx="2078">
                  <c:v>3.6267941856442172</c:v>
                </c:pt>
                <c:pt idx="2079">
                  <c:v>3.628539514896211</c:v>
                </c:pt>
                <c:pt idx="2080">
                  <c:v>3.6302848441482056</c:v>
                </c:pt>
                <c:pt idx="2081">
                  <c:v>3.6320301734001994</c:v>
                </c:pt>
                <c:pt idx="2082">
                  <c:v>3.6337755026521936</c:v>
                </c:pt>
                <c:pt idx="2083">
                  <c:v>3.6355208319041878</c:v>
                </c:pt>
                <c:pt idx="2084">
                  <c:v>3.637266161156183</c:v>
                </c:pt>
                <c:pt idx="2085">
                  <c:v>3.6390114904081772</c:v>
                </c:pt>
                <c:pt idx="2086">
                  <c:v>3.6407568196601714</c:v>
                </c:pt>
                <c:pt idx="2087">
                  <c:v>3.6425021489121661</c:v>
                </c:pt>
                <c:pt idx="2088">
                  <c:v>3.6442474781641598</c:v>
                </c:pt>
                <c:pt idx="2089">
                  <c:v>3.6459928074161545</c:v>
                </c:pt>
                <c:pt idx="2090">
                  <c:v>3.6477381366681487</c:v>
                </c:pt>
                <c:pt idx="2091">
                  <c:v>3.6494834659201434</c:v>
                </c:pt>
                <c:pt idx="2092">
                  <c:v>3.6512287951721376</c:v>
                </c:pt>
                <c:pt idx="2093">
                  <c:v>3.6529741244241318</c:v>
                </c:pt>
                <c:pt idx="2094">
                  <c:v>3.6547194536761261</c:v>
                </c:pt>
                <c:pt idx="2095">
                  <c:v>3.6564647829281203</c:v>
                </c:pt>
                <c:pt idx="2096">
                  <c:v>3.6582101121801149</c:v>
                </c:pt>
                <c:pt idx="2097">
                  <c:v>3.6599554414321087</c:v>
                </c:pt>
                <c:pt idx="2098">
                  <c:v>3.6617007706841038</c:v>
                </c:pt>
                <c:pt idx="2099">
                  <c:v>3.6634460999360972</c:v>
                </c:pt>
                <c:pt idx="2100">
                  <c:v>3.6651914291880923</c:v>
                </c:pt>
                <c:pt idx="2101">
                  <c:v>3.6669367584400865</c:v>
                </c:pt>
                <c:pt idx="2102">
                  <c:v>3.6686820876920807</c:v>
                </c:pt>
                <c:pt idx="2103">
                  <c:v>3.6704274169440749</c:v>
                </c:pt>
                <c:pt idx="2104">
                  <c:v>3.6721727461960687</c:v>
                </c:pt>
                <c:pt idx="2105">
                  <c:v>3.6739180754480634</c:v>
                </c:pt>
                <c:pt idx="2106">
                  <c:v>3.6756634047000576</c:v>
                </c:pt>
                <c:pt idx="2107">
                  <c:v>3.6774087339520518</c:v>
                </c:pt>
                <c:pt idx="2108">
                  <c:v>3.679154063204046</c:v>
                </c:pt>
                <c:pt idx="2109">
                  <c:v>3.6808993924560411</c:v>
                </c:pt>
                <c:pt idx="2110">
                  <c:v>3.6826447217080354</c:v>
                </c:pt>
                <c:pt idx="2111">
                  <c:v>3.6843900509600296</c:v>
                </c:pt>
                <c:pt idx="2112">
                  <c:v>3.6861353802120238</c:v>
                </c:pt>
                <c:pt idx="2113">
                  <c:v>3.687880709464018</c:v>
                </c:pt>
                <c:pt idx="2114">
                  <c:v>3.6896260387160122</c:v>
                </c:pt>
                <c:pt idx="2115">
                  <c:v>3.6913713679680069</c:v>
                </c:pt>
                <c:pt idx="2116">
                  <c:v>3.6931166972200011</c:v>
                </c:pt>
                <c:pt idx="2117">
                  <c:v>3.6948620264719958</c:v>
                </c:pt>
                <c:pt idx="2118">
                  <c:v>3.69660735572399</c:v>
                </c:pt>
                <c:pt idx="2119">
                  <c:v>3.6983526849759842</c:v>
                </c:pt>
                <c:pt idx="2120">
                  <c:v>3.7000980142279785</c:v>
                </c:pt>
                <c:pt idx="2121">
                  <c:v>3.7018433434799736</c:v>
                </c:pt>
                <c:pt idx="2122">
                  <c:v>3.7035886727319673</c:v>
                </c:pt>
                <c:pt idx="2123">
                  <c:v>3.705334001983962</c:v>
                </c:pt>
                <c:pt idx="2124">
                  <c:v>3.7070793312359558</c:v>
                </c:pt>
                <c:pt idx="2125">
                  <c:v>3.70882466048795</c:v>
                </c:pt>
                <c:pt idx="2126">
                  <c:v>3.7105699897399447</c:v>
                </c:pt>
                <c:pt idx="2127">
                  <c:v>3.7123153189919385</c:v>
                </c:pt>
                <c:pt idx="2128">
                  <c:v>3.7140606482439336</c:v>
                </c:pt>
                <c:pt idx="2129">
                  <c:v>3.7158059774959269</c:v>
                </c:pt>
                <c:pt idx="2130">
                  <c:v>3.717551306747922</c:v>
                </c:pt>
                <c:pt idx="2131">
                  <c:v>3.7192966359999162</c:v>
                </c:pt>
                <c:pt idx="2132">
                  <c:v>3.7210419652519104</c:v>
                </c:pt>
                <c:pt idx="2133">
                  <c:v>3.7227872945039047</c:v>
                </c:pt>
                <c:pt idx="2134">
                  <c:v>3.7245326237558993</c:v>
                </c:pt>
                <c:pt idx="2135">
                  <c:v>3.726277953007894</c:v>
                </c:pt>
                <c:pt idx="2136">
                  <c:v>3.7280232822598873</c:v>
                </c:pt>
                <c:pt idx="2137">
                  <c:v>3.7297686115118824</c:v>
                </c:pt>
                <c:pt idx="2138">
                  <c:v>3.7315139407638758</c:v>
                </c:pt>
                <c:pt idx="2139">
                  <c:v>3.7332592700158709</c:v>
                </c:pt>
                <c:pt idx="2140">
                  <c:v>3.7350045992678651</c:v>
                </c:pt>
                <c:pt idx="2141">
                  <c:v>3.7367499285198593</c:v>
                </c:pt>
                <c:pt idx="2142">
                  <c:v>3.7384952577718544</c:v>
                </c:pt>
                <c:pt idx="2143">
                  <c:v>3.7402405870238487</c:v>
                </c:pt>
                <c:pt idx="2144">
                  <c:v>3.7419859162758429</c:v>
                </c:pt>
                <c:pt idx="2145">
                  <c:v>3.7437312455278371</c:v>
                </c:pt>
                <c:pt idx="2146">
                  <c:v>3.7454765747798313</c:v>
                </c:pt>
                <c:pt idx="2147">
                  <c:v>3.7472219040318255</c:v>
                </c:pt>
                <c:pt idx="2148">
                  <c:v>3.7489672332838198</c:v>
                </c:pt>
                <c:pt idx="2149">
                  <c:v>3.7507125625358135</c:v>
                </c:pt>
                <c:pt idx="2150">
                  <c:v>3.7524578917878082</c:v>
                </c:pt>
                <c:pt idx="2151">
                  <c:v>3.7542032210398033</c:v>
                </c:pt>
                <c:pt idx="2152">
                  <c:v>3.7559485502917971</c:v>
                </c:pt>
                <c:pt idx="2153">
                  <c:v>3.7576938795437917</c:v>
                </c:pt>
                <c:pt idx="2154">
                  <c:v>3.7594392087957855</c:v>
                </c:pt>
                <c:pt idx="2155">
                  <c:v>3.7611845380477802</c:v>
                </c:pt>
                <c:pt idx="2156">
                  <c:v>3.7629298672997744</c:v>
                </c:pt>
                <c:pt idx="2157">
                  <c:v>3.7646751965517686</c:v>
                </c:pt>
                <c:pt idx="2158">
                  <c:v>3.7664205258037629</c:v>
                </c:pt>
                <c:pt idx="2159">
                  <c:v>3.7681658550557575</c:v>
                </c:pt>
                <c:pt idx="2160">
                  <c:v>3.7699111843077517</c:v>
                </c:pt>
                <c:pt idx="2161">
                  <c:v>3.771656513559746</c:v>
                </c:pt>
                <c:pt idx="2162">
                  <c:v>3.7734018428117406</c:v>
                </c:pt>
                <c:pt idx="2163">
                  <c:v>3.7751471720637344</c:v>
                </c:pt>
                <c:pt idx="2164">
                  <c:v>3.7768925013157291</c:v>
                </c:pt>
                <c:pt idx="2165">
                  <c:v>3.7786378305677237</c:v>
                </c:pt>
                <c:pt idx="2166">
                  <c:v>3.780383159819718</c:v>
                </c:pt>
                <c:pt idx="2167">
                  <c:v>3.7821284890717122</c:v>
                </c:pt>
                <c:pt idx="2168">
                  <c:v>3.7838738183237064</c:v>
                </c:pt>
                <c:pt idx="2169">
                  <c:v>3.7856191475757006</c:v>
                </c:pt>
                <c:pt idx="2170">
                  <c:v>3.7873644768276948</c:v>
                </c:pt>
                <c:pt idx="2171">
                  <c:v>3.7891098060796895</c:v>
                </c:pt>
                <c:pt idx="2172">
                  <c:v>3.7908551353316833</c:v>
                </c:pt>
                <c:pt idx="2173">
                  <c:v>3.7926004645836784</c:v>
                </c:pt>
                <c:pt idx="2174">
                  <c:v>3.7943457938356717</c:v>
                </c:pt>
                <c:pt idx="2175">
                  <c:v>3.7960911230876668</c:v>
                </c:pt>
                <c:pt idx="2176">
                  <c:v>3.7978364523396615</c:v>
                </c:pt>
                <c:pt idx="2177">
                  <c:v>3.7995817815916553</c:v>
                </c:pt>
                <c:pt idx="2178">
                  <c:v>3.8013271108436504</c:v>
                </c:pt>
                <c:pt idx="2179">
                  <c:v>3.8030724400956437</c:v>
                </c:pt>
                <c:pt idx="2180">
                  <c:v>3.8048177693476379</c:v>
                </c:pt>
                <c:pt idx="2181">
                  <c:v>3.8065630985996322</c:v>
                </c:pt>
                <c:pt idx="2182">
                  <c:v>3.8083084278516264</c:v>
                </c:pt>
                <c:pt idx="2183">
                  <c:v>3.810053757103621</c:v>
                </c:pt>
                <c:pt idx="2184">
                  <c:v>3.8117990863556157</c:v>
                </c:pt>
                <c:pt idx="2185">
                  <c:v>3.8135444156076099</c:v>
                </c:pt>
                <c:pt idx="2186">
                  <c:v>3.8152897448596041</c:v>
                </c:pt>
                <c:pt idx="2187">
                  <c:v>3.8170350741115993</c:v>
                </c:pt>
                <c:pt idx="2188">
                  <c:v>3.8187804033635926</c:v>
                </c:pt>
                <c:pt idx="2189">
                  <c:v>3.8205257326155877</c:v>
                </c:pt>
                <c:pt idx="2190">
                  <c:v>3.8222710618675819</c:v>
                </c:pt>
                <c:pt idx="2191">
                  <c:v>3.8240163911195757</c:v>
                </c:pt>
                <c:pt idx="2192">
                  <c:v>3.8257617203715704</c:v>
                </c:pt>
                <c:pt idx="2193">
                  <c:v>3.8275070496235646</c:v>
                </c:pt>
                <c:pt idx="2194">
                  <c:v>3.8292523788755588</c:v>
                </c:pt>
                <c:pt idx="2195">
                  <c:v>3.830997708127553</c:v>
                </c:pt>
                <c:pt idx="2196">
                  <c:v>3.8327430373795481</c:v>
                </c:pt>
                <c:pt idx="2197">
                  <c:v>3.8344883666315419</c:v>
                </c:pt>
                <c:pt idx="2198">
                  <c:v>3.8362336958835366</c:v>
                </c:pt>
                <c:pt idx="2199">
                  <c:v>3.8379790251355304</c:v>
                </c:pt>
                <c:pt idx="2200">
                  <c:v>3.839724354387525</c:v>
                </c:pt>
                <c:pt idx="2201">
                  <c:v>3.8414696836395192</c:v>
                </c:pt>
                <c:pt idx="2202">
                  <c:v>3.8432150128915135</c:v>
                </c:pt>
                <c:pt idx="2203">
                  <c:v>3.8449603421435081</c:v>
                </c:pt>
                <c:pt idx="2204">
                  <c:v>3.8467056713955015</c:v>
                </c:pt>
                <c:pt idx="2205">
                  <c:v>3.8484510006474966</c:v>
                </c:pt>
                <c:pt idx="2206">
                  <c:v>3.8501963298994908</c:v>
                </c:pt>
                <c:pt idx="2207">
                  <c:v>3.851941659151485</c:v>
                </c:pt>
                <c:pt idx="2208">
                  <c:v>3.8536869884034792</c:v>
                </c:pt>
                <c:pt idx="2209">
                  <c:v>3.8554323176554743</c:v>
                </c:pt>
                <c:pt idx="2210">
                  <c:v>3.8571776469074686</c:v>
                </c:pt>
                <c:pt idx="2211">
                  <c:v>3.8589229761594628</c:v>
                </c:pt>
                <c:pt idx="2212">
                  <c:v>3.860668305411457</c:v>
                </c:pt>
                <c:pt idx="2213">
                  <c:v>3.8624136346634512</c:v>
                </c:pt>
                <c:pt idx="2214">
                  <c:v>3.8641589639154454</c:v>
                </c:pt>
                <c:pt idx="2215">
                  <c:v>3.8659042931674397</c:v>
                </c:pt>
                <c:pt idx="2216">
                  <c:v>3.8676496224194339</c:v>
                </c:pt>
                <c:pt idx="2217">
                  <c:v>3.869394951671429</c:v>
                </c:pt>
                <c:pt idx="2218">
                  <c:v>3.8711402809234232</c:v>
                </c:pt>
                <c:pt idx="2219">
                  <c:v>3.8728856101754174</c:v>
                </c:pt>
                <c:pt idx="2220">
                  <c:v>3.8746309394274117</c:v>
                </c:pt>
                <c:pt idx="2221">
                  <c:v>3.8763762686794063</c:v>
                </c:pt>
                <c:pt idx="2222">
                  <c:v>3.8781215979314001</c:v>
                </c:pt>
                <c:pt idx="2223">
                  <c:v>3.8798669271833943</c:v>
                </c:pt>
                <c:pt idx="2224">
                  <c:v>3.8816122564353885</c:v>
                </c:pt>
                <c:pt idx="2225">
                  <c:v>3.8833575856873828</c:v>
                </c:pt>
                <c:pt idx="2226">
                  <c:v>3.8851029149393779</c:v>
                </c:pt>
                <c:pt idx="2227">
                  <c:v>3.8868482441913716</c:v>
                </c:pt>
                <c:pt idx="2228">
                  <c:v>3.8885935734433663</c:v>
                </c:pt>
                <c:pt idx="2229">
                  <c:v>3.8903389026953601</c:v>
                </c:pt>
                <c:pt idx="2230">
                  <c:v>3.8920842319473548</c:v>
                </c:pt>
                <c:pt idx="2231">
                  <c:v>3.893829561199349</c:v>
                </c:pt>
                <c:pt idx="2232">
                  <c:v>3.8955748904513432</c:v>
                </c:pt>
                <c:pt idx="2233">
                  <c:v>3.8973202197033379</c:v>
                </c:pt>
                <c:pt idx="2234">
                  <c:v>3.8990655489553325</c:v>
                </c:pt>
                <c:pt idx="2235">
                  <c:v>3.9008108782073263</c:v>
                </c:pt>
                <c:pt idx="2236">
                  <c:v>3.9025562074593205</c:v>
                </c:pt>
                <c:pt idx="2237">
                  <c:v>3.9043015367113152</c:v>
                </c:pt>
                <c:pt idx="2238">
                  <c:v>3.906046865963309</c:v>
                </c:pt>
                <c:pt idx="2239">
                  <c:v>3.9077921952153036</c:v>
                </c:pt>
                <c:pt idx="2240">
                  <c:v>3.9095375244672983</c:v>
                </c:pt>
                <c:pt idx="2241">
                  <c:v>3.9112828537192925</c:v>
                </c:pt>
                <c:pt idx="2242">
                  <c:v>3.9130281829712872</c:v>
                </c:pt>
                <c:pt idx="2243">
                  <c:v>3.9147735122232814</c:v>
                </c:pt>
                <c:pt idx="2244">
                  <c:v>3.9165188414752756</c:v>
                </c:pt>
                <c:pt idx="2245">
                  <c:v>3.9182641707272698</c:v>
                </c:pt>
                <c:pt idx="2246">
                  <c:v>3.9200094999792645</c:v>
                </c:pt>
                <c:pt idx="2247">
                  <c:v>3.9217548292312578</c:v>
                </c:pt>
                <c:pt idx="2248">
                  <c:v>3.923500158483253</c:v>
                </c:pt>
                <c:pt idx="2249">
                  <c:v>3.9252454877352463</c:v>
                </c:pt>
                <c:pt idx="2250">
                  <c:v>3.9269908169872414</c:v>
                </c:pt>
                <c:pt idx="2251">
                  <c:v>3.9287361462392361</c:v>
                </c:pt>
                <c:pt idx="2252">
                  <c:v>3.9304814754912298</c:v>
                </c:pt>
                <c:pt idx="2253">
                  <c:v>3.9322268047432249</c:v>
                </c:pt>
                <c:pt idx="2254">
                  <c:v>3.9339721339952183</c:v>
                </c:pt>
                <c:pt idx="2255">
                  <c:v>3.9357174632472134</c:v>
                </c:pt>
                <c:pt idx="2256">
                  <c:v>3.9374627924992076</c:v>
                </c:pt>
                <c:pt idx="2257">
                  <c:v>3.9392081217512018</c:v>
                </c:pt>
                <c:pt idx="2258">
                  <c:v>3.9409534510031956</c:v>
                </c:pt>
                <c:pt idx="2259">
                  <c:v>3.9426987802551903</c:v>
                </c:pt>
                <c:pt idx="2260">
                  <c:v>3.9444441095071845</c:v>
                </c:pt>
                <c:pt idx="2261">
                  <c:v>3.9461894387591787</c:v>
                </c:pt>
                <c:pt idx="2262">
                  <c:v>3.9479347680111738</c:v>
                </c:pt>
                <c:pt idx="2263">
                  <c:v>3.9496800972631672</c:v>
                </c:pt>
                <c:pt idx="2264">
                  <c:v>3.9514254265151623</c:v>
                </c:pt>
                <c:pt idx="2265">
                  <c:v>3.9531707557671565</c:v>
                </c:pt>
                <c:pt idx="2266">
                  <c:v>3.9549160850191507</c:v>
                </c:pt>
                <c:pt idx="2267">
                  <c:v>3.9566614142711449</c:v>
                </c:pt>
                <c:pt idx="2268">
                  <c:v>3.9584067435231391</c:v>
                </c:pt>
                <c:pt idx="2269">
                  <c:v>3.9601520727751334</c:v>
                </c:pt>
                <c:pt idx="2270">
                  <c:v>3.9618974020271276</c:v>
                </c:pt>
                <c:pt idx="2271">
                  <c:v>3.9636427312791227</c:v>
                </c:pt>
                <c:pt idx="2272">
                  <c:v>3.9653880605311165</c:v>
                </c:pt>
                <c:pt idx="2273">
                  <c:v>3.9671333897831111</c:v>
                </c:pt>
                <c:pt idx="2274">
                  <c:v>3.9688787190351049</c:v>
                </c:pt>
                <c:pt idx="2275">
                  <c:v>3.9706240482870996</c:v>
                </c:pt>
                <c:pt idx="2276">
                  <c:v>3.9723693775390947</c:v>
                </c:pt>
                <c:pt idx="2277">
                  <c:v>3.9741147067910885</c:v>
                </c:pt>
                <c:pt idx="2278">
                  <c:v>3.9758600360430827</c:v>
                </c:pt>
                <c:pt idx="2279">
                  <c:v>3.9776053652950769</c:v>
                </c:pt>
                <c:pt idx="2280">
                  <c:v>3.9793506945470711</c:v>
                </c:pt>
                <c:pt idx="2281">
                  <c:v>3.9810960237990654</c:v>
                </c:pt>
                <c:pt idx="2282">
                  <c:v>3.9828413530510596</c:v>
                </c:pt>
                <c:pt idx="2283">
                  <c:v>3.9845866823030538</c:v>
                </c:pt>
                <c:pt idx="2284">
                  <c:v>3.9863320115550489</c:v>
                </c:pt>
                <c:pt idx="2285">
                  <c:v>3.9880773408070431</c:v>
                </c:pt>
                <c:pt idx="2286">
                  <c:v>3.9898226700590373</c:v>
                </c:pt>
                <c:pt idx="2287">
                  <c:v>3.991567999311032</c:v>
                </c:pt>
                <c:pt idx="2288">
                  <c:v>3.9933133285630258</c:v>
                </c:pt>
                <c:pt idx="2289">
                  <c:v>3.9950586578150205</c:v>
                </c:pt>
                <c:pt idx="2290">
                  <c:v>3.9968039870670142</c:v>
                </c:pt>
                <c:pt idx="2291">
                  <c:v>3.9985493163190085</c:v>
                </c:pt>
                <c:pt idx="2292">
                  <c:v>4.0002946455710031</c:v>
                </c:pt>
                <c:pt idx="2293">
                  <c:v>4.0020399748229973</c:v>
                </c:pt>
                <c:pt idx="2294">
                  <c:v>4.0037853040749916</c:v>
                </c:pt>
                <c:pt idx="2295">
                  <c:v>4.0055306333269858</c:v>
                </c:pt>
                <c:pt idx="2296">
                  <c:v>4.0072759625789809</c:v>
                </c:pt>
                <c:pt idx="2297">
                  <c:v>4.0090212918309751</c:v>
                </c:pt>
                <c:pt idx="2298">
                  <c:v>4.0107666210829693</c:v>
                </c:pt>
                <c:pt idx="2299">
                  <c:v>4.0125119503349636</c:v>
                </c:pt>
                <c:pt idx="2300">
                  <c:v>4.0142572795869578</c:v>
                </c:pt>
                <c:pt idx="2301">
                  <c:v>4.016002608838952</c:v>
                </c:pt>
                <c:pt idx="2302">
                  <c:v>4.0177479380909462</c:v>
                </c:pt>
                <c:pt idx="2303">
                  <c:v>4.0194932673429413</c:v>
                </c:pt>
                <c:pt idx="2304">
                  <c:v>4.0212385965949347</c:v>
                </c:pt>
                <c:pt idx="2305">
                  <c:v>4.0229839258469298</c:v>
                </c:pt>
                <c:pt idx="2306">
                  <c:v>4.024729255098924</c:v>
                </c:pt>
                <c:pt idx="2307">
                  <c:v>4.0264745843509182</c:v>
                </c:pt>
                <c:pt idx="2308">
                  <c:v>4.0282199136029124</c:v>
                </c:pt>
                <c:pt idx="2309">
                  <c:v>4.0299652428549075</c:v>
                </c:pt>
                <c:pt idx="2310">
                  <c:v>4.0317105721069018</c:v>
                </c:pt>
                <c:pt idx="2311">
                  <c:v>4.033455901358896</c:v>
                </c:pt>
                <c:pt idx="2312">
                  <c:v>4.0352012306108902</c:v>
                </c:pt>
                <c:pt idx="2313">
                  <c:v>4.0369465598628844</c:v>
                </c:pt>
                <c:pt idx="2314">
                  <c:v>4.0386918891148786</c:v>
                </c:pt>
                <c:pt idx="2315">
                  <c:v>4.0404372183668729</c:v>
                </c:pt>
                <c:pt idx="2316">
                  <c:v>4.0421825476188671</c:v>
                </c:pt>
                <c:pt idx="2317">
                  <c:v>4.0439278768708622</c:v>
                </c:pt>
                <c:pt idx="2318">
                  <c:v>4.0456732061228564</c:v>
                </c:pt>
                <c:pt idx="2319">
                  <c:v>4.0474185353748506</c:v>
                </c:pt>
                <c:pt idx="2320">
                  <c:v>4.0491638646268449</c:v>
                </c:pt>
                <c:pt idx="2321">
                  <c:v>4.0509091938788391</c:v>
                </c:pt>
                <c:pt idx="2322">
                  <c:v>4.0526545231308333</c:v>
                </c:pt>
                <c:pt idx="2323">
                  <c:v>4.0543998523828275</c:v>
                </c:pt>
                <c:pt idx="2324">
                  <c:v>4.0561451816348217</c:v>
                </c:pt>
                <c:pt idx="2325">
                  <c:v>4.057890510886816</c:v>
                </c:pt>
                <c:pt idx="2326">
                  <c:v>4.0596358401388111</c:v>
                </c:pt>
                <c:pt idx="2327">
                  <c:v>4.0613811693908044</c:v>
                </c:pt>
                <c:pt idx="2328">
                  <c:v>4.0631264986427995</c:v>
                </c:pt>
                <c:pt idx="2329">
                  <c:v>4.0648718278947928</c:v>
                </c:pt>
                <c:pt idx="2330">
                  <c:v>4.066617157146788</c:v>
                </c:pt>
                <c:pt idx="2331">
                  <c:v>4.0683624863987822</c:v>
                </c:pt>
                <c:pt idx="2332">
                  <c:v>4.0701078156507764</c:v>
                </c:pt>
                <c:pt idx="2333">
                  <c:v>4.0718531449027706</c:v>
                </c:pt>
                <c:pt idx="2334">
                  <c:v>4.0735984741547648</c:v>
                </c:pt>
                <c:pt idx="2335">
                  <c:v>4.0753438034067591</c:v>
                </c:pt>
                <c:pt idx="2336">
                  <c:v>4.0770891326587533</c:v>
                </c:pt>
                <c:pt idx="2337">
                  <c:v>4.0788344619107484</c:v>
                </c:pt>
                <c:pt idx="2338">
                  <c:v>4.0805797911627417</c:v>
                </c:pt>
                <c:pt idx="2339">
                  <c:v>4.0823251204147368</c:v>
                </c:pt>
                <c:pt idx="2340">
                  <c:v>4.0840704496667311</c:v>
                </c:pt>
                <c:pt idx="2341">
                  <c:v>4.0858157789187253</c:v>
                </c:pt>
                <c:pt idx="2342">
                  <c:v>4.0875611081707204</c:v>
                </c:pt>
                <c:pt idx="2343">
                  <c:v>4.0893064374227146</c:v>
                </c:pt>
                <c:pt idx="2344">
                  <c:v>4.0910517666747088</c:v>
                </c:pt>
                <c:pt idx="2345">
                  <c:v>4.0927970959267022</c:v>
                </c:pt>
                <c:pt idx="2346">
                  <c:v>4.0945424251786973</c:v>
                </c:pt>
                <c:pt idx="2347">
                  <c:v>4.0962877544306906</c:v>
                </c:pt>
                <c:pt idx="2348">
                  <c:v>4.0980330836826857</c:v>
                </c:pt>
                <c:pt idx="2349">
                  <c:v>4.099778412934679</c:v>
                </c:pt>
                <c:pt idx="2350">
                  <c:v>4.1015237421866741</c:v>
                </c:pt>
                <c:pt idx="2351">
                  <c:v>4.1032690714386693</c:v>
                </c:pt>
                <c:pt idx="2352">
                  <c:v>4.1050144006906626</c:v>
                </c:pt>
                <c:pt idx="2353">
                  <c:v>4.1067597299426577</c:v>
                </c:pt>
                <c:pt idx="2354">
                  <c:v>4.108505059194651</c:v>
                </c:pt>
                <c:pt idx="2355">
                  <c:v>4.1102503884466461</c:v>
                </c:pt>
                <c:pt idx="2356">
                  <c:v>4.1119957176986404</c:v>
                </c:pt>
                <c:pt idx="2357">
                  <c:v>4.1137410469506346</c:v>
                </c:pt>
                <c:pt idx="2358">
                  <c:v>4.1154863762026288</c:v>
                </c:pt>
                <c:pt idx="2359">
                  <c:v>4.117231705454623</c:v>
                </c:pt>
                <c:pt idx="2360">
                  <c:v>4.1189770347066172</c:v>
                </c:pt>
                <c:pt idx="2361">
                  <c:v>4.1207223639586115</c:v>
                </c:pt>
                <c:pt idx="2362">
                  <c:v>4.1224676932106066</c:v>
                </c:pt>
                <c:pt idx="2363">
                  <c:v>4.1242130224625999</c:v>
                </c:pt>
                <c:pt idx="2364">
                  <c:v>4.125958351714595</c:v>
                </c:pt>
                <c:pt idx="2365">
                  <c:v>4.1277036809665892</c:v>
                </c:pt>
                <c:pt idx="2366">
                  <c:v>4.1294490102185835</c:v>
                </c:pt>
                <c:pt idx="2367">
                  <c:v>4.1311943394705777</c:v>
                </c:pt>
                <c:pt idx="2368">
                  <c:v>4.1329396687225719</c:v>
                </c:pt>
                <c:pt idx="2369">
                  <c:v>4.1346849979745661</c:v>
                </c:pt>
                <c:pt idx="2370">
                  <c:v>4.1364303272265612</c:v>
                </c:pt>
                <c:pt idx="2371">
                  <c:v>4.1381756564785555</c:v>
                </c:pt>
                <c:pt idx="2372">
                  <c:v>4.1399209857305497</c:v>
                </c:pt>
                <c:pt idx="2373">
                  <c:v>4.1416663149825439</c:v>
                </c:pt>
                <c:pt idx="2374">
                  <c:v>4.1434116442345381</c:v>
                </c:pt>
                <c:pt idx="2375">
                  <c:v>4.1451569734865323</c:v>
                </c:pt>
                <c:pt idx="2376">
                  <c:v>4.1469023027385274</c:v>
                </c:pt>
                <c:pt idx="2377">
                  <c:v>4.1486476319905217</c:v>
                </c:pt>
                <c:pt idx="2378">
                  <c:v>4.1503929612425159</c:v>
                </c:pt>
                <c:pt idx="2379">
                  <c:v>4.1521382904945101</c:v>
                </c:pt>
                <c:pt idx="2380">
                  <c:v>4.1538836197465043</c:v>
                </c:pt>
                <c:pt idx="2381">
                  <c:v>4.1556289489984986</c:v>
                </c:pt>
                <c:pt idx="2382">
                  <c:v>4.1573742782504928</c:v>
                </c:pt>
                <c:pt idx="2383">
                  <c:v>4.159119607502487</c:v>
                </c:pt>
                <c:pt idx="2384">
                  <c:v>4.1608649367544821</c:v>
                </c:pt>
                <c:pt idx="2385">
                  <c:v>4.1626102660064763</c:v>
                </c:pt>
                <c:pt idx="2386">
                  <c:v>4.1643555952584705</c:v>
                </c:pt>
                <c:pt idx="2387">
                  <c:v>4.1661009245104648</c:v>
                </c:pt>
                <c:pt idx="2388">
                  <c:v>4.167846253762459</c:v>
                </c:pt>
                <c:pt idx="2389">
                  <c:v>4.1695915830144532</c:v>
                </c:pt>
                <c:pt idx="2390">
                  <c:v>4.1713369122664474</c:v>
                </c:pt>
                <c:pt idx="2391">
                  <c:v>4.1730822415184416</c:v>
                </c:pt>
                <c:pt idx="2392">
                  <c:v>4.1748275707704368</c:v>
                </c:pt>
                <c:pt idx="2393">
                  <c:v>4.176572900022431</c:v>
                </c:pt>
                <c:pt idx="2394">
                  <c:v>4.1783182292744252</c:v>
                </c:pt>
                <c:pt idx="2395">
                  <c:v>4.1800635585264194</c:v>
                </c:pt>
                <c:pt idx="2396">
                  <c:v>4.1818088877784145</c:v>
                </c:pt>
                <c:pt idx="2397">
                  <c:v>4.1835542170304079</c:v>
                </c:pt>
                <c:pt idx="2398">
                  <c:v>4.185299546282403</c:v>
                </c:pt>
                <c:pt idx="2399">
                  <c:v>4.1870448755343963</c:v>
                </c:pt>
                <c:pt idx="2400">
                  <c:v>4.1887902047863905</c:v>
                </c:pt>
                <c:pt idx="2401">
                  <c:v>4.1905355340383856</c:v>
                </c:pt>
                <c:pt idx="2402">
                  <c:v>4.192280863290379</c:v>
                </c:pt>
                <c:pt idx="2403">
                  <c:v>4.1940261925423741</c:v>
                </c:pt>
                <c:pt idx="2404">
                  <c:v>4.1957715217943674</c:v>
                </c:pt>
                <c:pt idx="2405">
                  <c:v>4.1975168510463625</c:v>
                </c:pt>
                <c:pt idx="2406">
                  <c:v>4.1992621802983567</c:v>
                </c:pt>
                <c:pt idx="2407">
                  <c:v>4.201007509550351</c:v>
                </c:pt>
                <c:pt idx="2408">
                  <c:v>4.2027528388023452</c:v>
                </c:pt>
                <c:pt idx="2409">
                  <c:v>4.2044981680543403</c:v>
                </c:pt>
                <c:pt idx="2410">
                  <c:v>4.2062434973063345</c:v>
                </c:pt>
                <c:pt idx="2411">
                  <c:v>4.2079888265583287</c:v>
                </c:pt>
                <c:pt idx="2412">
                  <c:v>4.209734155810323</c:v>
                </c:pt>
                <c:pt idx="2413">
                  <c:v>4.2114794850623163</c:v>
                </c:pt>
                <c:pt idx="2414">
                  <c:v>4.2132248143143114</c:v>
                </c:pt>
                <c:pt idx="2415">
                  <c:v>4.2149701435663056</c:v>
                </c:pt>
                <c:pt idx="2416">
                  <c:v>4.2167154728182998</c:v>
                </c:pt>
                <c:pt idx="2417">
                  <c:v>4.2184608020702949</c:v>
                </c:pt>
                <c:pt idx="2418">
                  <c:v>4.2202061313222892</c:v>
                </c:pt>
                <c:pt idx="2419">
                  <c:v>4.2219514605742834</c:v>
                </c:pt>
                <c:pt idx="2420">
                  <c:v>4.2236967898262776</c:v>
                </c:pt>
                <c:pt idx="2421">
                  <c:v>4.2254421190782718</c:v>
                </c:pt>
                <c:pt idx="2422">
                  <c:v>4.2271874483302661</c:v>
                </c:pt>
                <c:pt idx="2423">
                  <c:v>4.2289327775822603</c:v>
                </c:pt>
                <c:pt idx="2424">
                  <c:v>4.2306781068342536</c:v>
                </c:pt>
                <c:pt idx="2425">
                  <c:v>4.2324234360862487</c:v>
                </c:pt>
                <c:pt idx="2426">
                  <c:v>4.2341687653382438</c:v>
                </c:pt>
                <c:pt idx="2427">
                  <c:v>4.2359140945902372</c:v>
                </c:pt>
                <c:pt idx="2428">
                  <c:v>4.2376594238422323</c:v>
                </c:pt>
                <c:pt idx="2429">
                  <c:v>4.2394047530942256</c:v>
                </c:pt>
                <c:pt idx="2430">
                  <c:v>4.2411500823462207</c:v>
                </c:pt>
                <c:pt idx="2431">
                  <c:v>4.2428954115982149</c:v>
                </c:pt>
                <c:pt idx="2432">
                  <c:v>4.2446407408502091</c:v>
                </c:pt>
                <c:pt idx="2433">
                  <c:v>4.2463860701022034</c:v>
                </c:pt>
                <c:pt idx="2434">
                  <c:v>4.2481313993541976</c:v>
                </c:pt>
                <c:pt idx="2435">
                  <c:v>4.2498767286061918</c:v>
                </c:pt>
                <c:pt idx="2436">
                  <c:v>4.251622057858186</c:v>
                </c:pt>
                <c:pt idx="2437">
                  <c:v>4.2533673871101811</c:v>
                </c:pt>
                <c:pt idx="2438">
                  <c:v>4.2551127163621754</c:v>
                </c:pt>
                <c:pt idx="2439">
                  <c:v>4.2568580456141696</c:v>
                </c:pt>
                <c:pt idx="2440">
                  <c:v>4.2586033748661638</c:v>
                </c:pt>
                <c:pt idx="2441">
                  <c:v>4.260348704118158</c:v>
                </c:pt>
                <c:pt idx="2442">
                  <c:v>4.2620940333701531</c:v>
                </c:pt>
                <c:pt idx="2443">
                  <c:v>4.2638393626221474</c:v>
                </c:pt>
                <c:pt idx="2444">
                  <c:v>4.2655846918741407</c:v>
                </c:pt>
                <c:pt idx="2445">
                  <c:v>4.2673300211261358</c:v>
                </c:pt>
                <c:pt idx="2446">
                  <c:v>4.26907535037813</c:v>
                </c:pt>
                <c:pt idx="2447">
                  <c:v>4.2708206796301242</c:v>
                </c:pt>
                <c:pt idx="2448">
                  <c:v>4.2725660088821185</c:v>
                </c:pt>
                <c:pt idx="2449">
                  <c:v>4.2743113381341127</c:v>
                </c:pt>
                <c:pt idx="2450">
                  <c:v>4.2760566673861069</c:v>
                </c:pt>
                <c:pt idx="2451">
                  <c:v>4.277801996638102</c:v>
                </c:pt>
                <c:pt idx="2452">
                  <c:v>4.2795473258900962</c:v>
                </c:pt>
                <c:pt idx="2453">
                  <c:v>4.2812926551420905</c:v>
                </c:pt>
                <c:pt idx="2454">
                  <c:v>4.2830379843940847</c:v>
                </c:pt>
                <c:pt idx="2455">
                  <c:v>4.2847833136460789</c:v>
                </c:pt>
                <c:pt idx="2456">
                  <c:v>4.2865286428980731</c:v>
                </c:pt>
                <c:pt idx="2457">
                  <c:v>4.2882739721500673</c:v>
                </c:pt>
                <c:pt idx="2458">
                  <c:v>4.2900193014020616</c:v>
                </c:pt>
                <c:pt idx="2459">
                  <c:v>4.2917646306540567</c:v>
                </c:pt>
                <c:pt idx="2460">
                  <c:v>4.2935099599060509</c:v>
                </c:pt>
                <c:pt idx="2461">
                  <c:v>4.2952552891580451</c:v>
                </c:pt>
                <c:pt idx="2462">
                  <c:v>4.2970006184100393</c:v>
                </c:pt>
                <c:pt idx="2463">
                  <c:v>4.2987459476620336</c:v>
                </c:pt>
                <c:pt idx="2464">
                  <c:v>4.3004912769140287</c:v>
                </c:pt>
                <c:pt idx="2465">
                  <c:v>4.3022366061660229</c:v>
                </c:pt>
                <c:pt idx="2466">
                  <c:v>4.3039819354180171</c:v>
                </c:pt>
                <c:pt idx="2467">
                  <c:v>4.3057272646700113</c:v>
                </c:pt>
                <c:pt idx="2468">
                  <c:v>4.3074725939220055</c:v>
                </c:pt>
                <c:pt idx="2469">
                  <c:v>4.3092179231739998</c:v>
                </c:pt>
                <c:pt idx="2470">
                  <c:v>4.310963252425994</c:v>
                </c:pt>
                <c:pt idx="2471">
                  <c:v>4.3127085816779891</c:v>
                </c:pt>
                <c:pt idx="2472">
                  <c:v>4.3144539109299824</c:v>
                </c:pt>
                <c:pt idx="2473">
                  <c:v>4.3161992401819775</c:v>
                </c:pt>
                <c:pt idx="2474">
                  <c:v>4.3179445694339709</c:v>
                </c:pt>
                <c:pt idx="2475">
                  <c:v>4.319689898685966</c:v>
                </c:pt>
                <c:pt idx="2476">
                  <c:v>4.3214352279379602</c:v>
                </c:pt>
                <c:pt idx="2477">
                  <c:v>4.3231805571899544</c:v>
                </c:pt>
                <c:pt idx="2478">
                  <c:v>4.3249258864419486</c:v>
                </c:pt>
                <c:pt idx="2479">
                  <c:v>4.3266712156939429</c:v>
                </c:pt>
                <c:pt idx="2480">
                  <c:v>4.3284165449459371</c:v>
                </c:pt>
                <c:pt idx="2481">
                  <c:v>4.3301618741979313</c:v>
                </c:pt>
                <c:pt idx="2482">
                  <c:v>4.3319072034499255</c:v>
                </c:pt>
                <c:pt idx="2483">
                  <c:v>4.3336525327019197</c:v>
                </c:pt>
                <c:pt idx="2484">
                  <c:v>4.3353978619539149</c:v>
                </c:pt>
                <c:pt idx="2485">
                  <c:v>4.3371431912059091</c:v>
                </c:pt>
                <c:pt idx="2486">
                  <c:v>4.3388885204579033</c:v>
                </c:pt>
                <c:pt idx="2487">
                  <c:v>4.3406338497098975</c:v>
                </c:pt>
                <c:pt idx="2488">
                  <c:v>4.3423791789618917</c:v>
                </c:pt>
                <c:pt idx="2489">
                  <c:v>4.344124508213886</c:v>
                </c:pt>
                <c:pt idx="2490">
                  <c:v>4.3458698374658802</c:v>
                </c:pt>
                <c:pt idx="2491">
                  <c:v>4.3476151667178744</c:v>
                </c:pt>
                <c:pt idx="2492">
                  <c:v>4.3493604959698695</c:v>
                </c:pt>
                <c:pt idx="2493">
                  <c:v>4.3511058252218637</c:v>
                </c:pt>
                <c:pt idx="2494">
                  <c:v>4.352851154473858</c:v>
                </c:pt>
                <c:pt idx="2495">
                  <c:v>4.3545964837258522</c:v>
                </c:pt>
                <c:pt idx="2496">
                  <c:v>4.3563418129778473</c:v>
                </c:pt>
                <c:pt idx="2497">
                  <c:v>4.3580871422298406</c:v>
                </c:pt>
                <c:pt idx="2498">
                  <c:v>4.3598324714818357</c:v>
                </c:pt>
                <c:pt idx="2499">
                  <c:v>4.3615778007338291</c:v>
                </c:pt>
                <c:pt idx="2500">
                  <c:v>4.3633231299858233</c:v>
                </c:pt>
                <c:pt idx="2501">
                  <c:v>4.3650684592378184</c:v>
                </c:pt>
                <c:pt idx="2502">
                  <c:v>4.3668137884898117</c:v>
                </c:pt>
                <c:pt idx="2503">
                  <c:v>4.3685591177418068</c:v>
                </c:pt>
                <c:pt idx="2504">
                  <c:v>4.3703044469938002</c:v>
                </c:pt>
                <c:pt idx="2505">
                  <c:v>4.3720497762457953</c:v>
                </c:pt>
                <c:pt idx="2506">
                  <c:v>4.3737951054977895</c:v>
                </c:pt>
                <c:pt idx="2507">
                  <c:v>4.3755404347497837</c:v>
                </c:pt>
                <c:pt idx="2508">
                  <c:v>4.3772857640017779</c:v>
                </c:pt>
                <c:pt idx="2509">
                  <c:v>4.379031093253773</c:v>
                </c:pt>
                <c:pt idx="2510">
                  <c:v>4.3807764225057673</c:v>
                </c:pt>
                <c:pt idx="2511">
                  <c:v>4.3825217517577606</c:v>
                </c:pt>
                <c:pt idx="2512">
                  <c:v>4.3842670810097557</c:v>
                </c:pt>
                <c:pt idx="2513">
                  <c:v>4.3860124102617499</c:v>
                </c:pt>
                <c:pt idx="2514">
                  <c:v>4.3877577395137441</c:v>
                </c:pt>
                <c:pt idx="2515">
                  <c:v>4.3895030687657384</c:v>
                </c:pt>
                <c:pt idx="2516">
                  <c:v>4.3912483980177326</c:v>
                </c:pt>
                <c:pt idx="2517">
                  <c:v>4.3929937272697277</c:v>
                </c:pt>
                <c:pt idx="2518">
                  <c:v>4.3947390565217219</c:v>
                </c:pt>
                <c:pt idx="2519">
                  <c:v>4.3964843857737161</c:v>
                </c:pt>
                <c:pt idx="2520">
                  <c:v>4.3982297150257104</c:v>
                </c:pt>
                <c:pt idx="2521">
                  <c:v>4.3999750442777046</c:v>
                </c:pt>
                <c:pt idx="2522">
                  <c:v>4.4017203735296988</c:v>
                </c:pt>
                <c:pt idx="2523">
                  <c:v>4.403465702781693</c:v>
                </c:pt>
                <c:pt idx="2524">
                  <c:v>4.4052110320336872</c:v>
                </c:pt>
                <c:pt idx="2525">
                  <c:v>4.4069563612856815</c:v>
                </c:pt>
                <c:pt idx="2526">
                  <c:v>4.4087016905376766</c:v>
                </c:pt>
                <c:pt idx="2527">
                  <c:v>4.4104470197896708</c:v>
                </c:pt>
                <c:pt idx="2528">
                  <c:v>4.412192349041665</c:v>
                </c:pt>
                <c:pt idx="2529">
                  <c:v>4.4139376782936592</c:v>
                </c:pt>
                <c:pt idx="2530">
                  <c:v>4.4156830075456535</c:v>
                </c:pt>
                <c:pt idx="2531">
                  <c:v>4.4174283367976477</c:v>
                </c:pt>
                <c:pt idx="2532">
                  <c:v>4.4191736660496428</c:v>
                </c:pt>
                <c:pt idx="2533">
                  <c:v>4.420918995301637</c:v>
                </c:pt>
                <c:pt idx="2534">
                  <c:v>4.4226643245536312</c:v>
                </c:pt>
                <c:pt idx="2535">
                  <c:v>4.4244096538056255</c:v>
                </c:pt>
                <c:pt idx="2536">
                  <c:v>4.4261549830576197</c:v>
                </c:pt>
                <c:pt idx="2537">
                  <c:v>4.4279003123096139</c:v>
                </c:pt>
                <c:pt idx="2538">
                  <c:v>4.4296456415616081</c:v>
                </c:pt>
                <c:pt idx="2539">
                  <c:v>4.4313909708136032</c:v>
                </c:pt>
                <c:pt idx="2540">
                  <c:v>4.4331363000655974</c:v>
                </c:pt>
                <c:pt idx="2541">
                  <c:v>4.4348816293175917</c:v>
                </c:pt>
                <c:pt idx="2542">
                  <c:v>4.4366269585695859</c:v>
                </c:pt>
                <c:pt idx="2543">
                  <c:v>4.4383722878215801</c:v>
                </c:pt>
                <c:pt idx="2544">
                  <c:v>4.4401176170735743</c:v>
                </c:pt>
                <c:pt idx="2545">
                  <c:v>4.4418629463255686</c:v>
                </c:pt>
                <c:pt idx="2546">
                  <c:v>4.4436082755775637</c:v>
                </c:pt>
                <c:pt idx="2547">
                  <c:v>4.445353604829557</c:v>
                </c:pt>
                <c:pt idx="2548">
                  <c:v>4.4470989340815521</c:v>
                </c:pt>
                <c:pt idx="2549">
                  <c:v>4.4488442633335454</c:v>
                </c:pt>
                <c:pt idx="2550">
                  <c:v>4.4505895925855405</c:v>
                </c:pt>
                <c:pt idx="2551">
                  <c:v>4.4523349218375348</c:v>
                </c:pt>
                <c:pt idx="2552">
                  <c:v>4.454080251089529</c:v>
                </c:pt>
                <c:pt idx="2553">
                  <c:v>4.4558255803415241</c:v>
                </c:pt>
                <c:pt idx="2554">
                  <c:v>4.4575709095935174</c:v>
                </c:pt>
                <c:pt idx="2555">
                  <c:v>4.4593162388455116</c:v>
                </c:pt>
                <c:pt idx="2556">
                  <c:v>4.4610615680975059</c:v>
                </c:pt>
                <c:pt idx="2557">
                  <c:v>4.4628068973495001</c:v>
                </c:pt>
                <c:pt idx="2558">
                  <c:v>4.4645522266014943</c:v>
                </c:pt>
                <c:pt idx="2559">
                  <c:v>4.4662975558534894</c:v>
                </c:pt>
                <c:pt idx="2560">
                  <c:v>4.4680428851054836</c:v>
                </c:pt>
                <c:pt idx="2561">
                  <c:v>4.4697882143574788</c:v>
                </c:pt>
                <c:pt idx="2562">
                  <c:v>4.4715335436094721</c:v>
                </c:pt>
                <c:pt idx="2563">
                  <c:v>4.4732788728614672</c:v>
                </c:pt>
                <c:pt idx="2564">
                  <c:v>4.4750242021134605</c:v>
                </c:pt>
                <c:pt idx="2565">
                  <c:v>4.4767695313654556</c:v>
                </c:pt>
                <c:pt idx="2566">
                  <c:v>4.4785148606174499</c:v>
                </c:pt>
                <c:pt idx="2567">
                  <c:v>4.480260189869445</c:v>
                </c:pt>
                <c:pt idx="2568">
                  <c:v>4.4820055191214383</c:v>
                </c:pt>
                <c:pt idx="2569">
                  <c:v>4.4837508483734334</c:v>
                </c:pt>
                <c:pt idx="2570">
                  <c:v>4.4854961776254267</c:v>
                </c:pt>
                <c:pt idx="2571">
                  <c:v>4.4872415068774218</c:v>
                </c:pt>
                <c:pt idx="2572">
                  <c:v>4.4889868361294152</c:v>
                </c:pt>
                <c:pt idx="2573">
                  <c:v>4.4907321653814103</c:v>
                </c:pt>
                <c:pt idx="2574">
                  <c:v>4.4924774946334036</c:v>
                </c:pt>
                <c:pt idx="2575">
                  <c:v>4.4942228238853987</c:v>
                </c:pt>
                <c:pt idx="2576">
                  <c:v>4.495968153137393</c:v>
                </c:pt>
                <c:pt idx="2577">
                  <c:v>4.4977134823893872</c:v>
                </c:pt>
                <c:pt idx="2578">
                  <c:v>4.4994588116413814</c:v>
                </c:pt>
                <c:pt idx="2579">
                  <c:v>4.5012041408933747</c:v>
                </c:pt>
                <c:pt idx="2580">
                  <c:v>4.5029494701453698</c:v>
                </c:pt>
                <c:pt idx="2581">
                  <c:v>4.5046947993973641</c:v>
                </c:pt>
                <c:pt idx="2582">
                  <c:v>4.5064401286493583</c:v>
                </c:pt>
                <c:pt idx="2583">
                  <c:v>4.5081854579013525</c:v>
                </c:pt>
                <c:pt idx="2584">
                  <c:v>4.5099307871533467</c:v>
                </c:pt>
                <c:pt idx="2585">
                  <c:v>4.5116761164053418</c:v>
                </c:pt>
                <c:pt idx="2586">
                  <c:v>4.5134214456573361</c:v>
                </c:pt>
                <c:pt idx="2587">
                  <c:v>4.5151667749093303</c:v>
                </c:pt>
                <c:pt idx="2588">
                  <c:v>4.5169121041613245</c:v>
                </c:pt>
                <c:pt idx="2589">
                  <c:v>4.5186574334133187</c:v>
                </c:pt>
                <c:pt idx="2590">
                  <c:v>4.5204027626653129</c:v>
                </c:pt>
                <c:pt idx="2591">
                  <c:v>4.522148091917308</c:v>
                </c:pt>
                <c:pt idx="2592">
                  <c:v>4.5238934211693032</c:v>
                </c:pt>
                <c:pt idx="2593">
                  <c:v>4.5256387504212965</c:v>
                </c:pt>
                <c:pt idx="2594">
                  <c:v>4.5273840796732916</c:v>
                </c:pt>
                <c:pt idx="2595">
                  <c:v>4.5291294089252849</c:v>
                </c:pt>
                <c:pt idx="2596">
                  <c:v>4.53087473817728</c:v>
                </c:pt>
                <c:pt idx="2597">
                  <c:v>4.5326200674292734</c:v>
                </c:pt>
                <c:pt idx="2598">
                  <c:v>4.5343653966812676</c:v>
                </c:pt>
                <c:pt idx="2599">
                  <c:v>4.5361107259332618</c:v>
                </c:pt>
                <c:pt idx="2600">
                  <c:v>4.5378560551852569</c:v>
                </c:pt>
                <c:pt idx="2601">
                  <c:v>4.5396013844372511</c:v>
                </c:pt>
                <c:pt idx="2602">
                  <c:v>4.5413467136892454</c:v>
                </c:pt>
                <c:pt idx="2603">
                  <c:v>4.5430920429412396</c:v>
                </c:pt>
                <c:pt idx="2604">
                  <c:v>4.5448373721932338</c:v>
                </c:pt>
                <c:pt idx="2605">
                  <c:v>4.546582701445228</c:v>
                </c:pt>
                <c:pt idx="2606">
                  <c:v>4.5483280306972222</c:v>
                </c:pt>
                <c:pt idx="2607">
                  <c:v>4.5500733599492174</c:v>
                </c:pt>
                <c:pt idx="2608">
                  <c:v>4.5518186892012107</c:v>
                </c:pt>
                <c:pt idx="2609">
                  <c:v>4.5535640184532058</c:v>
                </c:pt>
                <c:pt idx="2610">
                  <c:v>4.5553093477052</c:v>
                </c:pt>
                <c:pt idx="2611">
                  <c:v>4.5570546769571942</c:v>
                </c:pt>
                <c:pt idx="2612">
                  <c:v>4.5588000062091885</c:v>
                </c:pt>
                <c:pt idx="2613">
                  <c:v>4.5605453354611836</c:v>
                </c:pt>
                <c:pt idx="2614">
                  <c:v>4.5622906647131769</c:v>
                </c:pt>
                <c:pt idx="2615">
                  <c:v>4.564035993965172</c:v>
                </c:pt>
                <c:pt idx="2616">
                  <c:v>4.5657813232171662</c:v>
                </c:pt>
                <c:pt idx="2617">
                  <c:v>4.5675266524691605</c:v>
                </c:pt>
                <c:pt idx="2618">
                  <c:v>4.5692719817211547</c:v>
                </c:pt>
                <c:pt idx="2619">
                  <c:v>4.5710173109731489</c:v>
                </c:pt>
                <c:pt idx="2620">
                  <c:v>4.572762640225144</c:v>
                </c:pt>
                <c:pt idx="2621">
                  <c:v>4.5745079694771382</c:v>
                </c:pt>
                <c:pt idx="2622">
                  <c:v>4.5762532987291316</c:v>
                </c:pt>
                <c:pt idx="2623">
                  <c:v>4.5779986279811267</c:v>
                </c:pt>
                <c:pt idx="2624">
                  <c:v>4.57974395723312</c:v>
                </c:pt>
                <c:pt idx="2625">
                  <c:v>4.5814892864851151</c:v>
                </c:pt>
                <c:pt idx="2626">
                  <c:v>4.5832346157371102</c:v>
                </c:pt>
                <c:pt idx="2627">
                  <c:v>4.5849799449891036</c:v>
                </c:pt>
                <c:pt idx="2628">
                  <c:v>4.5867252742410987</c:v>
                </c:pt>
                <c:pt idx="2629">
                  <c:v>4.588470603493092</c:v>
                </c:pt>
                <c:pt idx="2630">
                  <c:v>4.5902159327450871</c:v>
                </c:pt>
                <c:pt idx="2631">
                  <c:v>4.5919612619970804</c:v>
                </c:pt>
                <c:pt idx="2632">
                  <c:v>4.5937065912490755</c:v>
                </c:pt>
                <c:pt idx="2633">
                  <c:v>4.5954519205010689</c:v>
                </c:pt>
                <c:pt idx="2634">
                  <c:v>4.5971972497530631</c:v>
                </c:pt>
                <c:pt idx="2635">
                  <c:v>4.5989425790050582</c:v>
                </c:pt>
                <c:pt idx="2636">
                  <c:v>4.6006879082570533</c:v>
                </c:pt>
                <c:pt idx="2637">
                  <c:v>4.6024332375090466</c:v>
                </c:pt>
                <c:pt idx="2638">
                  <c:v>4.6041785667610418</c:v>
                </c:pt>
                <c:pt idx="2639">
                  <c:v>4.6059238960130351</c:v>
                </c:pt>
                <c:pt idx="2640">
                  <c:v>4.6076692252650302</c:v>
                </c:pt>
                <c:pt idx="2641">
                  <c:v>4.6094145545170244</c:v>
                </c:pt>
                <c:pt idx="2642">
                  <c:v>4.6111598837690195</c:v>
                </c:pt>
                <c:pt idx="2643">
                  <c:v>4.6129052130210129</c:v>
                </c:pt>
                <c:pt idx="2644">
                  <c:v>4.614650542273008</c:v>
                </c:pt>
                <c:pt idx="2645">
                  <c:v>4.6163958715250013</c:v>
                </c:pt>
                <c:pt idx="2646">
                  <c:v>4.6181412007769964</c:v>
                </c:pt>
                <c:pt idx="2647">
                  <c:v>4.6198865300289897</c:v>
                </c:pt>
                <c:pt idx="2648">
                  <c:v>4.6216318592809849</c:v>
                </c:pt>
                <c:pt idx="2649">
                  <c:v>4.6233771885329782</c:v>
                </c:pt>
                <c:pt idx="2650">
                  <c:v>4.6251225177849733</c:v>
                </c:pt>
                <c:pt idx="2651">
                  <c:v>4.6268678470369684</c:v>
                </c:pt>
                <c:pt idx="2652">
                  <c:v>4.6286131762889617</c:v>
                </c:pt>
                <c:pt idx="2653">
                  <c:v>4.630358505540956</c:v>
                </c:pt>
                <c:pt idx="2654">
                  <c:v>4.6321038347929502</c:v>
                </c:pt>
                <c:pt idx="2655">
                  <c:v>4.6338491640449444</c:v>
                </c:pt>
                <c:pt idx="2656">
                  <c:v>4.6355944932969386</c:v>
                </c:pt>
                <c:pt idx="2657">
                  <c:v>4.6373398225489328</c:v>
                </c:pt>
                <c:pt idx="2658">
                  <c:v>4.6390851518009271</c:v>
                </c:pt>
                <c:pt idx="2659">
                  <c:v>4.6408304810529213</c:v>
                </c:pt>
                <c:pt idx="2660">
                  <c:v>4.6425758103049164</c:v>
                </c:pt>
                <c:pt idx="2661">
                  <c:v>4.6443211395569115</c:v>
                </c:pt>
                <c:pt idx="2662">
                  <c:v>4.6460664688089048</c:v>
                </c:pt>
                <c:pt idx="2663">
                  <c:v>4.6478117980608999</c:v>
                </c:pt>
                <c:pt idx="2664">
                  <c:v>4.6495571273128933</c:v>
                </c:pt>
                <c:pt idx="2665">
                  <c:v>4.6513024565648875</c:v>
                </c:pt>
                <c:pt idx="2666">
                  <c:v>4.6530477858168826</c:v>
                </c:pt>
                <c:pt idx="2667">
                  <c:v>4.6547931150688777</c:v>
                </c:pt>
                <c:pt idx="2668">
                  <c:v>4.6565384443208711</c:v>
                </c:pt>
                <c:pt idx="2669">
                  <c:v>4.6582837735728662</c:v>
                </c:pt>
                <c:pt idx="2670">
                  <c:v>4.6600291028248595</c:v>
                </c:pt>
                <c:pt idx="2671">
                  <c:v>4.6617744320768546</c:v>
                </c:pt>
                <c:pt idx="2672">
                  <c:v>4.6635197613288479</c:v>
                </c:pt>
                <c:pt idx="2673">
                  <c:v>4.665265090580843</c:v>
                </c:pt>
                <c:pt idx="2674">
                  <c:v>4.6670104198328364</c:v>
                </c:pt>
                <c:pt idx="2675">
                  <c:v>4.6687557490848315</c:v>
                </c:pt>
                <c:pt idx="2676">
                  <c:v>4.6705010783368257</c:v>
                </c:pt>
                <c:pt idx="2677">
                  <c:v>4.6722464075888199</c:v>
                </c:pt>
                <c:pt idx="2678">
                  <c:v>4.6739917368408141</c:v>
                </c:pt>
                <c:pt idx="2679">
                  <c:v>4.6757370660928084</c:v>
                </c:pt>
                <c:pt idx="2680">
                  <c:v>4.6774823953448026</c:v>
                </c:pt>
                <c:pt idx="2681">
                  <c:v>4.6792277245967968</c:v>
                </c:pt>
                <c:pt idx="2682">
                  <c:v>4.6809730538487919</c:v>
                </c:pt>
                <c:pt idx="2683">
                  <c:v>4.6827183831007853</c:v>
                </c:pt>
                <c:pt idx="2684">
                  <c:v>4.6844637123527804</c:v>
                </c:pt>
                <c:pt idx="2685">
                  <c:v>4.6862090416047746</c:v>
                </c:pt>
                <c:pt idx="2686">
                  <c:v>4.6879543708567688</c:v>
                </c:pt>
                <c:pt idx="2687">
                  <c:v>4.689699700108763</c:v>
                </c:pt>
                <c:pt idx="2688">
                  <c:v>4.6914450293607581</c:v>
                </c:pt>
                <c:pt idx="2689">
                  <c:v>4.6931903586127515</c:v>
                </c:pt>
                <c:pt idx="2690">
                  <c:v>4.6949356878647466</c:v>
                </c:pt>
                <c:pt idx="2691">
                  <c:v>4.6966810171167408</c:v>
                </c:pt>
                <c:pt idx="2692">
                  <c:v>4.6984263463687359</c:v>
                </c:pt>
                <c:pt idx="2693">
                  <c:v>4.7001716756207292</c:v>
                </c:pt>
                <c:pt idx="2694">
                  <c:v>4.7019170048727243</c:v>
                </c:pt>
                <c:pt idx="2695">
                  <c:v>4.7036623341247186</c:v>
                </c:pt>
                <c:pt idx="2696">
                  <c:v>4.7054076633767128</c:v>
                </c:pt>
                <c:pt idx="2697">
                  <c:v>4.707152992628707</c:v>
                </c:pt>
                <c:pt idx="2698">
                  <c:v>4.7088983218807012</c:v>
                </c:pt>
                <c:pt idx="2699">
                  <c:v>4.7106436511326955</c:v>
                </c:pt>
                <c:pt idx="2700">
                  <c:v>4.7123889803846897</c:v>
                </c:pt>
                <c:pt idx="2701">
                  <c:v>4.7141343096366848</c:v>
                </c:pt>
                <c:pt idx="2702">
                  <c:v>4.7158796388886781</c:v>
                </c:pt>
                <c:pt idx="2703">
                  <c:v>4.7176249681406732</c:v>
                </c:pt>
                <c:pt idx="2704">
                  <c:v>4.7193702973926666</c:v>
                </c:pt>
                <c:pt idx="2705">
                  <c:v>4.7211156266446617</c:v>
                </c:pt>
                <c:pt idx="2706">
                  <c:v>4.722860955896655</c:v>
                </c:pt>
                <c:pt idx="2707">
                  <c:v>4.7246062851486501</c:v>
                </c:pt>
                <c:pt idx="2708">
                  <c:v>4.7263516144006434</c:v>
                </c:pt>
                <c:pt idx="2709">
                  <c:v>4.7280969436526386</c:v>
                </c:pt>
                <c:pt idx="2710">
                  <c:v>4.7298422729046328</c:v>
                </c:pt>
                <c:pt idx="2711">
                  <c:v>4.7315876021566279</c:v>
                </c:pt>
                <c:pt idx="2712">
                  <c:v>4.7333329314086212</c:v>
                </c:pt>
                <c:pt idx="2713">
                  <c:v>4.7350782606606163</c:v>
                </c:pt>
                <c:pt idx="2714">
                  <c:v>4.7368235899126097</c:v>
                </c:pt>
                <c:pt idx="2715">
                  <c:v>4.7385689191646048</c:v>
                </c:pt>
                <c:pt idx="2716">
                  <c:v>4.7403142484165999</c:v>
                </c:pt>
                <c:pt idx="2717">
                  <c:v>4.7420595776685941</c:v>
                </c:pt>
                <c:pt idx="2718">
                  <c:v>4.7438049069205883</c:v>
                </c:pt>
                <c:pt idx="2719">
                  <c:v>4.7455502361725825</c:v>
                </c:pt>
                <c:pt idx="2720">
                  <c:v>4.7472955654245768</c:v>
                </c:pt>
                <c:pt idx="2721">
                  <c:v>4.749040894676571</c:v>
                </c:pt>
                <c:pt idx="2722">
                  <c:v>4.7507862239285643</c:v>
                </c:pt>
                <c:pt idx="2723">
                  <c:v>4.7525315531805594</c:v>
                </c:pt>
                <c:pt idx="2724">
                  <c:v>4.7542768824325528</c:v>
                </c:pt>
                <c:pt idx="2725">
                  <c:v>4.7560222116845479</c:v>
                </c:pt>
                <c:pt idx="2726">
                  <c:v>4.757767540936543</c:v>
                </c:pt>
                <c:pt idx="2727">
                  <c:v>4.7595128701885363</c:v>
                </c:pt>
                <c:pt idx="2728">
                  <c:v>4.7612581994405314</c:v>
                </c:pt>
                <c:pt idx="2729">
                  <c:v>4.7630035286925247</c:v>
                </c:pt>
                <c:pt idx="2730">
                  <c:v>4.7647488579445199</c:v>
                </c:pt>
                <c:pt idx="2731">
                  <c:v>4.7664941871965132</c:v>
                </c:pt>
                <c:pt idx="2732">
                  <c:v>4.7682395164485074</c:v>
                </c:pt>
                <c:pt idx="2733">
                  <c:v>4.7699848457005016</c:v>
                </c:pt>
                <c:pt idx="2734">
                  <c:v>4.7717301749524959</c:v>
                </c:pt>
                <c:pt idx="2735">
                  <c:v>4.773475504204491</c:v>
                </c:pt>
                <c:pt idx="2736">
                  <c:v>4.7752208334564861</c:v>
                </c:pt>
                <c:pt idx="2737">
                  <c:v>4.7769661627084794</c:v>
                </c:pt>
                <c:pt idx="2738">
                  <c:v>4.7787114919604745</c:v>
                </c:pt>
                <c:pt idx="2739">
                  <c:v>4.7804568212124678</c:v>
                </c:pt>
                <c:pt idx="2740">
                  <c:v>4.782202150464463</c:v>
                </c:pt>
                <c:pt idx="2741">
                  <c:v>4.7839474797164572</c:v>
                </c:pt>
                <c:pt idx="2742">
                  <c:v>4.7856928089684523</c:v>
                </c:pt>
                <c:pt idx="2743">
                  <c:v>4.7874381382204456</c:v>
                </c:pt>
                <c:pt idx="2744">
                  <c:v>4.7891834674724407</c:v>
                </c:pt>
                <c:pt idx="2745">
                  <c:v>4.7909287967244341</c:v>
                </c:pt>
                <c:pt idx="2746">
                  <c:v>4.7926741259764292</c:v>
                </c:pt>
                <c:pt idx="2747">
                  <c:v>4.7944194552284225</c:v>
                </c:pt>
                <c:pt idx="2748">
                  <c:v>4.7961647844804176</c:v>
                </c:pt>
                <c:pt idx="2749">
                  <c:v>4.7979101137324118</c:v>
                </c:pt>
                <c:pt idx="2750">
                  <c:v>4.7996554429844061</c:v>
                </c:pt>
                <c:pt idx="2751">
                  <c:v>4.8014007722364012</c:v>
                </c:pt>
                <c:pt idx="2752">
                  <c:v>4.8031461014883945</c:v>
                </c:pt>
                <c:pt idx="2753">
                  <c:v>4.8048914307403887</c:v>
                </c:pt>
                <c:pt idx="2754">
                  <c:v>4.8066367599923829</c:v>
                </c:pt>
                <c:pt idx="2755">
                  <c:v>4.8083820892443772</c:v>
                </c:pt>
                <c:pt idx="2756">
                  <c:v>4.8101274184963714</c:v>
                </c:pt>
                <c:pt idx="2757">
                  <c:v>4.8118727477483665</c:v>
                </c:pt>
                <c:pt idx="2758">
                  <c:v>4.8136180770003598</c:v>
                </c:pt>
                <c:pt idx="2759">
                  <c:v>4.8153634062523549</c:v>
                </c:pt>
                <c:pt idx="2760">
                  <c:v>4.8171087355043491</c:v>
                </c:pt>
                <c:pt idx="2761">
                  <c:v>4.8188540647563443</c:v>
                </c:pt>
                <c:pt idx="2762">
                  <c:v>4.8205993940083385</c:v>
                </c:pt>
                <c:pt idx="2763">
                  <c:v>4.8223447232603327</c:v>
                </c:pt>
                <c:pt idx="2764">
                  <c:v>4.8240900525123269</c:v>
                </c:pt>
                <c:pt idx="2765">
                  <c:v>4.8258353817643211</c:v>
                </c:pt>
                <c:pt idx="2766">
                  <c:v>4.8275807110163154</c:v>
                </c:pt>
                <c:pt idx="2767">
                  <c:v>4.8293260402683105</c:v>
                </c:pt>
                <c:pt idx="2768">
                  <c:v>4.8310713695203038</c:v>
                </c:pt>
                <c:pt idx="2769">
                  <c:v>4.8328166987722989</c:v>
                </c:pt>
                <c:pt idx="2770">
                  <c:v>4.8345620280242931</c:v>
                </c:pt>
                <c:pt idx="2771">
                  <c:v>4.8363073572762874</c:v>
                </c:pt>
                <c:pt idx="2772">
                  <c:v>4.8380526865282816</c:v>
                </c:pt>
                <c:pt idx="2773">
                  <c:v>4.8397980157802758</c:v>
                </c:pt>
                <c:pt idx="2774">
                  <c:v>4.84154334503227</c:v>
                </c:pt>
                <c:pt idx="2775">
                  <c:v>4.8432886742842651</c:v>
                </c:pt>
                <c:pt idx="2776">
                  <c:v>4.8450340035362593</c:v>
                </c:pt>
                <c:pt idx="2777">
                  <c:v>4.8467793327882527</c:v>
                </c:pt>
                <c:pt idx="2778">
                  <c:v>4.8485246620402478</c:v>
                </c:pt>
                <c:pt idx="2779">
                  <c:v>4.8502699912922411</c:v>
                </c:pt>
                <c:pt idx="2780">
                  <c:v>4.8520153205442362</c:v>
                </c:pt>
                <c:pt idx="2781">
                  <c:v>4.8537606497962296</c:v>
                </c:pt>
                <c:pt idx="2782">
                  <c:v>4.8555059790482247</c:v>
                </c:pt>
                <c:pt idx="2783">
                  <c:v>4.857251308300218</c:v>
                </c:pt>
                <c:pt idx="2784">
                  <c:v>4.8589966375522131</c:v>
                </c:pt>
                <c:pt idx="2785">
                  <c:v>4.8607419668042082</c:v>
                </c:pt>
                <c:pt idx="2786">
                  <c:v>4.8624872960562024</c:v>
                </c:pt>
                <c:pt idx="2787">
                  <c:v>4.8642326253081967</c:v>
                </c:pt>
                <c:pt idx="2788">
                  <c:v>4.8659779545601909</c:v>
                </c:pt>
                <c:pt idx="2789">
                  <c:v>4.8677232838121842</c:v>
                </c:pt>
                <c:pt idx="2790">
                  <c:v>4.8694686130641793</c:v>
                </c:pt>
                <c:pt idx="2791">
                  <c:v>4.8712139423161744</c:v>
                </c:pt>
                <c:pt idx="2792">
                  <c:v>4.8729592715681687</c:v>
                </c:pt>
                <c:pt idx="2793">
                  <c:v>4.8747046008201629</c:v>
                </c:pt>
                <c:pt idx="2794">
                  <c:v>4.8764499300721571</c:v>
                </c:pt>
                <c:pt idx="2795">
                  <c:v>4.8781952593241513</c:v>
                </c:pt>
                <c:pt idx="2796">
                  <c:v>4.8799405885761455</c:v>
                </c:pt>
                <c:pt idx="2797">
                  <c:v>4.8816859178281398</c:v>
                </c:pt>
                <c:pt idx="2798">
                  <c:v>4.883431247080134</c:v>
                </c:pt>
                <c:pt idx="2799">
                  <c:v>4.8851765763321282</c:v>
                </c:pt>
                <c:pt idx="2800">
                  <c:v>4.8869219055841224</c:v>
                </c:pt>
                <c:pt idx="2801">
                  <c:v>4.8886672348361175</c:v>
                </c:pt>
                <c:pt idx="2802">
                  <c:v>4.8904125640881109</c:v>
                </c:pt>
                <c:pt idx="2803">
                  <c:v>4.892157893340106</c:v>
                </c:pt>
                <c:pt idx="2804">
                  <c:v>4.8939032225920993</c:v>
                </c:pt>
                <c:pt idx="2805">
                  <c:v>4.8956485518440944</c:v>
                </c:pt>
                <c:pt idx="2806">
                  <c:v>4.8973938810960878</c:v>
                </c:pt>
                <c:pt idx="2807">
                  <c:v>4.8991392103480829</c:v>
                </c:pt>
                <c:pt idx="2808">
                  <c:v>4.9008845396000762</c:v>
                </c:pt>
                <c:pt idx="2809">
                  <c:v>4.9026298688520713</c:v>
                </c:pt>
                <c:pt idx="2810">
                  <c:v>4.9043751981040655</c:v>
                </c:pt>
                <c:pt idx="2811">
                  <c:v>4.9061205273560606</c:v>
                </c:pt>
                <c:pt idx="2812">
                  <c:v>4.907865856608054</c:v>
                </c:pt>
                <c:pt idx="2813">
                  <c:v>4.9096111858600491</c:v>
                </c:pt>
                <c:pt idx="2814">
                  <c:v>4.9113565151120424</c:v>
                </c:pt>
                <c:pt idx="2815">
                  <c:v>4.9131018443640375</c:v>
                </c:pt>
                <c:pt idx="2816">
                  <c:v>4.9148471736160326</c:v>
                </c:pt>
                <c:pt idx="2817">
                  <c:v>4.9165925028680268</c:v>
                </c:pt>
                <c:pt idx="2818">
                  <c:v>4.9183378321200211</c:v>
                </c:pt>
                <c:pt idx="2819">
                  <c:v>4.9200831613720153</c:v>
                </c:pt>
                <c:pt idx="2820">
                  <c:v>4.9218284906240086</c:v>
                </c:pt>
                <c:pt idx="2821">
                  <c:v>4.9235738198760037</c:v>
                </c:pt>
                <c:pt idx="2822">
                  <c:v>4.9253191491279971</c:v>
                </c:pt>
                <c:pt idx="2823">
                  <c:v>4.9270644783799922</c:v>
                </c:pt>
                <c:pt idx="2824">
                  <c:v>4.9288098076319864</c:v>
                </c:pt>
                <c:pt idx="2825">
                  <c:v>4.9305551368839806</c:v>
                </c:pt>
                <c:pt idx="2826">
                  <c:v>4.9323004661359757</c:v>
                </c:pt>
                <c:pt idx="2827">
                  <c:v>4.9340457953879691</c:v>
                </c:pt>
                <c:pt idx="2828">
                  <c:v>4.9357911246399642</c:v>
                </c:pt>
                <c:pt idx="2829">
                  <c:v>4.9375364538919575</c:v>
                </c:pt>
                <c:pt idx="2830">
                  <c:v>4.9392817831439526</c:v>
                </c:pt>
                <c:pt idx="2831">
                  <c:v>4.9410271123959468</c:v>
                </c:pt>
                <c:pt idx="2832">
                  <c:v>4.9427724416479411</c:v>
                </c:pt>
                <c:pt idx="2833">
                  <c:v>4.9445177708999353</c:v>
                </c:pt>
                <c:pt idx="2834">
                  <c:v>4.9462631001519295</c:v>
                </c:pt>
                <c:pt idx="2835">
                  <c:v>4.9480084294039237</c:v>
                </c:pt>
                <c:pt idx="2836">
                  <c:v>4.9497537586559188</c:v>
                </c:pt>
                <c:pt idx="2837">
                  <c:v>4.951499087907913</c:v>
                </c:pt>
                <c:pt idx="2838">
                  <c:v>4.9532444171599073</c:v>
                </c:pt>
                <c:pt idx="2839">
                  <c:v>4.9549897464119015</c:v>
                </c:pt>
                <c:pt idx="2840">
                  <c:v>4.9567350756638957</c:v>
                </c:pt>
                <c:pt idx="2841">
                  <c:v>4.9584804049158899</c:v>
                </c:pt>
                <c:pt idx="2842">
                  <c:v>4.960225734167885</c:v>
                </c:pt>
                <c:pt idx="2843">
                  <c:v>4.9619710634198793</c:v>
                </c:pt>
                <c:pt idx="2844">
                  <c:v>4.9637163926718735</c:v>
                </c:pt>
                <c:pt idx="2845">
                  <c:v>4.9654617219238677</c:v>
                </c:pt>
                <c:pt idx="2846">
                  <c:v>4.9672070511758619</c:v>
                </c:pt>
                <c:pt idx="2847">
                  <c:v>4.9689523804278561</c:v>
                </c:pt>
                <c:pt idx="2848">
                  <c:v>4.9706977096798504</c:v>
                </c:pt>
                <c:pt idx="2849">
                  <c:v>4.9724430389318446</c:v>
                </c:pt>
                <c:pt idx="2850">
                  <c:v>4.9741883681838397</c:v>
                </c:pt>
                <c:pt idx="2851">
                  <c:v>4.9759336974358339</c:v>
                </c:pt>
                <c:pt idx="2852">
                  <c:v>4.9776790266878281</c:v>
                </c:pt>
                <c:pt idx="2853">
                  <c:v>4.9794243559398224</c:v>
                </c:pt>
                <c:pt idx="2854">
                  <c:v>4.9811696851918166</c:v>
                </c:pt>
                <c:pt idx="2855">
                  <c:v>4.9829150144438108</c:v>
                </c:pt>
                <c:pt idx="2856">
                  <c:v>4.9846603436958041</c:v>
                </c:pt>
                <c:pt idx="2857">
                  <c:v>4.9864056729477992</c:v>
                </c:pt>
                <c:pt idx="2858">
                  <c:v>4.9881510021997926</c:v>
                </c:pt>
                <c:pt idx="2859">
                  <c:v>4.9898963314517877</c:v>
                </c:pt>
                <c:pt idx="2860">
                  <c:v>4.9916416607037828</c:v>
                </c:pt>
                <c:pt idx="2861">
                  <c:v>4.993386989955777</c:v>
                </c:pt>
                <c:pt idx="2862">
                  <c:v>4.9951323192077712</c:v>
                </c:pt>
                <c:pt idx="2863">
                  <c:v>4.9968776484597655</c:v>
                </c:pt>
                <c:pt idx="2864">
                  <c:v>4.9986229777117597</c:v>
                </c:pt>
                <c:pt idx="2865">
                  <c:v>5.0003683069637539</c:v>
                </c:pt>
                <c:pt idx="2866">
                  <c:v>5.002113636215749</c:v>
                </c:pt>
                <c:pt idx="2867">
                  <c:v>5.0038589654677432</c:v>
                </c:pt>
                <c:pt idx="2868">
                  <c:v>5.0056042947197374</c:v>
                </c:pt>
                <c:pt idx="2869">
                  <c:v>5.0073496239717326</c:v>
                </c:pt>
                <c:pt idx="2870">
                  <c:v>5.0090949532237259</c:v>
                </c:pt>
                <c:pt idx="2871">
                  <c:v>5.010840282475721</c:v>
                </c:pt>
                <c:pt idx="2872">
                  <c:v>5.0125856117277143</c:v>
                </c:pt>
                <c:pt idx="2873">
                  <c:v>5.0143309409797094</c:v>
                </c:pt>
                <c:pt idx="2874">
                  <c:v>5.0160762702317028</c:v>
                </c:pt>
                <c:pt idx="2875">
                  <c:v>5.017821599483697</c:v>
                </c:pt>
                <c:pt idx="2876">
                  <c:v>5.0195669287356921</c:v>
                </c:pt>
                <c:pt idx="2877">
                  <c:v>5.0213122579876854</c:v>
                </c:pt>
                <c:pt idx="2878">
                  <c:v>5.0230575872396805</c:v>
                </c:pt>
                <c:pt idx="2879">
                  <c:v>5.0248029164916739</c:v>
                </c:pt>
                <c:pt idx="2880">
                  <c:v>5.026548245743669</c:v>
                </c:pt>
                <c:pt idx="2881">
                  <c:v>5.0282935749956623</c:v>
                </c:pt>
                <c:pt idx="2882">
                  <c:v>5.0300389042476574</c:v>
                </c:pt>
                <c:pt idx="2883">
                  <c:v>5.0317842334996508</c:v>
                </c:pt>
                <c:pt idx="2884">
                  <c:v>5.0335295627516459</c:v>
                </c:pt>
                <c:pt idx="2885">
                  <c:v>5.035274892003641</c:v>
                </c:pt>
                <c:pt idx="2886">
                  <c:v>5.0370202212556352</c:v>
                </c:pt>
                <c:pt idx="2887">
                  <c:v>5.0387655505076285</c:v>
                </c:pt>
                <c:pt idx="2888">
                  <c:v>5.0405108797596236</c:v>
                </c:pt>
                <c:pt idx="2889">
                  <c:v>5.042256209011617</c:v>
                </c:pt>
                <c:pt idx="2890">
                  <c:v>5.0440015382636121</c:v>
                </c:pt>
                <c:pt idx="2891">
                  <c:v>5.0457468675156072</c:v>
                </c:pt>
                <c:pt idx="2892">
                  <c:v>5.0474921967676023</c:v>
                </c:pt>
                <c:pt idx="2893">
                  <c:v>5.0492375260195956</c:v>
                </c:pt>
                <c:pt idx="2894">
                  <c:v>5.0509828552715899</c:v>
                </c:pt>
                <c:pt idx="2895">
                  <c:v>5.0527281845235841</c:v>
                </c:pt>
                <c:pt idx="2896">
                  <c:v>5.0544735137755783</c:v>
                </c:pt>
                <c:pt idx="2897">
                  <c:v>5.0562188430275725</c:v>
                </c:pt>
                <c:pt idx="2898">
                  <c:v>5.0579641722795667</c:v>
                </c:pt>
                <c:pt idx="2899">
                  <c:v>5.059709501531561</c:v>
                </c:pt>
                <c:pt idx="2900">
                  <c:v>5.0614548307835552</c:v>
                </c:pt>
                <c:pt idx="2901">
                  <c:v>5.0632001600355503</c:v>
                </c:pt>
                <c:pt idx="2902">
                  <c:v>5.0649454892875436</c:v>
                </c:pt>
                <c:pt idx="2903">
                  <c:v>5.0666908185395387</c:v>
                </c:pt>
                <c:pt idx="2904">
                  <c:v>5.0684361477915321</c:v>
                </c:pt>
                <c:pt idx="2905">
                  <c:v>5.0701814770435272</c:v>
                </c:pt>
                <c:pt idx="2906">
                  <c:v>5.0719268062955214</c:v>
                </c:pt>
                <c:pt idx="2907">
                  <c:v>5.0736721355475156</c:v>
                </c:pt>
                <c:pt idx="2908">
                  <c:v>5.0754174647995098</c:v>
                </c:pt>
                <c:pt idx="2909">
                  <c:v>5.0771627940515041</c:v>
                </c:pt>
                <c:pt idx="2910">
                  <c:v>5.0789081233034983</c:v>
                </c:pt>
                <c:pt idx="2911">
                  <c:v>5.0806534525554934</c:v>
                </c:pt>
                <c:pt idx="2912">
                  <c:v>5.0823987818074876</c:v>
                </c:pt>
                <c:pt idx="2913">
                  <c:v>5.0841441110594818</c:v>
                </c:pt>
                <c:pt idx="2914">
                  <c:v>5.0858894403114761</c:v>
                </c:pt>
                <c:pt idx="2915">
                  <c:v>5.0876347695634703</c:v>
                </c:pt>
                <c:pt idx="2916">
                  <c:v>5.0893800988154654</c:v>
                </c:pt>
                <c:pt idx="2917">
                  <c:v>5.0911254280674596</c:v>
                </c:pt>
                <c:pt idx="2918">
                  <c:v>5.0928707573194538</c:v>
                </c:pt>
                <c:pt idx="2919">
                  <c:v>5.094616086571448</c:v>
                </c:pt>
                <c:pt idx="2920">
                  <c:v>5.0963614158234423</c:v>
                </c:pt>
                <c:pt idx="2921">
                  <c:v>5.0981067450754365</c:v>
                </c:pt>
                <c:pt idx="2922">
                  <c:v>5.0998520743274307</c:v>
                </c:pt>
                <c:pt idx="2923">
                  <c:v>5.1015974035794249</c:v>
                </c:pt>
                <c:pt idx="2924">
                  <c:v>5.1033427328314191</c:v>
                </c:pt>
                <c:pt idx="2925">
                  <c:v>5.1050880620834143</c:v>
                </c:pt>
                <c:pt idx="2926">
                  <c:v>5.1068333913354085</c:v>
                </c:pt>
                <c:pt idx="2927">
                  <c:v>5.1085787205874027</c:v>
                </c:pt>
                <c:pt idx="2928">
                  <c:v>5.1103240498393969</c:v>
                </c:pt>
                <c:pt idx="2929">
                  <c:v>5.1120693790913911</c:v>
                </c:pt>
                <c:pt idx="2930">
                  <c:v>5.1138147083433854</c:v>
                </c:pt>
                <c:pt idx="2931">
                  <c:v>5.1155600375953796</c:v>
                </c:pt>
                <c:pt idx="2932">
                  <c:v>5.1173053668473738</c:v>
                </c:pt>
                <c:pt idx="2933">
                  <c:v>5.119050696099368</c:v>
                </c:pt>
                <c:pt idx="2934">
                  <c:v>5.1207960253513622</c:v>
                </c:pt>
                <c:pt idx="2935">
                  <c:v>5.1225413546033574</c:v>
                </c:pt>
                <c:pt idx="2936">
                  <c:v>5.1242866838553516</c:v>
                </c:pt>
                <c:pt idx="2937">
                  <c:v>5.1260320131073458</c:v>
                </c:pt>
                <c:pt idx="2938">
                  <c:v>5.1277773423593409</c:v>
                </c:pt>
                <c:pt idx="2939">
                  <c:v>5.1295226716113342</c:v>
                </c:pt>
                <c:pt idx="2940">
                  <c:v>5.1312680008633293</c:v>
                </c:pt>
                <c:pt idx="2941">
                  <c:v>5.1330133301153236</c:v>
                </c:pt>
                <c:pt idx="2942">
                  <c:v>5.1347586593673178</c:v>
                </c:pt>
                <c:pt idx="2943">
                  <c:v>5.136503988619312</c:v>
                </c:pt>
                <c:pt idx="2944">
                  <c:v>5.1382493178713071</c:v>
                </c:pt>
                <c:pt idx="2945">
                  <c:v>5.1399946471233005</c:v>
                </c:pt>
                <c:pt idx="2946">
                  <c:v>5.1417399763752956</c:v>
                </c:pt>
                <c:pt idx="2947">
                  <c:v>5.1434853056272889</c:v>
                </c:pt>
                <c:pt idx="2948">
                  <c:v>5.145230634879284</c:v>
                </c:pt>
                <c:pt idx="2949">
                  <c:v>5.1469759641312773</c:v>
                </c:pt>
                <c:pt idx="2950">
                  <c:v>5.1487212933832724</c:v>
                </c:pt>
                <c:pt idx="2951">
                  <c:v>5.1504666226352667</c:v>
                </c:pt>
                <c:pt idx="2952">
                  <c:v>5.1522119518872609</c:v>
                </c:pt>
                <c:pt idx="2953">
                  <c:v>5.1539572811392551</c:v>
                </c:pt>
                <c:pt idx="2954">
                  <c:v>5.1557026103912484</c:v>
                </c:pt>
                <c:pt idx="2955">
                  <c:v>5.1574479396432436</c:v>
                </c:pt>
                <c:pt idx="2956">
                  <c:v>5.1591932688952369</c:v>
                </c:pt>
                <c:pt idx="2957">
                  <c:v>5.160938598147232</c:v>
                </c:pt>
                <c:pt idx="2958">
                  <c:v>5.1626839273992253</c:v>
                </c:pt>
                <c:pt idx="2959">
                  <c:v>5.1644292566512204</c:v>
                </c:pt>
                <c:pt idx="2960">
                  <c:v>5.1661745859032155</c:v>
                </c:pt>
                <c:pt idx="2961">
                  <c:v>5.1679199151552098</c:v>
                </c:pt>
                <c:pt idx="2962">
                  <c:v>5.169665244407204</c:v>
                </c:pt>
                <c:pt idx="2963">
                  <c:v>5.1714105736591982</c:v>
                </c:pt>
                <c:pt idx="2964">
                  <c:v>5.1731559029111924</c:v>
                </c:pt>
                <c:pt idx="2965">
                  <c:v>5.1749012321631866</c:v>
                </c:pt>
                <c:pt idx="2966">
                  <c:v>5.1766465614151818</c:v>
                </c:pt>
                <c:pt idx="2967">
                  <c:v>5.1783918906671769</c:v>
                </c:pt>
                <c:pt idx="2968">
                  <c:v>5.1801372199191702</c:v>
                </c:pt>
                <c:pt idx="2969">
                  <c:v>5.1818825491711653</c:v>
                </c:pt>
                <c:pt idx="2970">
                  <c:v>5.1836278784231586</c:v>
                </c:pt>
                <c:pt idx="2971">
                  <c:v>5.1853732076751538</c:v>
                </c:pt>
                <c:pt idx="2972">
                  <c:v>5.1871185369271471</c:v>
                </c:pt>
                <c:pt idx="2973">
                  <c:v>5.1888638661791413</c:v>
                </c:pt>
                <c:pt idx="2974">
                  <c:v>5.1906091954311355</c:v>
                </c:pt>
                <c:pt idx="2975">
                  <c:v>5.1923545246831297</c:v>
                </c:pt>
                <c:pt idx="2976">
                  <c:v>5.1940998539351249</c:v>
                </c:pt>
                <c:pt idx="2977">
                  <c:v>5.1958451831871182</c:v>
                </c:pt>
                <c:pt idx="2978">
                  <c:v>5.1975905124391133</c:v>
                </c:pt>
                <c:pt idx="2979">
                  <c:v>5.1993358416911075</c:v>
                </c:pt>
                <c:pt idx="2980">
                  <c:v>5.2010811709431017</c:v>
                </c:pt>
                <c:pt idx="2981">
                  <c:v>5.202826500195096</c:v>
                </c:pt>
                <c:pt idx="2982">
                  <c:v>5.2045718294470902</c:v>
                </c:pt>
                <c:pt idx="2983">
                  <c:v>5.2063171586990844</c:v>
                </c:pt>
                <c:pt idx="2984">
                  <c:v>5.2080624879510786</c:v>
                </c:pt>
                <c:pt idx="2985">
                  <c:v>5.2098078172030728</c:v>
                </c:pt>
                <c:pt idx="2986">
                  <c:v>5.211553146455068</c:v>
                </c:pt>
                <c:pt idx="2987">
                  <c:v>5.2132984757070622</c:v>
                </c:pt>
                <c:pt idx="2988">
                  <c:v>5.2150438049590564</c:v>
                </c:pt>
                <c:pt idx="2989">
                  <c:v>5.2167891342110506</c:v>
                </c:pt>
                <c:pt idx="2990">
                  <c:v>5.2185344634630448</c:v>
                </c:pt>
                <c:pt idx="2991">
                  <c:v>5.2202797927150399</c:v>
                </c:pt>
                <c:pt idx="2992">
                  <c:v>5.2220251219670351</c:v>
                </c:pt>
                <c:pt idx="2993">
                  <c:v>5.2237704512190284</c:v>
                </c:pt>
                <c:pt idx="2994">
                  <c:v>5.2255157804710226</c:v>
                </c:pt>
                <c:pt idx="2995">
                  <c:v>5.2272611097230168</c:v>
                </c:pt>
                <c:pt idx="2996">
                  <c:v>5.2290064389750111</c:v>
                </c:pt>
                <c:pt idx="2997">
                  <c:v>5.2307517682270053</c:v>
                </c:pt>
                <c:pt idx="2998">
                  <c:v>5.2324970974789995</c:v>
                </c:pt>
                <c:pt idx="2999">
                  <c:v>5.2342424267309937</c:v>
                </c:pt>
                <c:pt idx="3000">
                  <c:v>5.2359877559829888</c:v>
                </c:pt>
                <c:pt idx="3001">
                  <c:v>5.237733085234983</c:v>
                </c:pt>
                <c:pt idx="3002">
                  <c:v>5.2394784144869773</c:v>
                </c:pt>
                <c:pt idx="3003">
                  <c:v>5.2412237437389715</c:v>
                </c:pt>
                <c:pt idx="3004">
                  <c:v>5.2429690729909657</c:v>
                </c:pt>
                <c:pt idx="3005">
                  <c:v>5.2447144022429608</c:v>
                </c:pt>
                <c:pt idx="3006">
                  <c:v>5.2464597314949541</c:v>
                </c:pt>
                <c:pt idx="3007">
                  <c:v>5.2482050607469493</c:v>
                </c:pt>
                <c:pt idx="3008">
                  <c:v>5.2499503899989426</c:v>
                </c:pt>
                <c:pt idx="3009">
                  <c:v>5.2516957192509368</c:v>
                </c:pt>
                <c:pt idx="3010">
                  <c:v>5.2534410485029319</c:v>
                </c:pt>
                <c:pt idx="3011">
                  <c:v>5.2551863777549261</c:v>
                </c:pt>
                <c:pt idx="3012">
                  <c:v>5.2569317070069204</c:v>
                </c:pt>
                <c:pt idx="3013">
                  <c:v>5.2586770362589155</c:v>
                </c:pt>
                <c:pt idx="3014">
                  <c:v>5.2604223655109088</c:v>
                </c:pt>
                <c:pt idx="3015">
                  <c:v>5.2621676947629039</c:v>
                </c:pt>
                <c:pt idx="3016">
                  <c:v>5.2639130240148981</c:v>
                </c:pt>
                <c:pt idx="3017">
                  <c:v>5.2656583532668924</c:v>
                </c:pt>
                <c:pt idx="3018">
                  <c:v>5.2674036825188866</c:v>
                </c:pt>
                <c:pt idx="3019">
                  <c:v>5.2691490117708817</c:v>
                </c:pt>
                <c:pt idx="3020">
                  <c:v>5.270894341022875</c:v>
                </c:pt>
                <c:pt idx="3021">
                  <c:v>5.2726396702748701</c:v>
                </c:pt>
                <c:pt idx="3022">
                  <c:v>5.2743849995268635</c:v>
                </c:pt>
                <c:pt idx="3023">
                  <c:v>5.2761303287788586</c:v>
                </c:pt>
                <c:pt idx="3024">
                  <c:v>5.2778756580308519</c:v>
                </c:pt>
                <c:pt idx="3025">
                  <c:v>5.279620987282847</c:v>
                </c:pt>
                <c:pt idx="3026">
                  <c:v>5.2813663165348421</c:v>
                </c:pt>
                <c:pt idx="3027">
                  <c:v>5.2831116457868355</c:v>
                </c:pt>
                <c:pt idx="3028">
                  <c:v>5.2848569750388306</c:v>
                </c:pt>
                <c:pt idx="3029">
                  <c:v>5.2866023042908239</c:v>
                </c:pt>
                <c:pt idx="3030">
                  <c:v>5.2883476335428181</c:v>
                </c:pt>
                <c:pt idx="3031">
                  <c:v>5.2900929627948123</c:v>
                </c:pt>
                <c:pt idx="3032">
                  <c:v>5.2918382920468066</c:v>
                </c:pt>
                <c:pt idx="3033">
                  <c:v>5.2935836212987999</c:v>
                </c:pt>
                <c:pt idx="3034">
                  <c:v>5.295328950550795</c:v>
                </c:pt>
                <c:pt idx="3035">
                  <c:v>5.2970742798027901</c:v>
                </c:pt>
                <c:pt idx="3036">
                  <c:v>5.2988196090547852</c:v>
                </c:pt>
                <c:pt idx="3037">
                  <c:v>5.3005649383067786</c:v>
                </c:pt>
                <c:pt idx="3038">
                  <c:v>5.3023102675587737</c:v>
                </c:pt>
                <c:pt idx="3039">
                  <c:v>5.304055596810767</c:v>
                </c:pt>
                <c:pt idx="3040">
                  <c:v>5.3058009260627612</c:v>
                </c:pt>
                <c:pt idx="3041">
                  <c:v>5.3075462553147563</c:v>
                </c:pt>
                <c:pt idx="3042">
                  <c:v>5.3092915845667514</c:v>
                </c:pt>
                <c:pt idx="3043">
                  <c:v>5.3110369138187448</c:v>
                </c:pt>
                <c:pt idx="3044">
                  <c:v>5.3127822430707399</c:v>
                </c:pt>
                <c:pt idx="3045">
                  <c:v>5.3145275723227332</c:v>
                </c:pt>
                <c:pt idx="3046">
                  <c:v>5.3162729015747283</c:v>
                </c:pt>
                <c:pt idx="3047">
                  <c:v>5.3180182308267216</c:v>
                </c:pt>
                <c:pt idx="3048">
                  <c:v>5.3197635600787168</c:v>
                </c:pt>
                <c:pt idx="3049">
                  <c:v>5.3215088893307101</c:v>
                </c:pt>
                <c:pt idx="3050">
                  <c:v>5.3232542185827052</c:v>
                </c:pt>
                <c:pt idx="3051">
                  <c:v>5.3249995478346994</c:v>
                </c:pt>
                <c:pt idx="3052">
                  <c:v>5.3267448770866928</c:v>
                </c:pt>
                <c:pt idx="3053">
                  <c:v>5.3284902063386879</c:v>
                </c:pt>
                <c:pt idx="3054">
                  <c:v>5.3302355355906821</c:v>
                </c:pt>
                <c:pt idx="3055">
                  <c:v>5.3319808648426763</c:v>
                </c:pt>
                <c:pt idx="3056">
                  <c:v>5.3337261940946705</c:v>
                </c:pt>
                <c:pt idx="3057">
                  <c:v>5.3354715233466647</c:v>
                </c:pt>
                <c:pt idx="3058">
                  <c:v>5.337216852598659</c:v>
                </c:pt>
                <c:pt idx="3059">
                  <c:v>5.3389621818506532</c:v>
                </c:pt>
                <c:pt idx="3060">
                  <c:v>5.3407075111026483</c:v>
                </c:pt>
                <c:pt idx="3061">
                  <c:v>5.3424528403546425</c:v>
                </c:pt>
                <c:pt idx="3062">
                  <c:v>5.3441981696066367</c:v>
                </c:pt>
                <c:pt idx="3063">
                  <c:v>5.345943498858631</c:v>
                </c:pt>
                <c:pt idx="3064">
                  <c:v>5.3476888281106252</c:v>
                </c:pt>
                <c:pt idx="3065">
                  <c:v>5.3494341573626194</c:v>
                </c:pt>
                <c:pt idx="3066">
                  <c:v>5.3511794866146145</c:v>
                </c:pt>
                <c:pt idx="3067">
                  <c:v>5.3529248158666096</c:v>
                </c:pt>
                <c:pt idx="3068">
                  <c:v>5.354670145118603</c:v>
                </c:pt>
                <c:pt idx="3069">
                  <c:v>5.3564154743705981</c:v>
                </c:pt>
                <c:pt idx="3070">
                  <c:v>5.3581608036225914</c:v>
                </c:pt>
                <c:pt idx="3071">
                  <c:v>5.3599061328745865</c:v>
                </c:pt>
                <c:pt idx="3072">
                  <c:v>5.3616514621265798</c:v>
                </c:pt>
                <c:pt idx="3073">
                  <c:v>5.3633967913785749</c:v>
                </c:pt>
                <c:pt idx="3074">
                  <c:v>5.3651421206305692</c:v>
                </c:pt>
                <c:pt idx="3075">
                  <c:v>5.3668874498825634</c:v>
                </c:pt>
                <c:pt idx="3076">
                  <c:v>5.3686327791345576</c:v>
                </c:pt>
                <c:pt idx="3077">
                  <c:v>5.3703781083865518</c:v>
                </c:pt>
                <c:pt idx="3078">
                  <c:v>5.3721234376385461</c:v>
                </c:pt>
                <c:pt idx="3079">
                  <c:v>5.3738687668905403</c:v>
                </c:pt>
                <c:pt idx="3080">
                  <c:v>5.3756140961425354</c:v>
                </c:pt>
                <c:pt idx="3081">
                  <c:v>5.3773594253945287</c:v>
                </c:pt>
                <c:pt idx="3082">
                  <c:v>5.3791047546465238</c:v>
                </c:pt>
                <c:pt idx="3083">
                  <c:v>5.3808500838985172</c:v>
                </c:pt>
                <c:pt idx="3084">
                  <c:v>5.3825954131505123</c:v>
                </c:pt>
                <c:pt idx="3085">
                  <c:v>5.3843407424025065</c:v>
                </c:pt>
                <c:pt idx="3086">
                  <c:v>5.3860860716545016</c:v>
                </c:pt>
                <c:pt idx="3087">
                  <c:v>5.3878314009064949</c:v>
                </c:pt>
                <c:pt idx="3088">
                  <c:v>5.38957673015849</c:v>
                </c:pt>
                <c:pt idx="3089">
                  <c:v>5.3913220594104834</c:v>
                </c:pt>
                <c:pt idx="3090">
                  <c:v>5.3930673886624785</c:v>
                </c:pt>
                <c:pt idx="3091">
                  <c:v>5.3948127179144727</c:v>
                </c:pt>
                <c:pt idx="3092">
                  <c:v>5.3965580471664669</c:v>
                </c:pt>
                <c:pt idx="3093">
                  <c:v>5.398303376418462</c:v>
                </c:pt>
                <c:pt idx="3094">
                  <c:v>5.4000487056704563</c:v>
                </c:pt>
                <c:pt idx="3095">
                  <c:v>5.4017940349224505</c:v>
                </c:pt>
                <c:pt idx="3096">
                  <c:v>5.4035393641744447</c:v>
                </c:pt>
                <c:pt idx="3097">
                  <c:v>5.405284693426438</c:v>
                </c:pt>
                <c:pt idx="3098">
                  <c:v>5.4070300226784331</c:v>
                </c:pt>
                <c:pt idx="3099">
                  <c:v>5.4087753519304265</c:v>
                </c:pt>
                <c:pt idx="3100">
                  <c:v>5.4105206811824216</c:v>
                </c:pt>
                <c:pt idx="3101">
                  <c:v>5.4122660104344167</c:v>
                </c:pt>
                <c:pt idx="3102">
                  <c:v>5.41401133968641</c:v>
                </c:pt>
                <c:pt idx="3103">
                  <c:v>5.4157566689384051</c:v>
                </c:pt>
                <c:pt idx="3104">
                  <c:v>5.4175019981903985</c:v>
                </c:pt>
                <c:pt idx="3105">
                  <c:v>5.4192473274423936</c:v>
                </c:pt>
                <c:pt idx="3106">
                  <c:v>5.4209926566943869</c:v>
                </c:pt>
                <c:pt idx="3107">
                  <c:v>5.422737985946382</c:v>
                </c:pt>
                <c:pt idx="3108">
                  <c:v>5.4244833151983753</c:v>
                </c:pt>
                <c:pt idx="3109">
                  <c:v>5.4262286444503696</c:v>
                </c:pt>
                <c:pt idx="3110">
                  <c:v>5.4279739737023647</c:v>
                </c:pt>
                <c:pt idx="3111">
                  <c:v>5.4297193029543598</c:v>
                </c:pt>
                <c:pt idx="3112">
                  <c:v>5.4314646322063531</c:v>
                </c:pt>
                <c:pt idx="3113">
                  <c:v>5.4332099614583482</c:v>
                </c:pt>
                <c:pt idx="3114">
                  <c:v>5.4349552907103416</c:v>
                </c:pt>
                <c:pt idx="3115">
                  <c:v>5.4367006199623367</c:v>
                </c:pt>
                <c:pt idx="3116">
                  <c:v>5.4384459492143309</c:v>
                </c:pt>
                <c:pt idx="3117">
                  <c:v>5.440191278466326</c:v>
                </c:pt>
                <c:pt idx="3118">
                  <c:v>5.4419366077183193</c:v>
                </c:pt>
                <c:pt idx="3119">
                  <c:v>5.4436819369703144</c:v>
                </c:pt>
                <c:pt idx="3120">
                  <c:v>5.4454272662223078</c:v>
                </c:pt>
                <c:pt idx="3121">
                  <c:v>5.4471725954743029</c:v>
                </c:pt>
                <c:pt idx="3122">
                  <c:v>5.4489179247262962</c:v>
                </c:pt>
                <c:pt idx="3123">
                  <c:v>5.4506632539782913</c:v>
                </c:pt>
                <c:pt idx="3124">
                  <c:v>5.4524085832302847</c:v>
                </c:pt>
                <c:pt idx="3125">
                  <c:v>5.4541539124822798</c:v>
                </c:pt>
                <c:pt idx="3126">
                  <c:v>5.4558992417342749</c:v>
                </c:pt>
                <c:pt idx="3127">
                  <c:v>5.4576445709862682</c:v>
                </c:pt>
                <c:pt idx="3128">
                  <c:v>5.4593899002382624</c:v>
                </c:pt>
                <c:pt idx="3129">
                  <c:v>5.4611352294902566</c:v>
                </c:pt>
                <c:pt idx="3130">
                  <c:v>5.4628805587422509</c:v>
                </c:pt>
                <c:pt idx="3131">
                  <c:v>5.4646258879942451</c:v>
                </c:pt>
                <c:pt idx="3132">
                  <c:v>5.4663712172462393</c:v>
                </c:pt>
                <c:pt idx="3133">
                  <c:v>5.4681165464982335</c:v>
                </c:pt>
                <c:pt idx="3134">
                  <c:v>5.4698618757502278</c:v>
                </c:pt>
                <c:pt idx="3135">
                  <c:v>5.4716072050022229</c:v>
                </c:pt>
                <c:pt idx="3136">
                  <c:v>5.473352534254218</c:v>
                </c:pt>
                <c:pt idx="3137">
                  <c:v>5.4750978635062113</c:v>
                </c:pt>
                <c:pt idx="3138">
                  <c:v>5.4768431927582064</c:v>
                </c:pt>
                <c:pt idx="3139">
                  <c:v>5.4785885220101997</c:v>
                </c:pt>
                <c:pt idx="3140">
                  <c:v>5.480333851262194</c:v>
                </c:pt>
                <c:pt idx="3141">
                  <c:v>5.4820791805141891</c:v>
                </c:pt>
                <c:pt idx="3142">
                  <c:v>5.4838245097661842</c:v>
                </c:pt>
                <c:pt idx="3143">
                  <c:v>5.4855698390181775</c:v>
                </c:pt>
                <c:pt idx="3144">
                  <c:v>5.4873151682701726</c:v>
                </c:pt>
                <c:pt idx="3145">
                  <c:v>5.489060497522166</c:v>
                </c:pt>
                <c:pt idx="3146">
                  <c:v>5.4908058267741611</c:v>
                </c:pt>
                <c:pt idx="3147">
                  <c:v>5.4925511560261544</c:v>
                </c:pt>
                <c:pt idx="3148">
                  <c:v>5.4942964852781495</c:v>
                </c:pt>
                <c:pt idx="3149">
                  <c:v>5.4960418145301437</c:v>
                </c:pt>
                <c:pt idx="3150">
                  <c:v>5.497787143782138</c:v>
                </c:pt>
                <c:pt idx="3151">
                  <c:v>5.4995324730341322</c:v>
                </c:pt>
                <c:pt idx="3152">
                  <c:v>5.5012778022861264</c:v>
                </c:pt>
                <c:pt idx="3153">
                  <c:v>5.5030231315381206</c:v>
                </c:pt>
                <c:pt idx="3154">
                  <c:v>5.5047684607901148</c:v>
                </c:pt>
                <c:pt idx="3155">
                  <c:v>5.5065137900421099</c:v>
                </c:pt>
                <c:pt idx="3156">
                  <c:v>5.5082591192941033</c:v>
                </c:pt>
                <c:pt idx="3157">
                  <c:v>5.5100044485460984</c:v>
                </c:pt>
                <c:pt idx="3158">
                  <c:v>5.5117497777980917</c:v>
                </c:pt>
                <c:pt idx="3159">
                  <c:v>5.5134951070500868</c:v>
                </c:pt>
                <c:pt idx="3160">
                  <c:v>5.5152404363020811</c:v>
                </c:pt>
                <c:pt idx="3161">
                  <c:v>5.5169857655540762</c:v>
                </c:pt>
                <c:pt idx="3162">
                  <c:v>5.5187310948060704</c:v>
                </c:pt>
                <c:pt idx="3163">
                  <c:v>5.5204764240580646</c:v>
                </c:pt>
                <c:pt idx="3164">
                  <c:v>5.5222217533100579</c:v>
                </c:pt>
                <c:pt idx="3165">
                  <c:v>5.523967082562053</c:v>
                </c:pt>
                <c:pt idx="3166">
                  <c:v>5.5257124118140473</c:v>
                </c:pt>
                <c:pt idx="3167">
                  <c:v>5.5274577410660424</c:v>
                </c:pt>
                <c:pt idx="3168">
                  <c:v>5.5292030703180366</c:v>
                </c:pt>
                <c:pt idx="3169">
                  <c:v>5.5309483995700308</c:v>
                </c:pt>
                <c:pt idx="3170">
                  <c:v>5.532693728822025</c:v>
                </c:pt>
                <c:pt idx="3171">
                  <c:v>5.5344390580740193</c:v>
                </c:pt>
                <c:pt idx="3172">
                  <c:v>5.5361843873260135</c:v>
                </c:pt>
                <c:pt idx="3173">
                  <c:v>5.5379297165780077</c:v>
                </c:pt>
                <c:pt idx="3174">
                  <c:v>5.5396750458300019</c:v>
                </c:pt>
                <c:pt idx="3175">
                  <c:v>5.5414203750819961</c:v>
                </c:pt>
                <c:pt idx="3176">
                  <c:v>5.5431657043339913</c:v>
                </c:pt>
                <c:pt idx="3177">
                  <c:v>5.5449110335859846</c:v>
                </c:pt>
                <c:pt idx="3178">
                  <c:v>5.5466563628379797</c:v>
                </c:pt>
                <c:pt idx="3179">
                  <c:v>5.548401692089973</c:v>
                </c:pt>
                <c:pt idx="3180">
                  <c:v>5.5501470213419681</c:v>
                </c:pt>
                <c:pt idx="3181">
                  <c:v>5.5518923505939615</c:v>
                </c:pt>
                <c:pt idx="3182">
                  <c:v>5.5536376798459566</c:v>
                </c:pt>
                <c:pt idx="3183">
                  <c:v>5.5553830090979499</c:v>
                </c:pt>
                <c:pt idx="3184">
                  <c:v>5.557128338349945</c:v>
                </c:pt>
                <c:pt idx="3185">
                  <c:v>5.5588736676019392</c:v>
                </c:pt>
                <c:pt idx="3186">
                  <c:v>5.5606189968539343</c:v>
                </c:pt>
                <c:pt idx="3187">
                  <c:v>5.5623643261059277</c:v>
                </c:pt>
                <c:pt idx="3188">
                  <c:v>5.5641096553579228</c:v>
                </c:pt>
                <c:pt idx="3189">
                  <c:v>5.5658549846099161</c:v>
                </c:pt>
                <c:pt idx="3190">
                  <c:v>5.5676003138619112</c:v>
                </c:pt>
                <c:pt idx="3191">
                  <c:v>5.5693456431139063</c:v>
                </c:pt>
                <c:pt idx="3192">
                  <c:v>5.5710909723659006</c:v>
                </c:pt>
                <c:pt idx="3193">
                  <c:v>5.5728363016178948</c:v>
                </c:pt>
                <c:pt idx="3194">
                  <c:v>5.574581630869889</c:v>
                </c:pt>
                <c:pt idx="3195">
                  <c:v>5.5763269601218823</c:v>
                </c:pt>
                <c:pt idx="3196">
                  <c:v>5.5780722893738774</c:v>
                </c:pt>
                <c:pt idx="3197">
                  <c:v>5.5798176186258708</c:v>
                </c:pt>
                <c:pt idx="3198">
                  <c:v>5.5815629478778659</c:v>
                </c:pt>
                <c:pt idx="3199">
                  <c:v>5.5833082771298592</c:v>
                </c:pt>
                <c:pt idx="3200">
                  <c:v>5.5850536063818543</c:v>
                </c:pt>
                <c:pt idx="3201">
                  <c:v>5.5867989356338477</c:v>
                </c:pt>
                <c:pt idx="3202">
                  <c:v>5.5885442648858437</c:v>
                </c:pt>
                <c:pt idx="3203">
                  <c:v>5.5902895941378379</c:v>
                </c:pt>
                <c:pt idx="3204">
                  <c:v>5.5920349233898312</c:v>
                </c:pt>
                <c:pt idx="3205">
                  <c:v>5.5937802526418263</c:v>
                </c:pt>
                <c:pt idx="3206">
                  <c:v>5.5955255818938205</c:v>
                </c:pt>
                <c:pt idx="3207">
                  <c:v>5.5972709111458139</c:v>
                </c:pt>
                <c:pt idx="3208">
                  <c:v>5.5990162403978081</c:v>
                </c:pt>
                <c:pt idx="3209">
                  <c:v>5.6007615696498041</c:v>
                </c:pt>
                <c:pt idx="3210">
                  <c:v>5.6025068989017974</c:v>
                </c:pt>
                <c:pt idx="3211">
                  <c:v>5.6042522281537925</c:v>
                </c:pt>
                <c:pt idx="3212">
                  <c:v>5.6059975574057859</c:v>
                </c:pt>
                <c:pt idx="3213">
                  <c:v>5.607742886657781</c:v>
                </c:pt>
                <c:pt idx="3214">
                  <c:v>5.6094882159097743</c:v>
                </c:pt>
                <c:pt idx="3215">
                  <c:v>5.6112335451617694</c:v>
                </c:pt>
                <c:pt idx="3216">
                  <c:v>5.6129788744137636</c:v>
                </c:pt>
                <c:pt idx="3217">
                  <c:v>5.6147242036657588</c:v>
                </c:pt>
                <c:pt idx="3218">
                  <c:v>5.6164695329177521</c:v>
                </c:pt>
                <c:pt idx="3219">
                  <c:v>5.6182148621697463</c:v>
                </c:pt>
                <c:pt idx="3220">
                  <c:v>5.6199601914217405</c:v>
                </c:pt>
                <c:pt idx="3221">
                  <c:v>5.6217055206737356</c:v>
                </c:pt>
                <c:pt idx="3222">
                  <c:v>5.6234508499257299</c:v>
                </c:pt>
                <c:pt idx="3223">
                  <c:v>5.6251961791777232</c:v>
                </c:pt>
                <c:pt idx="3224">
                  <c:v>5.6269415084297192</c:v>
                </c:pt>
                <c:pt idx="3225">
                  <c:v>5.6286868376817125</c:v>
                </c:pt>
                <c:pt idx="3226">
                  <c:v>5.6304321669337067</c:v>
                </c:pt>
                <c:pt idx="3227">
                  <c:v>5.6321774961857018</c:v>
                </c:pt>
                <c:pt idx="3228">
                  <c:v>5.6339228254376952</c:v>
                </c:pt>
                <c:pt idx="3229">
                  <c:v>5.6356681546896903</c:v>
                </c:pt>
                <c:pt idx="3230">
                  <c:v>5.6374134839416845</c:v>
                </c:pt>
                <c:pt idx="3231">
                  <c:v>5.6391588131936787</c:v>
                </c:pt>
                <c:pt idx="3232">
                  <c:v>5.640904142445673</c:v>
                </c:pt>
                <c:pt idx="3233">
                  <c:v>5.6426494716976663</c:v>
                </c:pt>
                <c:pt idx="3234">
                  <c:v>5.6443948009496623</c:v>
                </c:pt>
                <c:pt idx="3235">
                  <c:v>5.6461401302016565</c:v>
                </c:pt>
                <c:pt idx="3236">
                  <c:v>5.6478854594536507</c:v>
                </c:pt>
                <c:pt idx="3237">
                  <c:v>5.6496307887056449</c:v>
                </c:pt>
                <c:pt idx="3238">
                  <c:v>5.6513761179576392</c:v>
                </c:pt>
                <c:pt idx="3239">
                  <c:v>5.6531214472096334</c:v>
                </c:pt>
                <c:pt idx="3240">
                  <c:v>5.6548667764616276</c:v>
                </c:pt>
                <c:pt idx="3241">
                  <c:v>5.6566121057136218</c:v>
                </c:pt>
                <c:pt idx="3242">
                  <c:v>5.6583574349656169</c:v>
                </c:pt>
                <c:pt idx="3243">
                  <c:v>5.6601027642176112</c:v>
                </c:pt>
                <c:pt idx="3244">
                  <c:v>5.6618480934696045</c:v>
                </c:pt>
                <c:pt idx="3245">
                  <c:v>5.6635934227215996</c:v>
                </c:pt>
                <c:pt idx="3246">
                  <c:v>5.6653387519735938</c:v>
                </c:pt>
                <c:pt idx="3247">
                  <c:v>5.667084081225588</c:v>
                </c:pt>
                <c:pt idx="3248">
                  <c:v>5.6688294104775814</c:v>
                </c:pt>
                <c:pt idx="3249">
                  <c:v>5.6705747397295774</c:v>
                </c:pt>
                <c:pt idx="3250">
                  <c:v>5.6723200689815707</c:v>
                </c:pt>
                <c:pt idx="3251">
                  <c:v>5.6740653982335649</c:v>
                </c:pt>
                <c:pt idx="3252">
                  <c:v>5.67581072748556</c:v>
                </c:pt>
                <c:pt idx="3253">
                  <c:v>5.6775560567375543</c:v>
                </c:pt>
                <c:pt idx="3254">
                  <c:v>5.6793013859895476</c:v>
                </c:pt>
                <c:pt idx="3255">
                  <c:v>5.6810467152415427</c:v>
                </c:pt>
                <c:pt idx="3256">
                  <c:v>5.6827920444935378</c:v>
                </c:pt>
                <c:pt idx="3257">
                  <c:v>5.6845373737455311</c:v>
                </c:pt>
                <c:pt idx="3258">
                  <c:v>5.6862827029975245</c:v>
                </c:pt>
                <c:pt idx="3259">
                  <c:v>5.6880280322495205</c:v>
                </c:pt>
                <c:pt idx="3260">
                  <c:v>5.6897733615015138</c:v>
                </c:pt>
                <c:pt idx="3261">
                  <c:v>5.6915186907535098</c:v>
                </c:pt>
                <c:pt idx="3262">
                  <c:v>5.6932640200055022</c:v>
                </c:pt>
                <c:pt idx="3263">
                  <c:v>5.6950093492574982</c:v>
                </c:pt>
                <c:pt idx="3264">
                  <c:v>5.6967546785094907</c:v>
                </c:pt>
                <c:pt idx="3265">
                  <c:v>5.6985000077614867</c:v>
                </c:pt>
                <c:pt idx="3266">
                  <c:v>5.7002453370134791</c:v>
                </c:pt>
                <c:pt idx="3267">
                  <c:v>5.7019906662654751</c:v>
                </c:pt>
                <c:pt idx="3268">
                  <c:v>5.7037359955174693</c:v>
                </c:pt>
                <c:pt idx="3269">
                  <c:v>5.7054813247694618</c:v>
                </c:pt>
                <c:pt idx="3270">
                  <c:v>5.7072266540214578</c:v>
                </c:pt>
                <c:pt idx="3271">
                  <c:v>5.708971983273452</c:v>
                </c:pt>
                <c:pt idx="3272">
                  <c:v>5.7107173125254462</c:v>
                </c:pt>
                <c:pt idx="3273">
                  <c:v>5.7124626417774396</c:v>
                </c:pt>
                <c:pt idx="3274">
                  <c:v>5.7142079710294365</c:v>
                </c:pt>
                <c:pt idx="3275">
                  <c:v>5.7159533002814289</c:v>
                </c:pt>
                <c:pt idx="3276">
                  <c:v>5.7176986295334231</c:v>
                </c:pt>
                <c:pt idx="3277">
                  <c:v>5.7194439587854191</c:v>
                </c:pt>
                <c:pt idx="3278">
                  <c:v>5.7211892880374116</c:v>
                </c:pt>
                <c:pt idx="3279">
                  <c:v>5.7229346172894058</c:v>
                </c:pt>
                <c:pt idx="3280">
                  <c:v>5.7246799465414</c:v>
                </c:pt>
                <c:pt idx="3281">
                  <c:v>5.726425275793396</c:v>
                </c:pt>
                <c:pt idx="3282">
                  <c:v>5.7281706050453884</c:v>
                </c:pt>
                <c:pt idx="3283">
                  <c:v>5.7299159342973827</c:v>
                </c:pt>
                <c:pt idx="3284">
                  <c:v>5.7316612635493787</c:v>
                </c:pt>
                <c:pt idx="3285">
                  <c:v>5.7334065928013729</c:v>
                </c:pt>
                <c:pt idx="3286">
                  <c:v>5.7351519220533671</c:v>
                </c:pt>
                <c:pt idx="3287">
                  <c:v>5.7368972513053613</c:v>
                </c:pt>
                <c:pt idx="3288">
                  <c:v>5.7386425805573555</c:v>
                </c:pt>
                <c:pt idx="3289">
                  <c:v>5.7403879098093498</c:v>
                </c:pt>
                <c:pt idx="3290">
                  <c:v>5.742133239061344</c:v>
                </c:pt>
                <c:pt idx="3291">
                  <c:v>5.7438785683133382</c:v>
                </c:pt>
                <c:pt idx="3292">
                  <c:v>5.7456238975653342</c:v>
                </c:pt>
                <c:pt idx="3293">
                  <c:v>5.7473692268173266</c:v>
                </c:pt>
                <c:pt idx="3294">
                  <c:v>5.7491145560693209</c:v>
                </c:pt>
                <c:pt idx="3295">
                  <c:v>5.7508598853213151</c:v>
                </c:pt>
                <c:pt idx="3296">
                  <c:v>5.7526052145733111</c:v>
                </c:pt>
                <c:pt idx="3297">
                  <c:v>5.7543505438253044</c:v>
                </c:pt>
                <c:pt idx="3298">
                  <c:v>5.7560958730772986</c:v>
                </c:pt>
                <c:pt idx="3299">
                  <c:v>5.7578412023292938</c:v>
                </c:pt>
                <c:pt idx="3300">
                  <c:v>5.7595865315812871</c:v>
                </c:pt>
                <c:pt idx="3301">
                  <c:v>5.7613318608332813</c:v>
                </c:pt>
                <c:pt idx="3302">
                  <c:v>5.7630771900852764</c:v>
                </c:pt>
                <c:pt idx="3303">
                  <c:v>5.7648225193372706</c:v>
                </c:pt>
                <c:pt idx="3304">
                  <c:v>5.766567848589264</c:v>
                </c:pt>
                <c:pt idx="3305">
                  <c:v>5.7683131778412591</c:v>
                </c:pt>
                <c:pt idx="3306">
                  <c:v>5.7700585070932533</c:v>
                </c:pt>
                <c:pt idx="3307">
                  <c:v>5.7718038363452475</c:v>
                </c:pt>
                <c:pt idx="3308">
                  <c:v>5.7735491655972409</c:v>
                </c:pt>
                <c:pt idx="3309">
                  <c:v>5.775294494849236</c:v>
                </c:pt>
                <c:pt idx="3310">
                  <c:v>5.7770398241012311</c:v>
                </c:pt>
                <c:pt idx="3311">
                  <c:v>5.7787851533532253</c:v>
                </c:pt>
                <c:pt idx="3312">
                  <c:v>5.7805304826052195</c:v>
                </c:pt>
                <c:pt idx="3313">
                  <c:v>5.7822758118572137</c:v>
                </c:pt>
                <c:pt idx="3314">
                  <c:v>5.784021141109208</c:v>
                </c:pt>
                <c:pt idx="3315">
                  <c:v>5.7857664703612022</c:v>
                </c:pt>
                <c:pt idx="3316">
                  <c:v>5.7875117996131964</c:v>
                </c:pt>
                <c:pt idx="3317">
                  <c:v>5.7892571288651915</c:v>
                </c:pt>
                <c:pt idx="3318">
                  <c:v>5.7910024581171857</c:v>
                </c:pt>
                <c:pt idx="3319">
                  <c:v>5.7927477873691791</c:v>
                </c:pt>
                <c:pt idx="3320">
                  <c:v>5.7944931166211742</c:v>
                </c:pt>
                <c:pt idx="3321">
                  <c:v>5.7962384458731684</c:v>
                </c:pt>
                <c:pt idx="3322">
                  <c:v>5.7979837751251626</c:v>
                </c:pt>
                <c:pt idx="3323">
                  <c:v>5.7997291043771559</c:v>
                </c:pt>
                <c:pt idx="3324">
                  <c:v>5.8014744336291519</c:v>
                </c:pt>
                <c:pt idx="3325">
                  <c:v>5.8032197628811462</c:v>
                </c:pt>
                <c:pt idx="3326">
                  <c:v>5.8049650921331386</c:v>
                </c:pt>
                <c:pt idx="3327">
                  <c:v>5.8067104213851355</c:v>
                </c:pt>
                <c:pt idx="3328">
                  <c:v>5.8084557506371288</c:v>
                </c:pt>
                <c:pt idx="3329">
                  <c:v>5.810201079889123</c:v>
                </c:pt>
                <c:pt idx="3330">
                  <c:v>5.8119464091411173</c:v>
                </c:pt>
                <c:pt idx="3331">
                  <c:v>5.8136917383931115</c:v>
                </c:pt>
                <c:pt idx="3332">
                  <c:v>5.8154370676451057</c:v>
                </c:pt>
                <c:pt idx="3333">
                  <c:v>5.8171823968970999</c:v>
                </c:pt>
                <c:pt idx="3334">
                  <c:v>5.818927726149095</c:v>
                </c:pt>
                <c:pt idx="3335">
                  <c:v>5.8206730554010884</c:v>
                </c:pt>
                <c:pt idx="3336">
                  <c:v>5.8224183846530844</c:v>
                </c:pt>
                <c:pt idx="3337">
                  <c:v>5.8241637139050768</c:v>
                </c:pt>
                <c:pt idx="3338">
                  <c:v>5.8259090431570728</c:v>
                </c:pt>
                <c:pt idx="3339">
                  <c:v>5.8276543724090653</c:v>
                </c:pt>
                <c:pt idx="3340">
                  <c:v>5.8293997016610613</c:v>
                </c:pt>
                <c:pt idx="3341">
                  <c:v>5.8311450309130537</c:v>
                </c:pt>
                <c:pt idx="3342">
                  <c:v>5.8328903601650497</c:v>
                </c:pt>
                <c:pt idx="3343">
                  <c:v>5.8346356894170439</c:v>
                </c:pt>
                <c:pt idx="3344">
                  <c:v>5.8363810186690381</c:v>
                </c:pt>
                <c:pt idx="3345">
                  <c:v>5.8381263479210324</c:v>
                </c:pt>
                <c:pt idx="3346">
                  <c:v>5.8398716771730266</c:v>
                </c:pt>
                <c:pt idx="3347">
                  <c:v>5.8416170064250208</c:v>
                </c:pt>
                <c:pt idx="3348">
                  <c:v>5.8433623356770141</c:v>
                </c:pt>
                <c:pt idx="3349">
                  <c:v>5.845107664929011</c:v>
                </c:pt>
                <c:pt idx="3350">
                  <c:v>5.8468529941810035</c:v>
                </c:pt>
                <c:pt idx="3351">
                  <c:v>5.8485983234329977</c:v>
                </c:pt>
                <c:pt idx="3352">
                  <c:v>5.8503436526849937</c:v>
                </c:pt>
                <c:pt idx="3353">
                  <c:v>5.8520889819369879</c:v>
                </c:pt>
                <c:pt idx="3354">
                  <c:v>5.8538343111889803</c:v>
                </c:pt>
                <c:pt idx="3355">
                  <c:v>5.8555796404409746</c:v>
                </c:pt>
                <c:pt idx="3356">
                  <c:v>5.8573249696929706</c:v>
                </c:pt>
                <c:pt idx="3357">
                  <c:v>5.859070298944963</c:v>
                </c:pt>
                <c:pt idx="3358">
                  <c:v>5.8608156281969581</c:v>
                </c:pt>
                <c:pt idx="3359">
                  <c:v>5.8625609574489532</c:v>
                </c:pt>
                <c:pt idx="3360">
                  <c:v>5.8643062867009474</c:v>
                </c:pt>
                <c:pt idx="3361">
                  <c:v>5.8660516159529417</c:v>
                </c:pt>
                <c:pt idx="3362">
                  <c:v>5.8677969452049359</c:v>
                </c:pt>
                <c:pt idx="3363">
                  <c:v>5.8695422744569301</c:v>
                </c:pt>
                <c:pt idx="3364">
                  <c:v>5.8712876037089243</c:v>
                </c:pt>
                <c:pt idx="3365">
                  <c:v>5.8730329329609186</c:v>
                </c:pt>
                <c:pt idx="3366">
                  <c:v>5.8747782622129128</c:v>
                </c:pt>
                <c:pt idx="3367">
                  <c:v>5.8765235914649088</c:v>
                </c:pt>
                <c:pt idx="3368">
                  <c:v>5.8782689207169012</c:v>
                </c:pt>
                <c:pt idx="3369">
                  <c:v>5.8800142499688954</c:v>
                </c:pt>
                <c:pt idx="3370">
                  <c:v>5.8817595792208897</c:v>
                </c:pt>
                <c:pt idx="3371">
                  <c:v>5.8835049084728857</c:v>
                </c:pt>
                <c:pt idx="3372">
                  <c:v>5.885250237724879</c:v>
                </c:pt>
                <c:pt idx="3373">
                  <c:v>5.8869955669768732</c:v>
                </c:pt>
                <c:pt idx="3374">
                  <c:v>5.8887408962288683</c:v>
                </c:pt>
                <c:pt idx="3375">
                  <c:v>5.8904862254808625</c:v>
                </c:pt>
                <c:pt idx="3376">
                  <c:v>5.8922315547328559</c:v>
                </c:pt>
                <c:pt idx="3377">
                  <c:v>5.893976883984851</c:v>
                </c:pt>
                <c:pt idx="3378">
                  <c:v>5.8957222132368452</c:v>
                </c:pt>
                <c:pt idx="3379">
                  <c:v>5.8974675424888385</c:v>
                </c:pt>
                <c:pt idx="3380">
                  <c:v>5.8992128717408336</c:v>
                </c:pt>
                <c:pt idx="3381">
                  <c:v>5.9009582009928279</c:v>
                </c:pt>
                <c:pt idx="3382">
                  <c:v>5.9027035302448221</c:v>
                </c:pt>
                <c:pt idx="3383">
                  <c:v>5.9044488594968154</c:v>
                </c:pt>
                <c:pt idx="3384">
                  <c:v>5.9061941887488123</c:v>
                </c:pt>
                <c:pt idx="3385">
                  <c:v>5.9079395180008056</c:v>
                </c:pt>
                <c:pt idx="3386">
                  <c:v>5.9096848472527999</c:v>
                </c:pt>
                <c:pt idx="3387">
                  <c:v>5.9114301765047941</c:v>
                </c:pt>
                <c:pt idx="3388">
                  <c:v>5.9131755057567883</c:v>
                </c:pt>
                <c:pt idx="3389">
                  <c:v>5.9149208350087825</c:v>
                </c:pt>
                <c:pt idx="3390">
                  <c:v>5.9166661642607767</c:v>
                </c:pt>
                <c:pt idx="3391">
                  <c:v>5.918411493512771</c:v>
                </c:pt>
                <c:pt idx="3392">
                  <c:v>5.9201568227647661</c:v>
                </c:pt>
                <c:pt idx="3393">
                  <c:v>5.9219021520167603</c:v>
                </c:pt>
                <c:pt idx="3394">
                  <c:v>5.9236474812687536</c:v>
                </c:pt>
                <c:pt idx="3395">
                  <c:v>5.9253928105207487</c:v>
                </c:pt>
                <c:pt idx="3396">
                  <c:v>5.927138139772743</c:v>
                </c:pt>
                <c:pt idx="3397">
                  <c:v>5.9288834690247381</c:v>
                </c:pt>
                <c:pt idx="3398">
                  <c:v>5.9306287982767305</c:v>
                </c:pt>
                <c:pt idx="3399">
                  <c:v>5.9323741275287265</c:v>
                </c:pt>
                <c:pt idx="3400">
                  <c:v>5.9341194567807207</c:v>
                </c:pt>
                <c:pt idx="3401">
                  <c:v>5.9358647860327149</c:v>
                </c:pt>
                <c:pt idx="3402">
                  <c:v>5.9376101152847101</c:v>
                </c:pt>
                <c:pt idx="3403">
                  <c:v>5.9393554445367034</c:v>
                </c:pt>
                <c:pt idx="3404">
                  <c:v>5.9411007737886976</c:v>
                </c:pt>
                <c:pt idx="3405">
                  <c:v>5.9428461030406918</c:v>
                </c:pt>
                <c:pt idx="3406">
                  <c:v>5.9445914322926869</c:v>
                </c:pt>
                <c:pt idx="3407">
                  <c:v>5.9463367615446803</c:v>
                </c:pt>
                <c:pt idx="3408">
                  <c:v>5.9480820907966745</c:v>
                </c:pt>
                <c:pt idx="3409">
                  <c:v>5.9498274200486696</c:v>
                </c:pt>
                <c:pt idx="3410">
                  <c:v>5.9515727493006629</c:v>
                </c:pt>
                <c:pt idx="3411">
                  <c:v>5.9533180785526589</c:v>
                </c:pt>
                <c:pt idx="3412">
                  <c:v>5.9550634078046514</c:v>
                </c:pt>
                <c:pt idx="3413">
                  <c:v>5.9568087370566474</c:v>
                </c:pt>
                <c:pt idx="3414">
                  <c:v>5.9585540663086398</c:v>
                </c:pt>
                <c:pt idx="3415">
                  <c:v>5.9602993955606358</c:v>
                </c:pt>
                <c:pt idx="3416">
                  <c:v>5.9620447248126283</c:v>
                </c:pt>
                <c:pt idx="3417">
                  <c:v>5.9637900540646243</c:v>
                </c:pt>
                <c:pt idx="3418">
                  <c:v>5.9655353833166185</c:v>
                </c:pt>
                <c:pt idx="3419">
                  <c:v>5.9672807125686127</c:v>
                </c:pt>
                <c:pt idx="3420">
                  <c:v>5.9690260418206069</c:v>
                </c:pt>
                <c:pt idx="3421">
                  <c:v>5.9707713710726011</c:v>
                </c:pt>
                <c:pt idx="3422">
                  <c:v>5.9725167003245954</c:v>
                </c:pt>
                <c:pt idx="3423">
                  <c:v>5.9742620295765896</c:v>
                </c:pt>
                <c:pt idx="3424">
                  <c:v>5.9760073588285856</c:v>
                </c:pt>
                <c:pt idx="3425">
                  <c:v>5.977752688080578</c:v>
                </c:pt>
                <c:pt idx="3426">
                  <c:v>5.9794980173325722</c:v>
                </c:pt>
                <c:pt idx="3427">
                  <c:v>5.9812433465845682</c:v>
                </c:pt>
                <c:pt idx="3428">
                  <c:v>5.9829886758365625</c:v>
                </c:pt>
                <c:pt idx="3429">
                  <c:v>5.9847340050885549</c:v>
                </c:pt>
                <c:pt idx="3430">
                  <c:v>5.9864793343405509</c:v>
                </c:pt>
                <c:pt idx="3431">
                  <c:v>5.9882246635925451</c:v>
                </c:pt>
                <c:pt idx="3432">
                  <c:v>5.9899699928445393</c:v>
                </c:pt>
                <c:pt idx="3433">
                  <c:v>5.9917153220965327</c:v>
                </c:pt>
                <c:pt idx="3434">
                  <c:v>5.9934606513485278</c:v>
                </c:pt>
                <c:pt idx="3435">
                  <c:v>5.995205980600522</c:v>
                </c:pt>
                <c:pt idx="3436">
                  <c:v>5.9969513098525162</c:v>
                </c:pt>
                <c:pt idx="3437">
                  <c:v>5.9986966391045105</c:v>
                </c:pt>
                <c:pt idx="3438">
                  <c:v>6.0004419683565047</c:v>
                </c:pt>
                <c:pt idx="3439">
                  <c:v>6.0021872976084989</c:v>
                </c:pt>
                <c:pt idx="3440">
                  <c:v>6.0039326268604931</c:v>
                </c:pt>
                <c:pt idx="3441">
                  <c:v>6.0056779561124873</c:v>
                </c:pt>
                <c:pt idx="3442">
                  <c:v>6.0074232853644833</c:v>
                </c:pt>
                <c:pt idx="3443">
                  <c:v>6.0091686146164758</c:v>
                </c:pt>
                <c:pt idx="3444">
                  <c:v>6.01091394386847</c:v>
                </c:pt>
                <c:pt idx="3445">
                  <c:v>6.0126592731204642</c:v>
                </c:pt>
                <c:pt idx="3446">
                  <c:v>6.0144046023724602</c:v>
                </c:pt>
                <c:pt idx="3447">
                  <c:v>6.0161499316244536</c:v>
                </c:pt>
                <c:pt idx="3448">
                  <c:v>6.0178952608764478</c:v>
                </c:pt>
                <c:pt idx="3449">
                  <c:v>6.0196405901284429</c:v>
                </c:pt>
                <c:pt idx="3450">
                  <c:v>6.0213859193804371</c:v>
                </c:pt>
                <c:pt idx="3451">
                  <c:v>6.0231312486324304</c:v>
                </c:pt>
                <c:pt idx="3452">
                  <c:v>6.0248765778844255</c:v>
                </c:pt>
                <c:pt idx="3453">
                  <c:v>6.0266219071364198</c:v>
                </c:pt>
                <c:pt idx="3454">
                  <c:v>6.028367236388414</c:v>
                </c:pt>
                <c:pt idx="3455">
                  <c:v>6.0301125656404082</c:v>
                </c:pt>
                <c:pt idx="3456">
                  <c:v>6.0318578948924024</c:v>
                </c:pt>
                <c:pt idx="3457">
                  <c:v>6.0336032241443966</c:v>
                </c:pt>
                <c:pt idx="3458">
                  <c:v>6.03534855339639</c:v>
                </c:pt>
                <c:pt idx="3459">
                  <c:v>6.0370938826483869</c:v>
                </c:pt>
                <c:pt idx="3460">
                  <c:v>6.0388392119003802</c:v>
                </c:pt>
                <c:pt idx="3461">
                  <c:v>6.0405845411523753</c:v>
                </c:pt>
                <c:pt idx="3462">
                  <c:v>6.0423298704043686</c:v>
                </c:pt>
                <c:pt idx="3463">
                  <c:v>6.0440751996563638</c:v>
                </c:pt>
                <c:pt idx="3464">
                  <c:v>6.0458205289083571</c:v>
                </c:pt>
                <c:pt idx="3465">
                  <c:v>6.0475658581603513</c:v>
                </c:pt>
                <c:pt idx="3466">
                  <c:v>6.0493111874123455</c:v>
                </c:pt>
                <c:pt idx="3467">
                  <c:v>6.0510565166643406</c:v>
                </c:pt>
                <c:pt idx="3468">
                  <c:v>6.0528018459163349</c:v>
                </c:pt>
                <c:pt idx="3469">
                  <c:v>6.0545471751683282</c:v>
                </c:pt>
                <c:pt idx="3470">
                  <c:v>6.0562925044203233</c:v>
                </c:pt>
                <c:pt idx="3471">
                  <c:v>6.0580378336723175</c:v>
                </c:pt>
                <c:pt idx="3472">
                  <c:v>6.0597831629243126</c:v>
                </c:pt>
                <c:pt idx="3473">
                  <c:v>6.0615284921763051</c:v>
                </c:pt>
                <c:pt idx="3474">
                  <c:v>6.0632738214283011</c:v>
                </c:pt>
                <c:pt idx="3475">
                  <c:v>6.0650191506802953</c:v>
                </c:pt>
                <c:pt idx="3476">
                  <c:v>6.0667644799322895</c:v>
                </c:pt>
                <c:pt idx="3477">
                  <c:v>6.0685098091842846</c:v>
                </c:pt>
                <c:pt idx="3478">
                  <c:v>6.070255138436278</c:v>
                </c:pt>
                <c:pt idx="3479">
                  <c:v>6.0720004676882722</c:v>
                </c:pt>
                <c:pt idx="3480">
                  <c:v>6.0737457969402664</c:v>
                </c:pt>
                <c:pt idx="3481">
                  <c:v>6.0754911261922615</c:v>
                </c:pt>
                <c:pt idx="3482">
                  <c:v>6.0772364554442548</c:v>
                </c:pt>
                <c:pt idx="3483">
                  <c:v>6.0789817846962491</c:v>
                </c:pt>
                <c:pt idx="3484">
                  <c:v>6.0807271139482442</c:v>
                </c:pt>
                <c:pt idx="3485">
                  <c:v>6.0824724432002393</c:v>
                </c:pt>
                <c:pt idx="3486">
                  <c:v>6.0842177724522335</c:v>
                </c:pt>
                <c:pt idx="3487">
                  <c:v>6.0859631017042277</c:v>
                </c:pt>
                <c:pt idx="3488">
                  <c:v>6.0877084309562219</c:v>
                </c:pt>
                <c:pt idx="3489">
                  <c:v>6.0894537602082144</c:v>
                </c:pt>
                <c:pt idx="3490">
                  <c:v>6.0911990894602104</c:v>
                </c:pt>
                <c:pt idx="3491">
                  <c:v>6.0929444187122028</c:v>
                </c:pt>
                <c:pt idx="3492">
                  <c:v>6.0946897479641997</c:v>
                </c:pt>
                <c:pt idx="3493">
                  <c:v>6.096435077216193</c:v>
                </c:pt>
                <c:pt idx="3494">
                  <c:v>6.0981804064681873</c:v>
                </c:pt>
                <c:pt idx="3495">
                  <c:v>6.0999257357201815</c:v>
                </c:pt>
                <c:pt idx="3496">
                  <c:v>6.1016710649721766</c:v>
                </c:pt>
                <c:pt idx="3497">
                  <c:v>6.1034163942241699</c:v>
                </c:pt>
                <c:pt idx="3498">
                  <c:v>6.1051617234761641</c:v>
                </c:pt>
                <c:pt idx="3499">
                  <c:v>6.1069070527281601</c:v>
                </c:pt>
                <c:pt idx="3500">
                  <c:v>6.1086523819801526</c:v>
                </c:pt>
                <c:pt idx="3501">
                  <c:v>6.1103977112321468</c:v>
                </c:pt>
                <c:pt idx="3502">
                  <c:v>6.1121430404841428</c:v>
                </c:pt>
                <c:pt idx="3503">
                  <c:v>6.113888369736137</c:v>
                </c:pt>
                <c:pt idx="3504">
                  <c:v>6.1156336989881295</c:v>
                </c:pt>
                <c:pt idx="3505">
                  <c:v>6.1173790282401255</c:v>
                </c:pt>
                <c:pt idx="3506">
                  <c:v>6.1191243574921197</c:v>
                </c:pt>
                <c:pt idx="3507">
                  <c:v>6.1208696867441139</c:v>
                </c:pt>
                <c:pt idx="3508">
                  <c:v>6.1226150159961072</c:v>
                </c:pt>
                <c:pt idx="3509">
                  <c:v>6.1243603452481024</c:v>
                </c:pt>
                <c:pt idx="3510">
                  <c:v>6.1261056745000966</c:v>
                </c:pt>
                <c:pt idx="3511">
                  <c:v>6.1278510037520908</c:v>
                </c:pt>
                <c:pt idx="3512">
                  <c:v>6.129596333004085</c:v>
                </c:pt>
                <c:pt idx="3513">
                  <c:v>6.1313416622560792</c:v>
                </c:pt>
                <c:pt idx="3514">
                  <c:v>6.1330869915080735</c:v>
                </c:pt>
                <c:pt idx="3515">
                  <c:v>6.1348323207600677</c:v>
                </c:pt>
                <c:pt idx="3516">
                  <c:v>6.1365776500120619</c:v>
                </c:pt>
                <c:pt idx="3517">
                  <c:v>6.1383229792640579</c:v>
                </c:pt>
                <c:pt idx="3518">
                  <c:v>6.1400683085160521</c:v>
                </c:pt>
                <c:pt idx="3519">
                  <c:v>6.1418136377680446</c:v>
                </c:pt>
                <c:pt idx="3520">
                  <c:v>6.1435589670200397</c:v>
                </c:pt>
                <c:pt idx="3521">
                  <c:v>6.1453042962720348</c:v>
                </c:pt>
                <c:pt idx="3522">
                  <c:v>6.1470496255240281</c:v>
                </c:pt>
                <c:pt idx="3523">
                  <c:v>6.1487949547760223</c:v>
                </c:pt>
                <c:pt idx="3524">
                  <c:v>6.1505402840280174</c:v>
                </c:pt>
                <c:pt idx="3525">
                  <c:v>6.1522856132800117</c:v>
                </c:pt>
                <c:pt idx="3526">
                  <c:v>6.154030942532005</c:v>
                </c:pt>
                <c:pt idx="3527">
                  <c:v>6.1557762717840019</c:v>
                </c:pt>
                <c:pt idx="3528">
                  <c:v>6.1575216010359943</c:v>
                </c:pt>
                <c:pt idx="3529">
                  <c:v>6.1592669302879886</c:v>
                </c:pt>
                <c:pt idx="3530">
                  <c:v>6.1610122595399828</c:v>
                </c:pt>
                <c:pt idx="3531">
                  <c:v>6.162757588791977</c:v>
                </c:pt>
                <c:pt idx="3532">
                  <c:v>6.1645029180439712</c:v>
                </c:pt>
                <c:pt idx="3533">
                  <c:v>6.1662482472959663</c:v>
                </c:pt>
                <c:pt idx="3534">
                  <c:v>6.1679935765479614</c:v>
                </c:pt>
                <c:pt idx="3535">
                  <c:v>6.1697389057999548</c:v>
                </c:pt>
                <c:pt idx="3536">
                  <c:v>6.1714842350519499</c:v>
                </c:pt>
                <c:pt idx="3537">
                  <c:v>6.1732295643039432</c:v>
                </c:pt>
                <c:pt idx="3538">
                  <c:v>6.1749748935559383</c:v>
                </c:pt>
                <c:pt idx="3539">
                  <c:v>6.1767202228079316</c:v>
                </c:pt>
                <c:pt idx="3540">
                  <c:v>6.1784655520599268</c:v>
                </c:pt>
                <c:pt idx="3541">
                  <c:v>6.1802108813119201</c:v>
                </c:pt>
                <c:pt idx="3542">
                  <c:v>6.1819562105639152</c:v>
                </c:pt>
                <c:pt idx="3543">
                  <c:v>6.1837015398159094</c:v>
                </c:pt>
                <c:pt idx="3544">
                  <c:v>6.1854468690679028</c:v>
                </c:pt>
                <c:pt idx="3545">
                  <c:v>6.1871921983198979</c:v>
                </c:pt>
                <c:pt idx="3546">
                  <c:v>6.188937527571893</c:v>
                </c:pt>
                <c:pt idx="3547">
                  <c:v>6.1906828568238872</c:v>
                </c:pt>
                <c:pt idx="3548">
                  <c:v>6.1924281860758796</c:v>
                </c:pt>
                <c:pt idx="3549">
                  <c:v>6.1941735153278765</c:v>
                </c:pt>
                <c:pt idx="3550">
                  <c:v>6.1959188445798699</c:v>
                </c:pt>
                <c:pt idx="3551">
                  <c:v>6.1976641738318641</c:v>
                </c:pt>
                <c:pt idx="3552">
                  <c:v>6.1994095030838592</c:v>
                </c:pt>
                <c:pt idx="3553">
                  <c:v>6.2011548323358525</c:v>
                </c:pt>
                <c:pt idx="3554">
                  <c:v>6.2029001615878467</c:v>
                </c:pt>
                <c:pt idx="3555">
                  <c:v>6.204645490839841</c:v>
                </c:pt>
                <c:pt idx="3556">
                  <c:v>6.2063908200918361</c:v>
                </c:pt>
                <c:pt idx="3557">
                  <c:v>6.2081361493438294</c:v>
                </c:pt>
                <c:pt idx="3558">
                  <c:v>6.2098814785958236</c:v>
                </c:pt>
                <c:pt idx="3559">
                  <c:v>6.2116268078478196</c:v>
                </c:pt>
                <c:pt idx="3560">
                  <c:v>6.2133721370998138</c:v>
                </c:pt>
                <c:pt idx="3561">
                  <c:v>6.2151174663518081</c:v>
                </c:pt>
                <c:pt idx="3562">
                  <c:v>6.2168627956038023</c:v>
                </c:pt>
                <c:pt idx="3563">
                  <c:v>6.2186081248557965</c:v>
                </c:pt>
                <c:pt idx="3564">
                  <c:v>6.2203534541077907</c:v>
                </c:pt>
                <c:pt idx="3565">
                  <c:v>6.2220987833597849</c:v>
                </c:pt>
                <c:pt idx="3566">
                  <c:v>6.2238441126117792</c:v>
                </c:pt>
                <c:pt idx="3567">
                  <c:v>6.2255894418637743</c:v>
                </c:pt>
                <c:pt idx="3568">
                  <c:v>6.2273347711157676</c:v>
                </c:pt>
                <c:pt idx="3569">
                  <c:v>6.2290801003677618</c:v>
                </c:pt>
                <c:pt idx="3570">
                  <c:v>6.2308254296197561</c:v>
                </c:pt>
                <c:pt idx="3571">
                  <c:v>6.2325707588717512</c:v>
                </c:pt>
                <c:pt idx="3572">
                  <c:v>6.2343160881237445</c:v>
                </c:pt>
                <c:pt idx="3573">
                  <c:v>6.2360614173757387</c:v>
                </c:pt>
                <c:pt idx="3574">
                  <c:v>6.2378067466277347</c:v>
                </c:pt>
                <c:pt idx="3575">
                  <c:v>6.2395520758797289</c:v>
                </c:pt>
                <c:pt idx="3576">
                  <c:v>6.2412974051317214</c:v>
                </c:pt>
                <c:pt idx="3577">
                  <c:v>6.2430427343837174</c:v>
                </c:pt>
                <c:pt idx="3578">
                  <c:v>6.2447880636357116</c:v>
                </c:pt>
                <c:pt idx="3579">
                  <c:v>6.246533392887704</c:v>
                </c:pt>
                <c:pt idx="3580">
                  <c:v>6.2482787221397</c:v>
                </c:pt>
                <c:pt idx="3581">
                  <c:v>6.2500240513916943</c:v>
                </c:pt>
                <c:pt idx="3582">
                  <c:v>6.2517693806436885</c:v>
                </c:pt>
                <c:pt idx="3583">
                  <c:v>6.2535147098956818</c:v>
                </c:pt>
                <c:pt idx="3584">
                  <c:v>6.2552600391476769</c:v>
                </c:pt>
                <c:pt idx="3585">
                  <c:v>6.2570053683996711</c:v>
                </c:pt>
                <c:pt idx="3586">
                  <c:v>6.2587506976516654</c:v>
                </c:pt>
                <c:pt idx="3587">
                  <c:v>6.2604960269036596</c:v>
                </c:pt>
                <c:pt idx="3588">
                  <c:v>6.2622413561556538</c:v>
                </c:pt>
                <c:pt idx="3589">
                  <c:v>6.263986685407648</c:v>
                </c:pt>
                <c:pt idx="3590">
                  <c:v>6.2657320146596422</c:v>
                </c:pt>
                <c:pt idx="3591">
                  <c:v>6.2674773439116365</c:v>
                </c:pt>
                <c:pt idx="3592">
                  <c:v>6.2692226731636325</c:v>
                </c:pt>
                <c:pt idx="3593">
                  <c:v>6.2709680024156267</c:v>
                </c:pt>
                <c:pt idx="3594">
                  <c:v>6.2727133316676191</c:v>
                </c:pt>
                <c:pt idx="3595">
                  <c:v>6.2744586609196151</c:v>
                </c:pt>
                <c:pt idx="3596">
                  <c:v>6.2762039901716093</c:v>
                </c:pt>
                <c:pt idx="3597">
                  <c:v>6.2779493194236036</c:v>
                </c:pt>
                <c:pt idx="3598">
                  <c:v>6.2796946486755969</c:v>
                </c:pt>
                <c:pt idx="3599">
                  <c:v>6.281439977927592</c:v>
                </c:pt>
                <c:pt idx="3600">
                  <c:v>6.2831853071795862</c:v>
                </c:pt>
              </c:numCache>
            </c:numRef>
          </c:xVal>
          <c:yVal>
            <c:numRef>
              <c:f>'1.Properties'!$H$8:$H$3608</c:f>
              <c:numCache>
                <c:formatCode>General</c:formatCode>
                <c:ptCount val="3601"/>
                <c:pt idx="0">
                  <c:v>3.6499468900000002E-3</c:v>
                </c:pt>
                <c:pt idx="1">
                  <c:v>3.650058983239586E-3</c:v>
                </c:pt>
                <c:pt idx="2">
                  <c:v>3.6502495860210498E-3</c:v>
                </c:pt>
                <c:pt idx="3">
                  <c:v>3.6505186230405481E-3</c:v>
                </c:pt>
                <c:pt idx="4">
                  <c:v>3.6508660207360301E-3</c:v>
                </c:pt>
                <c:pt idx="5">
                  <c:v>3.6512917023368806E-3</c:v>
                </c:pt>
                <c:pt idx="6">
                  <c:v>3.6517955889811883E-3</c:v>
                </c:pt>
                <c:pt idx="7">
                  <c:v>3.6523776055713757E-3</c:v>
                </c:pt>
                <c:pt idx="8">
                  <c:v>3.6530376642844717E-3</c:v>
                </c:pt>
                <c:pt idx="9">
                  <c:v>3.6537756814399901E-3</c:v>
                </c:pt>
                <c:pt idx="10">
                  <c:v>3.6545915807657892E-3</c:v>
                </c:pt>
                <c:pt idx="11">
                  <c:v>3.6554852808331076E-3</c:v>
                </c:pt>
                <c:pt idx="12">
                  <c:v>3.6564566864049006E-3</c:v>
                </c:pt>
                <c:pt idx="13">
                  <c:v>3.6575057157430084E-3</c:v>
                </c:pt>
                <c:pt idx="14">
                  <c:v>3.6586322458734997E-3</c:v>
                </c:pt>
                <c:pt idx="15">
                  <c:v>3.6598362234654637E-3</c:v>
                </c:pt>
                <c:pt idx="16">
                  <c:v>3.6611175558143283E-3</c:v>
                </c:pt>
                <c:pt idx="17">
                  <c:v>3.6624760701905075E-3</c:v>
                </c:pt>
                <c:pt idx="18">
                  <c:v>3.663911773824728E-3</c:v>
                </c:pt>
                <c:pt idx="19">
                  <c:v>3.6654245486704958E-3</c:v>
                </c:pt>
                <c:pt idx="20">
                  <c:v>3.6670141707356905E-3</c:v>
                </c:pt>
                <c:pt idx="21">
                  <c:v>3.6686806890425814E-3</c:v>
                </c:pt>
                <c:pt idx="22">
                  <c:v>3.6704239869312307E-3</c:v>
                </c:pt>
                <c:pt idx="23">
                  <c:v>3.6722437843685171E-3</c:v>
                </c:pt>
                <c:pt idx="24">
                  <c:v>3.6741401820231247E-3</c:v>
                </c:pt>
                <c:pt idx="25">
                  <c:v>3.6761130511972734E-3</c:v>
                </c:pt>
                <c:pt idx="26">
                  <c:v>3.678162053582304E-3</c:v>
                </c:pt>
                <c:pt idx="27">
                  <c:v>3.6802872415866656E-3</c:v>
                </c:pt>
                <c:pt idx="28">
                  <c:v>3.6824885358041379E-3</c:v>
                </c:pt>
                <c:pt idx="29">
                  <c:v>3.684765913173169E-3</c:v>
                </c:pt>
                <c:pt idx="30">
                  <c:v>3.6871192002766234E-3</c:v>
                </c:pt>
                <c:pt idx="31">
                  <c:v>3.689547939235279E-3</c:v>
                </c:pt>
                <c:pt idx="32">
                  <c:v>3.6920522649978851E-3</c:v>
                </c:pt>
                <c:pt idx="33">
                  <c:v>3.6946321403794813E-3</c:v>
                </c:pt>
                <c:pt idx="34">
                  <c:v>3.697287306557843E-3</c:v>
                </c:pt>
                <c:pt idx="35">
                  <c:v>3.7000177216955912E-3</c:v>
                </c:pt>
                <c:pt idx="36">
                  <c:v>3.7028234718280689E-3</c:v>
                </c:pt>
                <c:pt idx="37">
                  <c:v>3.7057042931196702E-3</c:v>
                </c:pt>
                <c:pt idx="38">
                  <c:v>3.7086595747171719E-3</c:v>
                </c:pt>
                <c:pt idx="39">
                  <c:v>3.7116895448697702E-3</c:v>
                </c:pt>
                <c:pt idx="40">
                  <c:v>3.7147942127505203E-3</c:v>
                </c:pt>
                <c:pt idx="41">
                  <c:v>3.7179732399877361E-3</c:v>
                </c:pt>
                <c:pt idx="42">
                  <c:v>3.7212269009651773E-3</c:v>
                </c:pt>
                <c:pt idx="43">
                  <c:v>3.7245548702829223E-3</c:v>
                </c:pt>
                <c:pt idx="44">
                  <c:v>3.7279563989189753E-3</c:v>
                </c:pt>
                <c:pt idx="45">
                  <c:v>3.731431796299194E-3</c:v>
                </c:pt>
                <c:pt idx="46">
                  <c:v>3.7349810980500937E-3</c:v>
                </c:pt>
                <c:pt idx="47">
                  <c:v>3.738603908418266E-3</c:v>
                </c:pt>
                <c:pt idx="48">
                  <c:v>3.7423005931455909E-3</c:v>
                </c:pt>
                <c:pt idx="49">
                  <c:v>3.7460707713583728E-3</c:v>
                </c:pt>
                <c:pt idx="50">
                  <c:v>3.7499135367118647E-3</c:v>
                </c:pt>
                <c:pt idx="51">
                  <c:v>3.7538292989224564E-3</c:v>
                </c:pt>
                <c:pt idx="52">
                  <c:v>3.7578181288077319E-3</c:v>
                </c:pt>
                <c:pt idx="53">
                  <c:v>3.7618795621687435E-3</c:v>
                </c:pt>
                <c:pt idx="54">
                  <c:v>3.7660136308504872E-3</c:v>
                </c:pt>
                <c:pt idx="55">
                  <c:v>3.7702201236206111E-3</c:v>
                </c:pt>
                <c:pt idx="56">
                  <c:v>3.7744988832824145E-3</c:v>
                </c:pt>
                <c:pt idx="57">
                  <c:v>3.7788497720681975E-3</c:v>
                </c:pt>
                <c:pt idx="58">
                  <c:v>3.783273138319109E-3</c:v>
                </c:pt>
                <c:pt idx="59">
                  <c:v>3.7877685350765022E-3</c:v>
                </c:pt>
                <c:pt idx="60">
                  <c:v>3.7923347561954653E-3</c:v>
                </c:pt>
                <c:pt idx="61">
                  <c:v>3.7969724140475588E-3</c:v>
                </c:pt>
                <c:pt idx="62">
                  <c:v>3.801681646927606E-3</c:v>
                </c:pt>
                <c:pt idx="63">
                  <c:v>3.8064618624029764E-3</c:v>
                </c:pt>
                <c:pt idx="64">
                  <c:v>3.8113131460907534E-3</c:v>
                </c:pt>
                <c:pt idx="65">
                  <c:v>3.8162352528051079E-3</c:v>
                </c:pt>
                <c:pt idx="66">
                  <c:v>3.821228011793157E-3</c:v>
                </c:pt>
                <c:pt idx="67">
                  <c:v>3.8262912785434863E-3</c:v>
                </c:pt>
                <c:pt idx="68">
                  <c:v>3.8314248669078376E-3</c:v>
                </c:pt>
                <c:pt idx="69">
                  <c:v>3.8366286133869744E-3</c:v>
                </c:pt>
                <c:pt idx="70">
                  <c:v>3.8419023453372544E-3</c:v>
                </c:pt>
                <c:pt idx="71">
                  <c:v>3.8472466025765927E-3</c:v>
                </c:pt>
                <c:pt idx="72">
                  <c:v>3.8526608075176954E-3</c:v>
                </c:pt>
                <c:pt idx="73">
                  <c:v>3.8581433426548716E-3</c:v>
                </c:pt>
                <c:pt idx="74">
                  <c:v>3.863695094428314E-3</c:v>
                </c:pt>
                <c:pt idx="75">
                  <c:v>3.869316300082656E-3</c:v>
                </c:pt>
                <c:pt idx="76">
                  <c:v>3.8750061919919634E-3</c:v>
                </c:pt>
                <c:pt idx="77">
                  <c:v>3.8807649316443902E-3</c:v>
                </c:pt>
                <c:pt idx="78">
                  <c:v>3.8865922299197038E-3</c:v>
                </c:pt>
                <c:pt idx="79">
                  <c:v>3.8924878991914132E-3</c:v>
                </c:pt>
                <c:pt idx="80">
                  <c:v>3.8984517884163871E-3</c:v>
                </c:pt>
                <c:pt idx="81">
                  <c:v>3.9044836903787076E-3</c:v>
                </c:pt>
                <c:pt idx="82">
                  <c:v>3.9105834288480166E-3</c:v>
                </c:pt>
                <c:pt idx="83">
                  <c:v>3.9167508163754413E-3</c:v>
                </c:pt>
                <c:pt idx="84">
                  <c:v>3.9229865955830402E-3</c:v>
                </c:pt>
                <c:pt idx="85">
                  <c:v>3.9292900502334617E-3</c:v>
                </c:pt>
                <c:pt idx="86">
                  <c:v>3.9356591113761082E-3</c:v>
                </c:pt>
                <c:pt idx="87">
                  <c:v>3.9420949715481442E-3</c:v>
                </c:pt>
                <c:pt idx="88">
                  <c:v>3.9485979801736114E-3</c:v>
                </c:pt>
                <c:pt idx="89">
                  <c:v>3.9551671796452291E-3</c:v>
                </c:pt>
                <c:pt idx="90">
                  <c:v>3.9618028180250734E-3</c:v>
                </c:pt>
                <c:pt idx="91">
                  <c:v>3.9685045608948699E-3</c:v>
                </c:pt>
                <c:pt idx="92">
                  <c:v>3.9752722051697277E-3</c:v>
                </c:pt>
                <c:pt idx="93">
                  <c:v>3.9821055952744154E-3</c:v>
                </c:pt>
                <c:pt idx="94">
                  <c:v>3.9890045040368981E-3</c:v>
                </c:pt>
                <c:pt idx="95">
                  <c:v>3.9959687442718619E-3</c:v>
                </c:pt>
                <c:pt idx="96">
                  <c:v>4.0029992644937508E-3</c:v>
                </c:pt>
                <c:pt idx="97">
                  <c:v>4.0100952092364675E-3</c:v>
                </c:pt>
                <c:pt idx="98">
                  <c:v>4.0172540622412656E-3</c:v>
                </c:pt>
                <c:pt idx="99">
                  <c:v>4.0244773234085181E-3</c:v>
                </c:pt>
                <c:pt idx="100">
                  <c:v>4.0317654578080663E-3</c:v>
                </c:pt>
                <c:pt idx="101">
                  <c:v>4.0391173198165327E-3</c:v>
                </c:pt>
                <c:pt idx="102">
                  <c:v>4.0465332462528824E-3</c:v>
                </c:pt>
                <c:pt idx="103">
                  <c:v>4.0540128600707812E-3</c:v>
                </c:pt>
                <c:pt idx="104">
                  <c:v>4.0615559450646052E-3</c:v>
                </c:pt>
                <c:pt idx="105">
                  <c:v>4.0691623433214558E-3</c:v>
                </c:pt>
                <c:pt idx="106">
                  <c:v>4.0768318100164666E-3</c:v>
                </c:pt>
                <c:pt idx="107">
                  <c:v>4.0845641496277925E-3</c:v>
                </c:pt>
                <c:pt idx="108">
                  <c:v>4.0923591496683032E-3</c:v>
                </c:pt>
                <c:pt idx="109">
                  <c:v>4.1002165961554508E-3</c:v>
                </c:pt>
                <c:pt idx="110">
                  <c:v>4.1081362787220525E-3</c:v>
                </c:pt>
                <c:pt idx="111">
                  <c:v>4.1161179829501135E-3</c:v>
                </c:pt>
                <c:pt idx="112">
                  <c:v>4.1241614950175108E-3</c:v>
                </c:pt>
                <c:pt idx="113">
                  <c:v>4.1322665999905901E-3</c:v>
                </c:pt>
                <c:pt idx="114">
                  <c:v>4.140433081950206E-3</c:v>
                </c:pt>
                <c:pt idx="115">
                  <c:v>4.1486607243698759E-3</c:v>
                </c:pt>
                <c:pt idx="116">
                  <c:v>4.1569508504784407E-3</c:v>
                </c:pt>
                <c:pt idx="117">
                  <c:v>4.165302365909322E-3</c:v>
                </c:pt>
                <c:pt idx="118">
                  <c:v>4.1737119522112925E-3</c:v>
                </c:pt>
                <c:pt idx="119">
                  <c:v>4.1821816673857266E-3</c:v>
                </c:pt>
                <c:pt idx="120">
                  <c:v>4.1907121859586479E-3</c:v>
                </c:pt>
                <c:pt idx="121">
                  <c:v>4.199302030678702E-3</c:v>
                </c:pt>
                <c:pt idx="122">
                  <c:v>4.2079517018067999E-3</c:v>
                </c:pt>
                <c:pt idx="123">
                  <c:v>4.2166607497887976E-3</c:v>
                </c:pt>
                <c:pt idx="124">
                  <c:v>4.2254289391791449E-3</c:v>
                </c:pt>
                <c:pt idx="125">
                  <c:v>4.2342561123399659E-3</c:v>
                </c:pt>
                <c:pt idx="126">
                  <c:v>4.2431419968756642E-3</c:v>
                </c:pt>
                <c:pt idx="127">
                  <c:v>4.2520863862464155E-3</c:v>
                </c:pt>
                <c:pt idx="128">
                  <c:v>4.2610890518878959E-3</c:v>
                </c:pt>
                <c:pt idx="129">
                  <c:v>4.2701497635398277E-3</c:v>
                </c:pt>
                <c:pt idx="130">
                  <c:v>4.279268296608481E-3</c:v>
                </c:pt>
                <c:pt idx="131">
                  <c:v>4.2884444211143298E-3</c:v>
                </c:pt>
                <c:pt idx="132">
                  <c:v>4.2976779083669986E-3</c:v>
                </c:pt>
                <c:pt idx="133">
                  <c:v>4.3069685291031567E-3</c:v>
                </c:pt>
                <c:pt idx="134">
                  <c:v>4.3163160526786416E-3</c:v>
                </c:pt>
                <c:pt idx="135">
                  <c:v>4.3257202480596812E-3</c:v>
                </c:pt>
                <c:pt idx="136">
                  <c:v>4.335180883863002E-3</c:v>
                </c:pt>
                <c:pt idx="137">
                  <c:v>4.3446977277943237E-3</c:v>
                </c:pt>
                <c:pt idx="138">
                  <c:v>4.3542705470093271E-3</c:v>
                </c:pt>
                <c:pt idx="139">
                  <c:v>4.3638991082683553E-3</c:v>
                </c:pt>
                <c:pt idx="140">
                  <c:v>4.3735831773863655E-3</c:v>
                </c:pt>
                <c:pt idx="141">
                  <c:v>4.383324591094165E-3</c:v>
                </c:pt>
                <c:pt idx="142">
                  <c:v>4.3931219352058622E-3</c:v>
                </c:pt>
                <c:pt idx="143">
                  <c:v>4.4029708119495241E-3</c:v>
                </c:pt>
                <c:pt idx="144">
                  <c:v>4.4128740414577962E-3</c:v>
                </c:pt>
                <c:pt idx="145">
                  <c:v>4.4228325897890863E-3</c:v>
                </c:pt>
                <c:pt idx="146">
                  <c:v>4.4328445369159874E-3</c:v>
                </c:pt>
                <c:pt idx="147">
                  <c:v>4.442910610638136E-3</c:v>
                </c:pt>
                <c:pt idx="148">
                  <c:v>4.4530302696078224E-3</c:v>
                </c:pt>
                <c:pt idx="149">
                  <c:v>4.4632032588760159E-3</c:v>
                </c:pt>
                <c:pt idx="150">
                  <c:v>4.4734294276688701E-3</c:v>
                </c:pt>
                <c:pt idx="151">
                  <c:v>4.483708473029222E-3</c:v>
                </c:pt>
                <c:pt idx="152">
                  <c:v>4.4940401796280741E-3</c:v>
                </c:pt>
                <c:pt idx="153">
                  <c:v>4.5044243034484304E-3</c:v>
                </c:pt>
                <c:pt idx="154">
                  <c:v>4.5148605989606882E-3</c:v>
                </c:pt>
                <c:pt idx="155">
                  <c:v>4.5253488279576428E-3</c:v>
                </c:pt>
                <c:pt idx="156">
                  <c:v>4.5358887461530092E-3</c:v>
                </c:pt>
                <c:pt idx="157">
                  <c:v>4.5464801112715843E-3</c:v>
                </c:pt>
                <c:pt idx="158">
                  <c:v>4.5571226800412163E-3</c:v>
                </c:pt>
                <c:pt idx="159">
                  <c:v>4.5678162085136644E-3</c:v>
                </c:pt>
                <c:pt idx="160">
                  <c:v>4.5785604527865276E-3</c:v>
                </c:pt>
                <c:pt idx="161">
                  <c:v>4.5893551681151518E-3</c:v>
                </c:pt>
                <c:pt idx="162">
                  <c:v>4.6002001096001888E-3</c:v>
                </c:pt>
                <c:pt idx="163">
                  <c:v>4.6110950317120305E-3</c:v>
                </c:pt>
                <c:pt idx="164">
                  <c:v>4.6220396884397944E-3</c:v>
                </c:pt>
                <c:pt idx="165">
                  <c:v>4.6330338337783163E-3</c:v>
                </c:pt>
                <c:pt idx="166">
                  <c:v>4.6440772210578083E-3</c:v>
                </c:pt>
                <c:pt idx="167">
                  <c:v>4.6551696033506488E-3</c:v>
                </c:pt>
                <c:pt idx="168">
                  <c:v>4.6663107334198222E-3</c:v>
                </c:pt>
                <c:pt idx="169">
                  <c:v>4.6775003635470217E-3</c:v>
                </c:pt>
                <c:pt idx="170">
                  <c:v>4.6887382456930922E-3</c:v>
                </c:pt>
                <c:pt idx="171">
                  <c:v>4.7000241312631025E-3</c:v>
                </c:pt>
                <c:pt idx="172">
                  <c:v>4.7113577715074267E-3</c:v>
                </c:pt>
                <c:pt idx="173">
                  <c:v>4.7227389175274704E-3</c:v>
                </c:pt>
                <c:pt idx="174">
                  <c:v>4.7341673196797905E-3</c:v>
                </c:pt>
                <c:pt idx="175">
                  <c:v>4.7456427282636512E-3</c:v>
                </c:pt>
                <c:pt idx="176">
                  <c:v>4.7571648935267512E-3</c:v>
                </c:pt>
                <c:pt idx="177">
                  <c:v>4.7687335649432916E-3</c:v>
                </c:pt>
                <c:pt idx="178">
                  <c:v>4.7803484918786171E-3</c:v>
                </c:pt>
                <c:pt idx="179">
                  <c:v>4.7920094235662895E-3</c:v>
                </c:pt>
                <c:pt idx="180">
                  <c:v>4.8037161088502565E-3</c:v>
                </c:pt>
                <c:pt idx="181">
                  <c:v>4.8154682962478846E-3</c:v>
                </c:pt>
                <c:pt idx="182">
                  <c:v>4.827265733881197E-3</c:v>
                </c:pt>
                <c:pt idx="183">
                  <c:v>4.8391081697920042E-3</c:v>
                </c:pt>
                <c:pt idx="184">
                  <c:v>4.8509953516955298E-3</c:v>
                </c:pt>
                <c:pt idx="185">
                  <c:v>4.8629270273069973E-3</c:v>
                </c:pt>
                <c:pt idx="186">
                  <c:v>4.874902943877533E-3</c:v>
                </c:pt>
                <c:pt idx="187">
                  <c:v>4.8869228482801147E-3</c:v>
                </c:pt>
                <c:pt idx="188">
                  <c:v>4.8989864875538724E-3</c:v>
                </c:pt>
                <c:pt idx="189">
                  <c:v>4.9110936083311442E-3</c:v>
                </c:pt>
                <c:pt idx="190">
                  <c:v>4.9232439569635118E-3</c:v>
                </c:pt>
                <c:pt idx="191">
                  <c:v>4.9354372795275391E-3</c:v>
                </c:pt>
                <c:pt idx="192">
                  <c:v>4.9476733221227101E-3</c:v>
                </c:pt>
                <c:pt idx="193">
                  <c:v>4.9599518306995376E-3</c:v>
                </c:pt>
                <c:pt idx="194">
                  <c:v>4.9722725508991377E-3</c:v>
                </c:pt>
                <c:pt idx="195">
                  <c:v>4.9846352282480362E-3</c:v>
                </c:pt>
                <c:pt idx="196">
                  <c:v>4.9970396080836815E-3</c:v>
                </c:pt>
                <c:pt idx="197">
                  <c:v>5.0094854356060115E-3</c:v>
                </c:pt>
                <c:pt idx="198">
                  <c:v>5.0219724557915143E-3</c:v>
                </c:pt>
                <c:pt idx="199">
                  <c:v>5.0345004133702997E-3</c:v>
                </c:pt>
                <c:pt idx="200">
                  <c:v>5.0470690531756171E-3</c:v>
                </c:pt>
                <c:pt idx="201">
                  <c:v>5.0596781198516344E-3</c:v>
                </c:pt>
                <c:pt idx="202">
                  <c:v>5.0723308257377966E-3</c:v>
                </c:pt>
                <c:pt idx="203">
                  <c:v>5.0850249388770131E-3</c:v>
                </c:pt>
                <c:pt idx="204">
                  <c:v>5.0977532455816748E-3</c:v>
                </c:pt>
                <c:pt idx="205">
                  <c:v>5.1105205939112452E-3</c:v>
                </c:pt>
                <c:pt idx="206">
                  <c:v>5.1233287421528764E-3</c:v>
                </c:pt>
                <c:pt idx="207">
                  <c:v>5.1361784355183964E-3</c:v>
                </c:pt>
                <c:pt idx="208">
                  <c:v>5.149068478107378E-3</c:v>
                </c:pt>
                <c:pt idx="209">
                  <c:v>5.1619911349781245E-3</c:v>
                </c:pt>
                <c:pt idx="210">
                  <c:v>5.174951697791216E-3</c:v>
                </c:pt>
                <c:pt idx="211">
                  <c:v>5.1879555769985724E-3</c:v>
                </c:pt>
                <c:pt idx="212">
                  <c:v>5.200998078689293E-3</c:v>
                </c:pt>
                <c:pt idx="213">
                  <c:v>5.2140719669679239E-3</c:v>
                </c:pt>
                <c:pt idx="214">
                  <c:v>5.2271821309979221E-3</c:v>
                </c:pt>
                <c:pt idx="215">
                  <c:v>5.2403351140489825E-3</c:v>
                </c:pt>
                <c:pt idx="216">
                  <c:v>5.2535256391225129E-3</c:v>
                </c:pt>
                <c:pt idx="217">
                  <c:v>5.2667464100536335E-3</c:v>
                </c:pt>
                <c:pt idx="218">
                  <c:v>5.2800023394225836E-3</c:v>
                </c:pt>
                <c:pt idx="219">
                  <c:v>5.2933002433931259E-3</c:v>
                </c:pt>
                <c:pt idx="220">
                  <c:v>5.3066346804189245E-3</c:v>
                </c:pt>
                <c:pt idx="221">
                  <c:v>5.3199981930130945E-3</c:v>
                </c:pt>
                <c:pt idx="222">
                  <c:v>5.3333958093558448E-3</c:v>
                </c:pt>
                <c:pt idx="223">
                  <c:v>5.3468345242649075E-3</c:v>
                </c:pt>
                <c:pt idx="224">
                  <c:v>5.3603087684530046E-3</c:v>
                </c:pt>
                <c:pt idx="225">
                  <c:v>5.373810913073037E-3</c:v>
                </c:pt>
                <c:pt idx="226">
                  <c:v>5.3873461117371329E-3</c:v>
                </c:pt>
                <c:pt idx="227">
                  <c:v>5.4009215312878708E-3</c:v>
                </c:pt>
                <c:pt idx="228">
                  <c:v>5.4145314766107129E-3</c:v>
                </c:pt>
                <c:pt idx="229">
                  <c:v>5.4281681479968168E-3</c:v>
                </c:pt>
                <c:pt idx="230">
                  <c:v>5.4418368248282745E-3</c:v>
                </c:pt>
                <c:pt idx="231">
                  <c:v>5.4555448447750335E-3</c:v>
                </c:pt>
                <c:pt idx="232">
                  <c:v>5.4692835835846885E-3</c:v>
                </c:pt>
                <c:pt idx="233">
                  <c:v>5.4830544462242357E-3</c:v>
                </c:pt>
                <c:pt idx="234">
                  <c:v>5.496854829500044E-3</c:v>
                </c:pt>
                <c:pt idx="235">
                  <c:v>5.5106843306628869E-3</c:v>
                </c:pt>
                <c:pt idx="236">
                  <c:v>5.5245518587595738E-3</c:v>
                </c:pt>
                <c:pt idx="237">
                  <c:v>5.5384518618290688E-3</c:v>
                </c:pt>
                <c:pt idx="238">
                  <c:v>5.552376189466521E-3</c:v>
                </c:pt>
                <c:pt idx="239">
                  <c:v>5.5663302962244135E-3</c:v>
                </c:pt>
                <c:pt idx="240">
                  <c:v>5.580321625420377E-3</c:v>
                </c:pt>
                <c:pt idx="241">
                  <c:v>5.5943442635913894E-3</c:v>
                </c:pt>
                <c:pt idx="242">
                  <c:v>5.6083898211169913E-3</c:v>
                </c:pt>
                <c:pt idx="243">
                  <c:v>5.6224640147007707E-3</c:v>
                </c:pt>
                <c:pt idx="244">
                  <c:v>5.6365746841872625E-3</c:v>
                </c:pt>
                <c:pt idx="245">
                  <c:v>5.6507156298236227E-3</c:v>
                </c:pt>
                <c:pt idx="246">
                  <c:v>5.6648783269890738E-3</c:v>
                </c:pt>
                <c:pt idx="247">
                  <c:v>5.6790685899218134E-3</c:v>
                </c:pt>
                <c:pt idx="248">
                  <c:v>5.6932944729130184E-3</c:v>
                </c:pt>
                <c:pt idx="249">
                  <c:v>5.7075496318302081E-3</c:v>
                </c:pt>
                <c:pt idx="250">
                  <c:v>5.7218253808108263E-3</c:v>
                </c:pt>
                <c:pt idx="251">
                  <c:v>5.7361276529932677E-3</c:v>
                </c:pt>
                <c:pt idx="252">
                  <c:v>5.7504646746076174E-3</c:v>
                </c:pt>
                <c:pt idx="253">
                  <c:v>5.7648299778427234E-3</c:v>
                </c:pt>
                <c:pt idx="254">
                  <c:v>5.7792147115205174E-3</c:v>
                </c:pt>
                <c:pt idx="255">
                  <c:v>5.7936249307792963E-3</c:v>
                </c:pt>
                <c:pt idx="256">
                  <c:v>5.8080690295481642E-3</c:v>
                </c:pt>
                <c:pt idx="257">
                  <c:v>5.8225372279360312E-3</c:v>
                </c:pt>
                <c:pt idx="258">
                  <c:v>5.8370311638859919E-3</c:v>
                </c:pt>
                <c:pt idx="259">
                  <c:v>5.851547929155953E-3</c:v>
                </c:pt>
                <c:pt idx="260">
                  <c:v>5.8660870977632548E-3</c:v>
                </c:pt>
                <c:pt idx="261">
                  <c:v>5.8806588105795848E-3</c:v>
                </c:pt>
                <c:pt idx="262">
                  <c:v>5.8952568109287371E-3</c:v>
                </c:pt>
                <c:pt idx="263">
                  <c:v>5.9098719137300297E-3</c:v>
                </c:pt>
                <c:pt idx="264">
                  <c:v>5.9245103279494697E-3</c:v>
                </c:pt>
                <c:pt idx="265">
                  <c:v>5.9391805041186614E-3</c:v>
                </c:pt>
                <c:pt idx="266">
                  <c:v>5.9538757951880655E-3</c:v>
                </c:pt>
                <c:pt idx="267">
                  <c:v>5.9685867741341063E-3</c:v>
                </c:pt>
                <c:pt idx="268">
                  <c:v>5.9833199267301674E-3</c:v>
                </c:pt>
                <c:pt idx="269">
                  <c:v>5.9980841251417588E-3</c:v>
                </c:pt>
                <c:pt idx="270">
                  <c:v>6.0128724185714993E-3</c:v>
                </c:pt>
                <c:pt idx="271">
                  <c:v>6.0276752568958307E-3</c:v>
                </c:pt>
                <c:pt idx="272">
                  <c:v>6.0424992153841443E-3</c:v>
                </c:pt>
                <c:pt idx="273">
                  <c:v>6.0573533806829684E-3</c:v>
                </c:pt>
                <c:pt idx="274">
                  <c:v>6.0722306601993297E-3</c:v>
                </c:pt>
                <c:pt idx="275">
                  <c:v>6.0871213502397921E-3</c:v>
                </c:pt>
                <c:pt idx="276">
                  <c:v>6.1020321393990655E-3</c:v>
                </c:pt>
                <c:pt idx="277">
                  <c:v>6.1169722810601327E-3</c:v>
                </c:pt>
                <c:pt idx="278">
                  <c:v>6.1319345640563983E-3</c:v>
                </c:pt>
                <c:pt idx="279">
                  <c:v>6.1469091271768731E-3</c:v>
                </c:pt>
                <c:pt idx="280">
                  <c:v>6.1619027766445008E-3</c:v>
                </c:pt>
                <c:pt idx="281">
                  <c:v>6.1769249260298044E-3</c:v>
                </c:pt>
                <c:pt idx="282">
                  <c:v>6.1919646856912012E-3</c:v>
                </c:pt>
                <c:pt idx="283">
                  <c:v>6.2070239212594852E-3</c:v>
                </c:pt>
                <c:pt idx="284">
                  <c:v>6.2220994351202272E-3</c:v>
                </c:pt>
                <c:pt idx="285">
                  <c:v>6.2371907813231885E-3</c:v>
                </c:pt>
                <c:pt idx="286">
                  <c:v>6.2523092865564263E-3</c:v>
                </c:pt>
                <c:pt idx="287">
                  <c:v>6.2674480206604977E-3</c:v>
                </c:pt>
                <c:pt idx="288">
                  <c:v>6.2825968097097772E-3</c:v>
                </c:pt>
                <c:pt idx="289">
                  <c:v>6.2977625887911488E-3</c:v>
                </c:pt>
                <c:pt idx="290">
                  <c:v>6.3129547760186885E-3</c:v>
                </c:pt>
                <c:pt idx="291">
                  <c:v>6.32816602435459E-3</c:v>
                </c:pt>
                <c:pt idx="292">
                  <c:v>6.3433859182282799E-3</c:v>
                </c:pt>
                <c:pt idx="293">
                  <c:v>6.3586216813312103E-3</c:v>
                </c:pt>
                <c:pt idx="294">
                  <c:v>6.3738831751379305E-3</c:v>
                </c:pt>
                <c:pt idx="295">
                  <c:v>6.3891627342466352E-3</c:v>
                </c:pt>
                <c:pt idx="296">
                  <c:v>6.4044498328783197E-3</c:v>
                </c:pt>
                <c:pt idx="297">
                  <c:v>6.4197517753739738E-3</c:v>
                </c:pt>
                <c:pt idx="298">
                  <c:v>6.4350786353916094E-3</c:v>
                </c:pt>
                <c:pt idx="299">
                  <c:v>6.4504226094465903E-3</c:v>
                </c:pt>
                <c:pt idx="300">
                  <c:v>6.4657730277985345E-3</c:v>
                </c:pt>
                <c:pt idx="301">
                  <c:v>6.4811373016737117E-3</c:v>
                </c:pt>
                <c:pt idx="302">
                  <c:v>6.4965256638061354E-3</c:v>
                </c:pt>
                <c:pt idx="303">
                  <c:v>6.5119301987437558E-3</c:v>
                </c:pt>
                <c:pt idx="304">
                  <c:v>6.5273400878058177E-3</c:v>
                </c:pt>
                <c:pt idx="305">
                  <c:v>6.5427628533666661E-3</c:v>
                </c:pt>
                <c:pt idx="306">
                  <c:v>6.5582088808535683E-3</c:v>
                </c:pt>
                <c:pt idx="307">
                  <c:v>6.5736701460212526E-3</c:v>
                </c:pt>
                <c:pt idx="308">
                  <c:v>6.5891356827841056E-3</c:v>
                </c:pt>
                <c:pt idx="309">
                  <c:v>6.60461312412598E-3</c:v>
                </c:pt>
                <c:pt idx="310">
                  <c:v>6.6201070446221264E-3</c:v>
                </c:pt>
                <c:pt idx="311">
                  <c:v>6.6356179526579993E-3</c:v>
                </c:pt>
                <c:pt idx="312">
                  <c:v>6.6511442814174791E-3</c:v>
                </c:pt>
                <c:pt idx="313">
                  <c:v>6.6666734875137071E-3</c:v>
                </c:pt>
                <c:pt idx="314">
                  <c:v>6.6822144857803705E-3</c:v>
                </c:pt>
                <c:pt idx="315">
                  <c:v>6.6977762343552981E-3</c:v>
                </c:pt>
                <c:pt idx="316">
                  <c:v>6.7133512700506765E-3</c:v>
                </c:pt>
                <c:pt idx="317">
                  <c:v>6.7289280989721728E-3</c:v>
                </c:pt>
                <c:pt idx="318">
                  <c:v>6.7445147867440736E-3</c:v>
                </c:pt>
                <c:pt idx="319">
                  <c:v>6.7601220307405138E-3</c:v>
                </c:pt>
                <c:pt idx="320">
                  <c:v>6.7757415233198363E-3</c:v>
                </c:pt>
                <c:pt idx="321">
                  <c:v>6.7913618126829159E-3</c:v>
                </c:pt>
                <c:pt idx="322">
                  <c:v>6.8069909019729917E-3</c:v>
                </c:pt>
                <c:pt idx="323">
                  <c:v>6.8226397934866073E-3</c:v>
                </c:pt>
                <c:pt idx="324">
                  <c:v>6.8383000172574345E-3</c:v>
                </c:pt>
                <c:pt idx="325">
                  <c:v>6.8539599975040088E-3</c:v>
                </c:pt>
                <c:pt idx="326">
                  <c:v>6.8696278268999527E-3</c:v>
                </c:pt>
                <c:pt idx="327">
                  <c:v>6.8853146613116929E-3</c:v>
                </c:pt>
                <c:pt idx="328">
                  <c:v>6.9010119260362098E-3</c:v>
                </c:pt>
                <c:pt idx="329">
                  <c:v>6.9167079077764454E-3</c:v>
                </c:pt>
                <c:pt idx="330">
                  <c:v>6.9324108025790648E-3</c:v>
                </c:pt>
                <c:pt idx="331">
                  <c:v>6.94813190845559E-3</c:v>
                </c:pt>
                <c:pt idx="332">
                  <c:v>6.9638625498681644E-3</c:v>
                </c:pt>
                <c:pt idx="333">
                  <c:v>6.979590876433843E-3</c:v>
                </c:pt>
                <c:pt idx="334">
                  <c:v>6.9953251882427011E-3</c:v>
                </c:pt>
                <c:pt idx="335">
                  <c:v>7.0110704747372689E-3</c:v>
                </c:pt>
                <c:pt idx="336">
                  <c:v>7.0268273039307159E-3</c:v>
                </c:pt>
                <c:pt idx="337">
                  <c:v>7.0425940154772949E-3</c:v>
                </c:pt>
                <c:pt idx="338">
                  <c:v>7.0583570783999848E-3</c:v>
                </c:pt>
                <c:pt idx="339">
                  <c:v>7.0741261598203245E-3</c:v>
                </c:pt>
                <c:pt idx="340">
                  <c:v>7.0899109628244136E-3</c:v>
                </c:pt>
                <c:pt idx="341">
                  <c:v>7.1057034564003408E-3</c:v>
                </c:pt>
                <c:pt idx="342">
                  <c:v>7.121491269896571E-3</c:v>
                </c:pt>
                <c:pt idx="343">
                  <c:v>7.1372831339523097E-3</c:v>
                </c:pt>
                <c:pt idx="344">
                  <c:v>7.1530906115663323E-3</c:v>
                </c:pt>
                <c:pt idx="345">
                  <c:v>7.1689047745493121E-3</c:v>
                </c:pt>
                <c:pt idx="346">
                  <c:v>7.1847133202426082E-3</c:v>
                </c:pt>
                <c:pt idx="347">
                  <c:v>7.2005248954788948E-3</c:v>
                </c:pt>
                <c:pt idx="348">
                  <c:v>7.2163513709639282E-3</c:v>
                </c:pt>
                <c:pt idx="349">
                  <c:v>7.2321836593521654E-3</c:v>
                </c:pt>
                <c:pt idx="350">
                  <c:v>7.2480093469457453E-3</c:v>
                </c:pt>
                <c:pt idx="351">
                  <c:v>7.2638371605393314E-3</c:v>
                </c:pt>
                <c:pt idx="352">
                  <c:v>7.2796791141698054E-3</c:v>
                </c:pt>
                <c:pt idx="353">
                  <c:v>7.2955260239539587E-3</c:v>
                </c:pt>
                <c:pt idx="354">
                  <c:v>7.3113653498395525E-3</c:v>
                </c:pt>
                <c:pt idx="355">
                  <c:v>7.3272059147750281E-3</c:v>
                </c:pt>
                <c:pt idx="356">
                  <c:v>7.3430598635061241E-3</c:v>
                </c:pt>
                <c:pt idx="357">
                  <c:v>7.3589179197601938E-3</c:v>
                </c:pt>
                <c:pt idx="358">
                  <c:v>7.374767417875459E-3</c:v>
                </c:pt>
                <c:pt idx="359">
                  <c:v>7.3906172760603199E-3</c:v>
                </c:pt>
                <c:pt idx="360">
                  <c:v>7.4064728699537808E-3</c:v>
                </c:pt>
                <c:pt idx="361">
                  <c:v>7.4223348244866387E-3</c:v>
                </c:pt>
                <c:pt idx="362">
                  <c:v>7.4382013956212001E-3</c:v>
                </c:pt>
                <c:pt idx="363">
                  <c:v>7.4540581429073504E-3</c:v>
                </c:pt>
                <c:pt idx="364">
                  <c:v>7.4699154292493831E-3</c:v>
                </c:pt>
                <c:pt idx="365">
                  <c:v>7.485783646921409E-3</c:v>
                </c:pt>
                <c:pt idx="366">
                  <c:v>7.5016542433881499E-3</c:v>
                </c:pt>
                <c:pt idx="367">
                  <c:v>7.5175282076377845E-3</c:v>
                </c:pt>
                <c:pt idx="368">
                  <c:v>7.5334032176557182E-3</c:v>
                </c:pt>
                <c:pt idx="369">
                  <c:v>7.5492791540833779E-3</c:v>
                </c:pt>
                <c:pt idx="370">
                  <c:v>7.5651552594648347E-3</c:v>
                </c:pt>
                <c:pt idx="371">
                  <c:v>7.5810135225051018E-3</c:v>
                </c:pt>
                <c:pt idx="372">
                  <c:v>7.5968692846304304E-3</c:v>
                </c:pt>
                <c:pt idx="373">
                  <c:v>7.6127370751223116E-3</c:v>
                </c:pt>
                <c:pt idx="374">
                  <c:v>7.6286048654079334E-3</c:v>
                </c:pt>
                <c:pt idx="375">
                  <c:v>7.6444598728504414E-3</c:v>
                </c:pt>
                <c:pt idx="376">
                  <c:v>7.6603111536665894E-3</c:v>
                </c:pt>
                <c:pt idx="377">
                  <c:v>7.6761722887208296E-3</c:v>
                </c:pt>
                <c:pt idx="378">
                  <c:v>7.6920331315322174E-3</c:v>
                </c:pt>
                <c:pt idx="379">
                  <c:v>7.7078804822016652E-3</c:v>
                </c:pt>
                <c:pt idx="380">
                  <c:v>7.7237236546279595E-3</c:v>
                </c:pt>
                <c:pt idx="381">
                  <c:v>7.7395756670653763E-3</c:v>
                </c:pt>
                <c:pt idx="382">
                  <c:v>7.7554266563720558E-3</c:v>
                </c:pt>
                <c:pt idx="383">
                  <c:v>7.7712632236893227E-3</c:v>
                </c:pt>
                <c:pt idx="384">
                  <c:v>7.787094844816639E-3</c:v>
                </c:pt>
                <c:pt idx="385">
                  <c:v>7.8029272589920321E-3</c:v>
                </c:pt>
                <c:pt idx="386">
                  <c:v>7.8187611410509179E-3</c:v>
                </c:pt>
                <c:pt idx="387">
                  <c:v>7.8345946723851478E-3</c:v>
                </c:pt>
                <c:pt idx="388">
                  <c:v>7.8504125844945406E-3</c:v>
                </c:pt>
                <c:pt idx="389">
                  <c:v>7.8662258777275861E-3</c:v>
                </c:pt>
                <c:pt idx="390">
                  <c:v>7.8820455746520766E-3</c:v>
                </c:pt>
                <c:pt idx="391">
                  <c:v>7.8978626489825832E-3</c:v>
                </c:pt>
                <c:pt idx="392">
                  <c:v>7.9136631937729088E-3</c:v>
                </c:pt>
                <c:pt idx="393">
                  <c:v>7.9294571155034375E-3</c:v>
                </c:pt>
                <c:pt idx="394">
                  <c:v>7.9452575045581026E-3</c:v>
                </c:pt>
                <c:pt idx="395">
                  <c:v>7.9610543474681137E-3</c:v>
                </c:pt>
                <c:pt idx="396">
                  <c:v>7.9768338554941955E-3</c:v>
                </c:pt>
                <c:pt idx="397">
                  <c:v>7.9926058108364586E-3</c:v>
                </c:pt>
                <c:pt idx="398">
                  <c:v>8.0083836110014031E-3</c:v>
                </c:pt>
                <c:pt idx="399">
                  <c:v>8.0241570921933021E-3</c:v>
                </c:pt>
                <c:pt idx="400">
                  <c:v>8.0399123800844411E-3</c:v>
                </c:pt>
                <c:pt idx="401">
                  <c:v>8.0556593177058614E-3</c:v>
                </c:pt>
                <c:pt idx="402">
                  <c:v>8.0714038596933439E-3</c:v>
                </c:pt>
                <c:pt idx="403">
                  <c:v>8.0871467172823081E-3</c:v>
                </c:pt>
                <c:pt idx="404">
                  <c:v>8.1028838700107197E-3</c:v>
                </c:pt>
                <c:pt idx="405">
                  <c:v>8.11860575437073E-3</c:v>
                </c:pt>
                <c:pt idx="406">
                  <c:v>8.1343230210346867E-3</c:v>
                </c:pt>
                <c:pt idx="407">
                  <c:v>8.1500410163519912E-3</c:v>
                </c:pt>
                <c:pt idx="408">
                  <c:v>8.1657459286134885E-3</c:v>
                </c:pt>
                <c:pt idx="409">
                  <c:v>8.1814353534762855E-3</c:v>
                </c:pt>
                <c:pt idx="410">
                  <c:v>8.1971228853495483E-3</c:v>
                </c:pt>
                <c:pt idx="411">
                  <c:v>8.2128047516385177E-3</c:v>
                </c:pt>
                <c:pt idx="412">
                  <c:v>8.2284693653145655E-3</c:v>
                </c:pt>
                <c:pt idx="413">
                  <c:v>8.2441235114642276E-3</c:v>
                </c:pt>
                <c:pt idx="414">
                  <c:v>8.2597720820928311E-3</c:v>
                </c:pt>
                <c:pt idx="415">
                  <c:v>8.2754093296372802E-3</c:v>
                </c:pt>
                <c:pt idx="416">
                  <c:v>8.291045214023459E-3</c:v>
                </c:pt>
                <c:pt idx="417">
                  <c:v>8.3066723403028338E-3</c:v>
                </c:pt>
                <c:pt idx="418">
                  <c:v>8.3222825748123768E-3</c:v>
                </c:pt>
                <c:pt idx="419">
                  <c:v>8.3378858430145694E-3</c:v>
                </c:pt>
                <c:pt idx="420">
                  <c:v>8.3534759393639572E-3</c:v>
                </c:pt>
                <c:pt idx="421">
                  <c:v>8.3690533315201564E-3</c:v>
                </c:pt>
                <c:pt idx="422">
                  <c:v>8.38462287091735E-3</c:v>
                </c:pt>
                <c:pt idx="423">
                  <c:v>8.4001804340527748E-3</c:v>
                </c:pt>
                <c:pt idx="424">
                  <c:v>8.4157350120322438E-3</c:v>
                </c:pt>
                <c:pt idx="425">
                  <c:v>8.4312794239986416E-3</c:v>
                </c:pt>
                <c:pt idx="426">
                  <c:v>8.4468052905301485E-3</c:v>
                </c:pt>
                <c:pt idx="427">
                  <c:v>8.4623227978595245E-3</c:v>
                </c:pt>
                <c:pt idx="428">
                  <c:v>8.4778257008728593E-3</c:v>
                </c:pt>
                <c:pt idx="429">
                  <c:v>8.4933144343305213E-3</c:v>
                </c:pt>
                <c:pt idx="430">
                  <c:v>8.5087939116320829E-3</c:v>
                </c:pt>
                <c:pt idx="431">
                  <c:v>8.5242599798190186E-3</c:v>
                </c:pt>
                <c:pt idx="432">
                  <c:v>8.5397217454825265E-3</c:v>
                </c:pt>
                <c:pt idx="433">
                  <c:v>8.5551719416270006E-3</c:v>
                </c:pt>
                <c:pt idx="434">
                  <c:v>8.5706020842543727E-3</c:v>
                </c:pt>
                <c:pt idx="435">
                  <c:v>8.5860225014846737E-3</c:v>
                </c:pt>
                <c:pt idx="436">
                  <c:v>8.6014268746362026E-3</c:v>
                </c:pt>
                <c:pt idx="437">
                  <c:v>8.6168156495446107E-3</c:v>
                </c:pt>
                <c:pt idx="438">
                  <c:v>8.6321938101978687E-3</c:v>
                </c:pt>
                <c:pt idx="439">
                  <c:v>8.6475571577549915E-3</c:v>
                </c:pt>
                <c:pt idx="440">
                  <c:v>8.6629072531363566E-3</c:v>
                </c:pt>
                <c:pt idx="441">
                  <c:v>8.6782516558840863E-3</c:v>
                </c:pt>
                <c:pt idx="442">
                  <c:v>8.6935824188214689E-3</c:v>
                </c:pt>
                <c:pt idx="443">
                  <c:v>8.7088914474929731E-3</c:v>
                </c:pt>
                <c:pt idx="444">
                  <c:v>8.7241893581419209E-3</c:v>
                </c:pt>
                <c:pt idx="445">
                  <c:v>8.7394696536446312E-3</c:v>
                </c:pt>
                <c:pt idx="446">
                  <c:v>8.754732871017263E-3</c:v>
                </c:pt>
                <c:pt idx="447">
                  <c:v>8.7699839233385257E-3</c:v>
                </c:pt>
                <c:pt idx="448">
                  <c:v>8.7852186513015275E-3</c:v>
                </c:pt>
                <c:pt idx="449">
                  <c:v>8.8004463871167796E-3</c:v>
                </c:pt>
                <c:pt idx="450">
                  <c:v>8.8156596785743425E-3</c:v>
                </c:pt>
                <c:pt idx="451">
                  <c:v>8.8308498434327524E-3</c:v>
                </c:pt>
                <c:pt idx="452">
                  <c:v>8.8460274934490605E-3</c:v>
                </c:pt>
                <c:pt idx="453">
                  <c:v>8.861186161562699E-3</c:v>
                </c:pt>
                <c:pt idx="454">
                  <c:v>8.8763263195528342E-3</c:v>
                </c:pt>
                <c:pt idx="455">
                  <c:v>8.8914530894329772E-3</c:v>
                </c:pt>
                <c:pt idx="456">
                  <c:v>8.9065621799039388E-3</c:v>
                </c:pt>
                <c:pt idx="457">
                  <c:v>8.9216630602162849E-3</c:v>
                </c:pt>
                <c:pt idx="458">
                  <c:v>8.9367482106198042E-3</c:v>
                </c:pt>
                <c:pt idx="459">
                  <c:v>8.9518088492356786E-3</c:v>
                </c:pt>
                <c:pt idx="460">
                  <c:v>8.9668557108292662E-3</c:v>
                </c:pt>
                <c:pt idx="461">
                  <c:v>8.981882265595386E-3</c:v>
                </c:pt>
                <c:pt idx="462">
                  <c:v>8.9968889942628107E-3</c:v>
                </c:pt>
                <c:pt idx="463">
                  <c:v>9.0118810834804164E-3</c:v>
                </c:pt>
                <c:pt idx="464">
                  <c:v>9.0268542005872004E-3</c:v>
                </c:pt>
                <c:pt idx="465">
                  <c:v>9.0418099842596335E-3</c:v>
                </c:pt>
                <c:pt idx="466">
                  <c:v>9.0567562810114893E-3</c:v>
                </c:pt>
                <c:pt idx="467">
                  <c:v>9.071684880890411E-3</c:v>
                </c:pt>
                <c:pt idx="468">
                  <c:v>9.0865874233420872E-3</c:v>
                </c:pt>
                <c:pt idx="469">
                  <c:v>9.1014749185641536E-3</c:v>
                </c:pt>
                <c:pt idx="470">
                  <c:v>9.116340664766685E-3</c:v>
                </c:pt>
                <c:pt idx="471">
                  <c:v>9.1311852348960124E-3</c:v>
                </c:pt>
                <c:pt idx="472">
                  <c:v>9.1460137319090695E-3</c:v>
                </c:pt>
                <c:pt idx="473">
                  <c:v>9.1608218737141041E-3</c:v>
                </c:pt>
                <c:pt idx="474">
                  <c:v>9.1756193246709857E-3</c:v>
                </c:pt>
                <c:pt idx="475">
                  <c:v>9.1903984009745129E-3</c:v>
                </c:pt>
                <c:pt idx="476">
                  <c:v>9.2051501491908338E-3</c:v>
                </c:pt>
                <c:pt idx="477">
                  <c:v>9.2198855550179072E-3</c:v>
                </c:pt>
                <c:pt idx="478">
                  <c:v>9.2345979583656791E-3</c:v>
                </c:pt>
                <c:pt idx="479">
                  <c:v>9.2492878635802387E-3</c:v>
                </c:pt>
                <c:pt idx="480">
                  <c:v>9.2639687061208207E-3</c:v>
                </c:pt>
                <c:pt idx="481">
                  <c:v>9.2786323433805256E-3</c:v>
                </c:pt>
                <c:pt idx="482">
                  <c:v>9.2932791807212693E-3</c:v>
                </c:pt>
                <c:pt idx="483">
                  <c:v>9.3078982965017713E-3</c:v>
                </c:pt>
                <c:pt idx="484">
                  <c:v>9.3224859979460159E-3</c:v>
                </c:pt>
                <c:pt idx="485">
                  <c:v>9.3370580813858239E-3</c:v>
                </c:pt>
                <c:pt idx="486">
                  <c:v>9.3516069744448201E-3</c:v>
                </c:pt>
                <c:pt idx="487">
                  <c:v>9.366133523920241E-3</c:v>
                </c:pt>
                <c:pt idx="488">
                  <c:v>9.3806404615029738E-3</c:v>
                </c:pt>
                <c:pt idx="489">
                  <c:v>9.3951252340587054E-3</c:v>
                </c:pt>
                <c:pt idx="490">
                  <c:v>9.4095887856328001E-3</c:v>
                </c:pt>
                <c:pt idx="491">
                  <c:v>9.4240392762901821E-3</c:v>
                </c:pt>
                <c:pt idx="492">
                  <c:v>9.4384684713782873E-3</c:v>
                </c:pt>
                <c:pt idx="493">
                  <c:v>9.4528676365967026E-3</c:v>
                </c:pt>
                <c:pt idx="494">
                  <c:v>9.4672481311259288E-3</c:v>
                </c:pt>
                <c:pt idx="495">
                  <c:v>9.481603105163848E-3</c:v>
                </c:pt>
                <c:pt idx="496">
                  <c:v>9.4959331374952355E-3</c:v>
                </c:pt>
                <c:pt idx="497">
                  <c:v>9.5102435264842813E-3</c:v>
                </c:pt>
                <c:pt idx="498">
                  <c:v>9.5245298678101418E-3</c:v>
                </c:pt>
                <c:pt idx="499">
                  <c:v>9.5388021224300304E-3</c:v>
                </c:pt>
                <c:pt idx="500">
                  <c:v>9.5530524084672212E-3</c:v>
                </c:pt>
                <c:pt idx="501">
                  <c:v>9.5672715332837249E-3</c:v>
                </c:pt>
                <c:pt idx="502">
                  <c:v>9.5814708110312802E-3</c:v>
                </c:pt>
                <c:pt idx="503">
                  <c:v>9.595643414814628E-3</c:v>
                </c:pt>
                <c:pt idx="504">
                  <c:v>9.6097898784241638E-3</c:v>
                </c:pt>
                <c:pt idx="505">
                  <c:v>9.6239156770102068E-3</c:v>
                </c:pt>
                <c:pt idx="506">
                  <c:v>9.6380162941641766E-3</c:v>
                </c:pt>
                <c:pt idx="507">
                  <c:v>9.6521018007595157E-3</c:v>
                </c:pt>
                <c:pt idx="508">
                  <c:v>9.6661642639262538E-3</c:v>
                </c:pt>
                <c:pt idx="509">
                  <c:v>9.6801944158944383E-3</c:v>
                </c:pt>
                <c:pt idx="510">
                  <c:v>9.6942036646433822E-3</c:v>
                </c:pt>
                <c:pt idx="511">
                  <c:v>9.7081851363926934E-3</c:v>
                </c:pt>
                <c:pt idx="512">
                  <c:v>9.7221393729083373E-3</c:v>
                </c:pt>
                <c:pt idx="513">
                  <c:v>9.7360718999098834E-3</c:v>
                </c:pt>
                <c:pt idx="514">
                  <c:v>9.749978168834366E-3</c:v>
                </c:pt>
                <c:pt idx="515">
                  <c:v>9.7638599477722458E-3</c:v>
                </c:pt>
                <c:pt idx="516">
                  <c:v>9.7777255581562757E-3</c:v>
                </c:pt>
                <c:pt idx="517">
                  <c:v>9.7915663639597632E-3</c:v>
                </c:pt>
                <c:pt idx="518">
                  <c:v>9.805373571712947E-3</c:v>
                </c:pt>
                <c:pt idx="519">
                  <c:v>9.8191588413418813E-3</c:v>
                </c:pt>
                <c:pt idx="520">
                  <c:v>9.8329151391364448E-3</c:v>
                </c:pt>
                <c:pt idx="521">
                  <c:v>9.8466431017444275E-3</c:v>
                </c:pt>
                <c:pt idx="522">
                  <c:v>9.8603481470490133E-3</c:v>
                </c:pt>
                <c:pt idx="523">
                  <c:v>9.8740257933456772E-3</c:v>
                </c:pt>
                <c:pt idx="524">
                  <c:v>9.8876862538764109E-3</c:v>
                </c:pt>
                <c:pt idx="525">
                  <c:v>9.9013214711185481E-3</c:v>
                </c:pt>
                <c:pt idx="526">
                  <c:v>9.9149220503174981E-3</c:v>
                </c:pt>
                <c:pt idx="527">
                  <c:v>9.9284995917372186E-3</c:v>
                </c:pt>
                <c:pt idx="528">
                  <c:v>9.9420471246241971E-3</c:v>
                </c:pt>
                <c:pt idx="529">
                  <c:v>9.9555652107349065E-3</c:v>
                </c:pt>
                <c:pt idx="530">
                  <c:v>9.9690594689862324E-3</c:v>
                </c:pt>
                <c:pt idx="531">
                  <c:v>9.9825252931355409E-3</c:v>
                </c:pt>
                <c:pt idx="532">
                  <c:v>9.9959729992993938E-3</c:v>
                </c:pt>
                <c:pt idx="533">
                  <c:v>1.0009394490455422E-2</c:v>
                </c:pt>
                <c:pt idx="534">
                  <c:v>1.0022780303552466E-2</c:v>
                </c:pt>
                <c:pt idx="535">
                  <c:v>1.0036142119910815E-2</c:v>
                </c:pt>
                <c:pt idx="536">
                  <c:v>1.0049472929827288E-2</c:v>
                </c:pt>
                <c:pt idx="537">
                  <c:v>1.0062773301286413E-2</c:v>
                </c:pt>
                <c:pt idx="538">
                  <c:v>1.0076048897844211E-2</c:v>
                </c:pt>
                <c:pt idx="539">
                  <c:v>1.0089295086833244E-2</c:v>
                </c:pt>
                <c:pt idx="540">
                  <c:v>1.0102513689846765E-2</c:v>
                </c:pt>
                <c:pt idx="541">
                  <c:v>1.0115713220625084E-2</c:v>
                </c:pt>
                <c:pt idx="542">
                  <c:v>1.0128884874302309E-2</c:v>
                </c:pt>
                <c:pt idx="543">
                  <c:v>1.014201968472493E-2</c:v>
                </c:pt>
                <c:pt idx="544">
                  <c:v>1.0155129574720673E-2</c:v>
                </c:pt>
                <c:pt idx="545">
                  <c:v>1.0168207379578364E-2</c:v>
                </c:pt>
                <c:pt idx="546">
                  <c:v>1.0181253762645616E-2</c:v>
                </c:pt>
                <c:pt idx="547">
                  <c:v>1.019427426932883E-2</c:v>
                </c:pt>
                <c:pt idx="548">
                  <c:v>1.020726434072888E-2</c:v>
                </c:pt>
                <c:pt idx="549">
                  <c:v>1.0220234412166193E-2</c:v>
                </c:pt>
                <c:pt idx="550">
                  <c:v>1.0233176277739231E-2</c:v>
                </c:pt>
                <c:pt idx="551">
                  <c:v>1.02460803674428E-2</c:v>
                </c:pt>
                <c:pt idx="552">
                  <c:v>1.0258958529660226E-2</c:v>
                </c:pt>
                <c:pt idx="553">
                  <c:v>1.0271803671099516E-2</c:v>
                </c:pt>
                <c:pt idx="554">
                  <c:v>1.0284616377581371E-2</c:v>
                </c:pt>
                <c:pt idx="555">
                  <c:v>1.0297402394039012E-2</c:v>
                </c:pt>
                <c:pt idx="556">
                  <c:v>1.0310157038427491E-2</c:v>
                </c:pt>
                <c:pt idx="557">
                  <c:v>1.0322890838674411E-2</c:v>
                </c:pt>
                <c:pt idx="558">
                  <c:v>1.0335595557491599E-2</c:v>
                </c:pt>
                <c:pt idx="559">
                  <c:v>1.0348261565446683E-2</c:v>
                </c:pt>
                <c:pt idx="560">
                  <c:v>1.0360900780233689E-2</c:v>
                </c:pt>
                <c:pt idx="561">
                  <c:v>1.037350607569004E-2</c:v>
                </c:pt>
                <c:pt idx="562">
                  <c:v>1.0386078043417575E-2</c:v>
                </c:pt>
                <c:pt idx="563">
                  <c:v>1.0398622467133035E-2</c:v>
                </c:pt>
                <c:pt idx="564">
                  <c:v>1.0411134642893023E-2</c:v>
                </c:pt>
                <c:pt idx="565">
                  <c:v>1.0423616440172881E-2</c:v>
                </c:pt>
                <c:pt idx="566">
                  <c:v>1.0436076537913837E-2</c:v>
                </c:pt>
                <c:pt idx="567">
                  <c:v>1.0448505986675559E-2</c:v>
                </c:pt>
                <c:pt idx="568">
                  <c:v>1.0460895674658669E-2</c:v>
                </c:pt>
                <c:pt idx="569">
                  <c:v>1.0473257751364451E-2</c:v>
                </c:pt>
                <c:pt idx="570">
                  <c:v>1.0485584939633034E-2</c:v>
                </c:pt>
                <c:pt idx="571">
                  <c:v>1.049787792720858E-2</c:v>
                </c:pt>
                <c:pt idx="572">
                  <c:v>1.0510142371699805E-2</c:v>
                </c:pt>
                <c:pt idx="573">
                  <c:v>1.0522373648592464E-2</c:v>
                </c:pt>
                <c:pt idx="574">
                  <c:v>1.053458238332584E-2</c:v>
                </c:pt>
                <c:pt idx="575">
                  <c:v>1.0546760243959133E-2</c:v>
                </c:pt>
                <c:pt idx="576">
                  <c:v>1.0558897512262976E-2</c:v>
                </c:pt>
                <c:pt idx="577">
                  <c:v>1.0571006249726612E-2</c:v>
                </c:pt>
                <c:pt idx="578">
                  <c:v>1.058307925905475E-2</c:v>
                </c:pt>
                <c:pt idx="579">
                  <c:v>1.0595117148745758E-2</c:v>
                </c:pt>
                <c:pt idx="580">
                  <c:v>1.0607125772634949E-2</c:v>
                </c:pt>
                <c:pt idx="581">
                  <c:v>1.0619100384798309E-2</c:v>
                </c:pt>
                <c:pt idx="582">
                  <c:v>1.0631051695209318E-2</c:v>
                </c:pt>
                <c:pt idx="583">
                  <c:v>1.0642971347433233E-2</c:v>
                </c:pt>
                <c:pt idx="584">
                  <c:v>1.0654849571061418E-2</c:v>
                </c:pt>
                <c:pt idx="585">
                  <c:v>1.0666698486758197E-2</c:v>
                </c:pt>
                <c:pt idx="586">
                  <c:v>1.067851087021332E-2</c:v>
                </c:pt>
                <c:pt idx="587">
                  <c:v>1.0690287335058855E-2</c:v>
                </c:pt>
                <c:pt idx="588">
                  <c:v>1.0702033767502232E-2</c:v>
                </c:pt>
                <c:pt idx="589">
                  <c:v>1.0713745402855071E-2</c:v>
                </c:pt>
                <c:pt idx="590">
                  <c:v>1.0725424153467144E-2</c:v>
                </c:pt>
                <c:pt idx="591">
                  <c:v>1.0737078842023334E-2</c:v>
                </c:pt>
                <c:pt idx="592">
                  <c:v>1.0748700396430229E-2</c:v>
                </c:pt>
                <c:pt idx="593">
                  <c:v>1.0760279580315968E-2</c:v>
                </c:pt>
                <c:pt idx="594">
                  <c:v>1.0771828737569229E-2</c:v>
                </c:pt>
                <c:pt idx="595">
                  <c:v>1.0783340497299974E-2</c:v>
                </c:pt>
                <c:pt idx="596">
                  <c:v>1.0794815569895656E-2</c:v>
                </c:pt>
                <c:pt idx="597">
                  <c:v>1.0806259707588974E-2</c:v>
                </c:pt>
                <c:pt idx="598">
                  <c:v>1.0817668230941945E-2</c:v>
                </c:pt>
                <c:pt idx="599">
                  <c:v>1.0829051929466049E-2</c:v>
                </c:pt>
                <c:pt idx="600">
                  <c:v>1.0840402364759192E-2</c:v>
                </c:pt>
                <c:pt idx="601">
                  <c:v>1.0851709693526787E-2</c:v>
                </c:pt>
                <c:pt idx="602">
                  <c:v>1.0862986159641997E-2</c:v>
                </c:pt>
                <c:pt idx="603">
                  <c:v>1.0874224478118349E-2</c:v>
                </c:pt>
                <c:pt idx="604">
                  <c:v>1.0885425277948902E-2</c:v>
                </c:pt>
                <c:pt idx="605">
                  <c:v>1.0896594506309526E-2</c:v>
                </c:pt>
                <c:pt idx="606">
                  <c:v>1.090772736428907E-2</c:v>
                </c:pt>
                <c:pt idx="607">
                  <c:v>1.0918834718244121E-2</c:v>
                </c:pt>
                <c:pt idx="608">
                  <c:v>1.0929908110950921E-2</c:v>
                </c:pt>
                <c:pt idx="609">
                  <c:v>1.0940937653255331E-2</c:v>
                </c:pt>
                <c:pt idx="610">
                  <c:v>1.0951935639576863E-2</c:v>
                </c:pt>
                <c:pt idx="611">
                  <c:v>1.0962894762383144E-2</c:v>
                </c:pt>
                <c:pt idx="612">
                  <c:v>1.097381565423677E-2</c:v>
                </c:pt>
                <c:pt idx="613">
                  <c:v>1.0984713293050915E-2</c:v>
                </c:pt>
                <c:pt idx="614">
                  <c:v>1.0995578729757677E-2</c:v>
                </c:pt>
                <c:pt idx="615">
                  <c:v>1.100641247977842E-2</c:v>
                </c:pt>
                <c:pt idx="616">
                  <c:v>1.1017202546786399E-2</c:v>
                </c:pt>
                <c:pt idx="617">
                  <c:v>1.1027944926820753E-2</c:v>
                </c:pt>
                <c:pt idx="618">
                  <c:v>1.1038661537052678E-2</c:v>
                </c:pt>
                <c:pt idx="619">
                  <c:v>1.1049345916672565E-2</c:v>
                </c:pt>
                <c:pt idx="620">
                  <c:v>1.1059982775132813E-2</c:v>
                </c:pt>
                <c:pt idx="621">
                  <c:v>1.1070581879198058E-2</c:v>
                </c:pt>
                <c:pt idx="622">
                  <c:v>1.1081149032334882E-2</c:v>
                </c:pt>
                <c:pt idx="623">
                  <c:v>1.1091677269737079E-2</c:v>
                </c:pt>
                <c:pt idx="624">
                  <c:v>1.1102179034317636E-2</c:v>
                </c:pt>
                <c:pt idx="625">
                  <c:v>1.1112645355832113E-2</c:v>
                </c:pt>
                <c:pt idx="626">
                  <c:v>1.1123066488835653E-2</c:v>
                </c:pt>
                <c:pt idx="627">
                  <c:v>1.1133454675241905E-2</c:v>
                </c:pt>
                <c:pt idx="628">
                  <c:v>1.114380250355531E-2</c:v>
                </c:pt>
                <c:pt idx="629">
                  <c:v>1.1154110683619009E-2</c:v>
                </c:pt>
                <c:pt idx="630">
                  <c:v>1.1164385254706102E-2</c:v>
                </c:pt>
                <c:pt idx="631">
                  <c:v>1.1174621350250586E-2</c:v>
                </c:pt>
                <c:pt idx="632">
                  <c:v>1.1184829984214431E-2</c:v>
                </c:pt>
                <c:pt idx="633">
                  <c:v>1.119500261203793E-2</c:v>
                </c:pt>
                <c:pt idx="634">
                  <c:v>1.1205129245193136E-2</c:v>
                </c:pt>
                <c:pt idx="635">
                  <c:v>1.1215222325217936E-2</c:v>
                </c:pt>
                <c:pt idx="636">
                  <c:v>1.1225274474558785E-2</c:v>
                </c:pt>
                <c:pt idx="637">
                  <c:v>1.1235286344450975E-2</c:v>
                </c:pt>
                <c:pt idx="638">
                  <c:v>1.1245263988932726E-2</c:v>
                </c:pt>
                <c:pt idx="639">
                  <c:v>1.1255202550427742E-2</c:v>
                </c:pt>
                <c:pt idx="640">
                  <c:v>1.1265113068520669E-2</c:v>
                </c:pt>
                <c:pt idx="641">
                  <c:v>1.1274986977882073E-2</c:v>
                </c:pt>
                <c:pt idx="642">
                  <c:v>1.1284814260104265E-2</c:v>
                </c:pt>
                <c:pt idx="643">
                  <c:v>1.1294607768074449E-2</c:v>
                </c:pt>
                <c:pt idx="644">
                  <c:v>1.130436731296865E-2</c:v>
                </c:pt>
                <c:pt idx="645">
                  <c:v>1.131407983148092E-2</c:v>
                </c:pt>
                <c:pt idx="646">
                  <c:v>1.1323752407896346E-2</c:v>
                </c:pt>
                <c:pt idx="647">
                  <c:v>1.1333390701101358E-2</c:v>
                </c:pt>
                <c:pt idx="648">
                  <c:v>1.1342988546688866E-2</c:v>
                </c:pt>
                <c:pt idx="649">
                  <c:v>1.135255799558277E-2</c:v>
                </c:pt>
                <c:pt idx="650">
                  <c:v>1.1362090126165576E-2</c:v>
                </c:pt>
                <c:pt idx="651">
                  <c:v>1.1371575052554728E-2</c:v>
                </c:pt>
                <c:pt idx="652">
                  <c:v>1.1381025202302206E-2</c:v>
                </c:pt>
                <c:pt idx="653">
                  <c:v>1.1390447141349644E-2</c:v>
                </c:pt>
                <c:pt idx="654">
                  <c:v>1.1399823947314074E-2</c:v>
                </c:pt>
                <c:pt idx="655">
                  <c:v>1.1409152685901019E-2</c:v>
                </c:pt>
                <c:pt idx="656">
                  <c:v>1.1418447859468677E-2</c:v>
                </c:pt>
                <c:pt idx="657">
                  <c:v>1.1427713589147775E-2</c:v>
                </c:pt>
                <c:pt idx="658">
                  <c:v>1.1436936220517535E-2</c:v>
                </c:pt>
                <c:pt idx="659">
                  <c:v>1.1446110340610752E-2</c:v>
                </c:pt>
                <c:pt idx="660">
                  <c:v>1.1455250216592187E-2</c:v>
                </c:pt>
                <c:pt idx="661">
                  <c:v>1.1464347517661228E-2</c:v>
                </c:pt>
                <c:pt idx="662">
                  <c:v>1.1473403568095229E-2</c:v>
                </c:pt>
                <c:pt idx="663">
                  <c:v>1.148242298851233E-2</c:v>
                </c:pt>
                <c:pt idx="664">
                  <c:v>1.1491401847820448E-2</c:v>
                </c:pt>
                <c:pt idx="665">
                  <c:v>1.1500351006383023E-2</c:v>
                </c:pt>
                <c:pt idx="666">
                  <c:v>1.150926174127859E-2</c:v>
                </c:pt>
                <c:pt idx="667">
                  <c:v>1.1518124034093729E-2</c:v>
                </c:pt>
                <c:pt idx="668">
                  <c:v>1.152695091416945E-2</c:v>
                </c:pt>
                <c:pt idx="669">
                  <c:v>1.1535742149784431E-2</c:v>
                </c:pt>
                <c:pt idx="670">
                  <c:v>1.1544484559844059E-2</c:v>
                </c:pt>
                <c:pt idx="671">
                  <c:v>1.1553185317195515E-2</c:v>
                </c:pt>
                <c:pt idx="672">
                  <c:v>1.156185014638045E-2</c:v>
                </c:pt>
                <c:pt idx="673">
                  <c:v>1.1570472830909919E-2</c:v>
                </c:pt>
                <c:pt idx="674">
                  <c:v>1.1579065537227574E-2</c:v>
                </c:pt>
                <c:pt idx="675">
                  <c:v>1.1587619278003383E-2</c:v>
                </c:pt>
                <c:pt idx="676">
                  <c:v>1.159612409415371E-2</c:v>
                </c:pt>
                <c:pt idx="677">
                  <c:v>1.1604592525621934E-2</c:v>
                </c:pt>
                <c:pt idx="678">
                  <c:v>1.1613017062163221E-2</c:v>
                </c:pt>
                <c:pt idx="679">
                  <c:v>1.1621398428666581E-2</c:v>
                </c:pt>
                <c:pt idx="680">
                  <c:v>1.1629742786210212E-2</c:v>
                </c:pt>
                <c:pt idx="681">
                  <c:v>1.1638045209259297E-2</c:v>
                </c:pt>
                <c:pt idx="682">
                  <c:v>1.1646316920137635E-2</c:v>
                </c:pt>
                <c:pt idx="683">
                  <c:v>1.1654549246372688E-2</c:v>
                </c:pt>
                <c:pt idx="684">
                  <c:v>1.1662732043546162E-2</c:v>
                </c:pt>
                <c:pt idx="685">
                  <c:v>1.1670877988194574E-2</c:v>
                </c:pt>
                <c:pt idx="686">
                  <c:v>1.167897959760371E-2</c:v>
                </c:pt>
                <c:pt idx="687">
                  <c:v>1.1687037553054769E-2</c:v>
                </c:pt>
                <c:pt idx="688">
                  <c:v>1.1695058030889542E-2</c:v>
                </c:pt>
                <c:pt idx="689">
                  <c:v>1.170303611099912E-2</c:v>
                </c:pt>
                <c:pt idx="690">
                  <c:v>1.1710983035359751E-2</c:v>
                </c:pt>
                <c:pt idx="691">
                  <c:v>1.1718890116533249E-2</c:v>
                </c:pt>
                <c:pt idx="692">
                  <c:v>1.1726747189526401E-2</c:v>
                </c:pt>
                <c:pt idx="693">
                  <c:v>1.1734567336283469E-2</c:v>
                </c:pt>
                <c:pt idx="694">
                  <c:v>1.174235038310084E-2</c:v>
                </c:pt>
                <c:pt idx="695">
                  <c:v>1.1750083077298556E-2</c:v>
                </c:pt>
                <c:pt idx="696">
                  <c:v>1.1757772635514956E-2</c:v>
                </c:pt>
                <c:pt idx="697">
                  <c:v>1.1765424825681794E-2</c:v>
                </c:pt>
                <c:pt idx="698">
                  <c:v>1.1773033404862384E-2</c:v>
                </c:pt>
                <c:pt idx="699">
                  <c:v>1.178061063062932E-2</c:v>
                </c:pt>
                <c:pt idx="700">
                  <c:v>1.1788147461410657E-2</c:v>
                </c:pt>
                <c:pt idx="701">
                  <c:v>1.1795633876524063E-2</c:v>
                </c:pt>
                <c:pt idx="702">
                  <c:v>1.1803082512897483E-2</c:v>
                </c:pt>
                <c:pt idx="703">
                  <c:v>1.181048581824244E-2</c:v>
                </c:pt>
                <c:pt idx="704">
                  <c:v>1.1817844530093127E-2</c:v>
                </c:pt>
                <c:pt idx="705">
                  <c:v>1.1825164860503794E-2</c:v>
                </c:pt>
                <c:pt idx="706">
                  <c:v>1.1832441860878073E-2</c:v>
                </c:pt>
                <c:pt idx="707">
                  <c:v>1.183968683700252E-2</c:v>
                </c:pt>
                <c:pt idx="708">
                  <c:v>1.1846891066431227E-2</c:v>
                </c:pt>
                <c:pt idx="709">
                  <c:v>1.1854044346344307E-2</c:v>
                </c:pt>
                <c:pt idx="710">
                  <c:v>1.1861159446051601E-2</c:v>
                </c:pt>
                <c:pt idx="711">
                  <c:v>1.1868228842451107E-2</c:v>
                </c:pt>
                <c:pt idx="712">
                  <c:v>1.1875253228976451E-2</c:v>
                </c:pt>
                <c:pt idx="713">
                  <c:v>1.1882238831404227E-2</c:v>
                </c:pt>
                <c:pt idx="714">
                  <c:v>1.1889180707606755E-2</c:v>
                </c:pt>
                <c:pt idx="715">
                  <c:v>1.1896090179453528E-2</c:v>
                </c:pt>
                <c:pt idx="716">
                  <c:v>1.1902958512644127E-2</c:v>
                </c:pt>
                <c:pt idx="717">
                  <c:v>1.190977548635061E-2</c:v>
                </c:pt>
                <c:pt idx="718">
                  <c:v>1.1916554273136246E-2</c:v>
                </c:pt>
                <c:pt idx="719">
                  <c:v>1.1923294707272989E-2</c:v>
                </c:pt>
                <c:pt idx="720">
                  <c:v>1.1929983462249542E-2</c:v>
                </c:pt>
                <c:pt idx="721">
                  <c:v>1.1936627806247529E-2</c:v>
                </c:pt>
                <c:pt idx="722">
                  <c:v>1.1943233553545251E-2</c:v>
                </c:pt>
                <c:pt idx="723">
                  <c:v>1.1949794430793435E-2</c:v>
                </c:pt>
                <c:pt idx="724">
                  <c:v>1.195632277672414E-2</c:v>
                </c:pt>
                <c:pt idx="725">
                  <c:v>1.1962809505321087E-2</c:v>
                </c:pt>
                <c:pt idx="726">
                  <c:v>1.196924454394613E-2</c:v>
                </c:pt>
                <c:pt idx="727">
                  <c:v>1.1975640612812357E-2</c:v>
                </c:pt>
                <c:pt idx="728">
                  <c:v>1.198199012277865E-2</c:v>
                </c:pt>
                <c:pt idx="729">
                  <c:v>1.1988293824648902E-2</c:v>
                </c:pt>
                <c:pt idx="730">
                  <c:v>1.1994557976485873E-2</c:v>
                </c:pt>
                <c:pt idx="731">
                  <c:v>1.2000777607565564E-2</c:v>
                </c:pt>
                <c:pt idx="732">
                  <c:v>1.2006964096715197E-2</c:v>
                </c:pt>
                <c:pt idx="733">
                  <c:v>1.2013108681496406E-2</c:v>
                </c:pt>
                <c:pt idx="734">
                  <c:v>1.2019201108411183E-2</c:v>
                </c:pt>
                <c:pt idx="735">
                  <c:v>1.202525422670845E-2</c:v>
                </c:pt>
                <c:pt idx="736">
                  <c:v>1.2031260479877027E-2</c:v>
                </c:pt>
                <c:pt idx="737">
                  <c:v>1.203722057322223E-2</c:v>
                </c:pt>
                <c:pt idx="738">
                  <c:v>1.2043140775395084E-2</c:v>
                </c:pt>
                <c:pt idx="739">
                  <c:v>1.2049016124827451E-2</c:v>
                </c:pt>
                <c:pt idx="740">
                  <c:v>1.2054858012934438E-2</c:v>
                </c:pt>
                <c:pt idx="741">
                  <c:v>1.2060657666981622E-2</c:v>
                </c:pt>
                <c:pt idx="742">
                  <c:v>1.2066404818980902E-2</c:v>
                </c:pt>
                <c:pt idx="743">
                  <c:v>1.2072112719251649E-2</c:v>
                </c:pt>
                <c:pt idx="744">
                  <c:v>1.2077781209050176E-2</c:v>
                </c:pt>
                <c:pt idx="745">
                  <c:v>1.2083396901114467E-2</c:v>
                </c:pt>
                <c:pt idx="746">
                  <c:v>1.2088967109170564E-2</c:v>
                </c:pt>
                <c:pt idx="747">
                  <c:v>1.2094497685231768E-2</c:v>
                </c:pt>
                <c:pt idx="748">
                  <c:v>1.2099982332491915E-2</c:v>
                </c:pt>
                <c:pt idx="749">
                  <c:v>1.2105433460638153E-2</c:v>
                </c:pt>
                <c:pt idx="750">
                  <c:v>1.2110841945128523E-2</c:v>
                </c:pt>
                <c:pt idx="751">
                  <c:v>1.2116197670152507E-2</c:v>
                </c:pt>
                <c:pt idx="752">
                  <c:v>1.21215134270731E-2</c:v>
                </c:pt>
                <c:pt idx="753">
                  <c:v>1.2126781597826264E-2</c:v>
                </c:pt>
                <c:pt idx="754">
                  <c:v>1.2132002944995911E-2</c:v>
                </c:pt>
                <c:pt idx="755">
                  <c:v>1.2137183764631901E-2</c:v>
                </c:pt>
                <c:pt idx="756">
                  <c:v>1.2142319070271083E-2</c:v>
                </c:pt>
                <c:pt idx="757">
                  <c:v>1.2147420303599884E-2</c:v>
                </c:pt>
                <c:pt idx="758">
                  <c:v>1.2152478667584737E-2</c:v>
                </c:pt>
                <c:pt idx="759">
                  <c:v>1.2157483867417388E-2</c:v>
                </c:pt>
                <c:pt idx="760">
                  <c:v>1.2162448820614669E-2</c:v>
                </c:pt>
                <c:pt idx="761">
                  <c:v>1.2167365943003005E-2</c:v>
                </c:pt>
                <c:pt idx="762">
                  <c:v>1.2172235952229224E-2</c:v>
                </c:pt>
                <c:pt idx="763">
                  <c:v>1.2177065153860016E-2</c:v>
                </c:pt>
                <c:pt idx="764">
                  <c:v>1.2181848570043789E-2</c:v>
                </c:pt>
                <c:pt idx="765">
                  <c:v>1.2186597652327564E-2</c:v>
                </c:pt>
                <c:pt idx="766">
                  <c:v>1.2191303596252248E-2</c:v>
                </c:pt>
                <c:pt idx="767">
                  <c:v>1.2195956094805586E-2</c:v>
                </c:pt>
                <c:pt idx="768">
                  <c:v>1.2200568464913289E-2</c:v>
                </c:pt>
                <c:pt idx="769">
                  <c:v>1.2205140554449335E-2</c:v>
                </c:pt>
                <c:pt idx="770">
                  <c:v>1.2209658926000715E-2</c:v>
                </c:pt>
                <c:pt idx="771">
                  <c:v>1.22141382990308E-2</c:v>
                </c:pt>
                <c:pt idx="772">
                  <c:v>1.2218580729082974E-2</c:v>
                </c:pt>
                <c:pt idx="773">
                  <c:v>1.2222978099568359E-2</c:v>
                </c:pt>
                <c:pt idx="774">
                  <c:v>1.2227340768927909E-2</c:v>
                </c:pt>
                <c:pt idx="775">
                  <c:v>1.223164472007719E-2</c:v>
                </c:pt>
                <c:pt idx="776">
                  <c:v>1.2235893364280872E-2</c:v>
                </c:pt>
                <c:pt idx="777">
                  <c:v>1.224010429403616E-2</c:v>
                </c:pt>
                <c:pt idx="778">
                  <c:v>1.2244267244809891E-2</c:v>
                </c:pt>
                <c:pt idx="779">
                  <c:v>1.2248384935023233E-2</c:v>
                </c:pt>
                <c:pt idx="780">
                  <c:v>1.2252459404314272E-2</c:v>
                </c:pt>
                <c:pt idx="781">
                  <c:v>1.225648838555776E-2</c:v>
                </c:pt>
                <c:pt idx="782">
                  <c:v>1.2260482560806949E-2</c:v>
                </c:pt>
                <c:pt idx="783">
                  <c:v>1.2264432842114687E-2</c:v>
                </c:pt>
                <c:pt idx="784">
                  <c:v>1.2268329128899677E-2</c:v>
                </c:pt>
                <c:pt idx="785">
                  <c:v>1.2272184464013271E-2</c:v>
                </c:pt>
                <c:pt idx="786">
                  <c:v>1.2275991195604123E-2</c:v>
                </c:pt>
                <c:pt idx="787">
                  <c:v>1.2279750086748876E-2</c:v>
                </c:pt>
                <c:pt idx="788">
                  <c:v>1.2283467407593975E-2</c:v>
                </c:pt>
                <c:pt idx="789">
                  <c:v>1.2287138211015552E-2</c:v>
                </c:pt>
                <c:pt idx="790">
                  <c:v>1.229077398806607E-2</c:v>
                </c:pt>
                <c:pt idx="791">
                  <c:v>1.2294365903048781E-2</c:v>
                </c:pt>
                <c:pt idx="792">
                  <c:v>1.2297903620905135E-2</c:v>
                </c:pt>
                <c:pt idx="793">
                  <c:v>1.23014001366216E-2</c:v>
                </c:pt>
                <c:pt idx="794">
                  <c:v>1.230484783683812E-2</c:v>
                </c:pt>
                <c:pt idx="795">
                  <c:v>1.2308247452614466E-2</c:v>
                </c:pt>
                <c:pt idx="796">
                  <c:v>1.2311605330300471E-2</c:v>
                </c:pt>
                <c:pt idx="797">
                  <c:v>1.2314916479135794E-2</c:v>
                </c:pt>
                <c:pt idx="798">
                  <c:v>1.2318183008825529E-2</c:v>
                </c:pt>
                <c:pt idx="799">
                  <c:v>1.2321414369099561E-2</c:v>
                </c:pt>
                <c:pt idx="800">
                  <c:v>1.2324601003594823E-2</c:v>
                </c:pt>
                <c:pt idx="801">
                  <c:v>1.2327733176537984E-2</c:v>
                </c:pt>
                <c:pt idx="802">
                  <c:v>1.2330824667753086E-2</c:v>
                </c:pt>
                <c:pt idx="803">
                  <c:v>1.2333873411274643E-2</c:v>
                </c:pt>
                <c:pt idx="804">
                  <c:v>1.233687859410992E-2</c:v>
                </c:pt>
                <c:pt idx="805">
                  <c:v>1.2339847841885992E-2</c:v>
                </c:pt>
                <c:pt idx="806">
                  <c:v>1.2342761296212267E-2</c:v>
                </c:pt>
                <c:pt idx="807">
                  <c:v>1.2345618802928724E-2</c:v>
                </c:pt>
                <c:pt idx="808">
                  <c:v>1.2348441649044648E-2</c:v>
                </c:pt>
                <c:pt idx="809">
                  <c:v>1.2351219225444321E-2</c:v>
                </c:pt>
                <c:pt idx="810">
                  <c:v>1.2353946150232043E-2</c:v>
                </c:pt>
                <c:pt idx="811">
                  <c:v>1.235663038134468E-2</c:v>
                </c:pt>
                <c:pt idx="812">
                  <c:v>1.2359272701448312E-2</c:v>
                </c:pt>
                <c:pt idx="813">
                  <c:v>1.2361877521372579E-2</c:v>
                </c:pt>
                <c:pt idx="814">
                  <c:v>1.2364429165513597E-2</c:v>
                </c:pt>
                <c:pt idx="815">
                  <c:v>1.2366924408227844E-2</c:v>
                </c:pt>
                <c:pt idx="816">
                  <c:v>1.2369383596581612E-2</c:v>
                </c:pt>
                <c:pt idx="817">
                  <c:v>1.2371798132661371E-2</c:v>
                </c:pt>
                <c:pt idx="818">
                  <c:v>1.2374162103685913E-2</c:v>
                </c:pt>
                <c:pt idx="819">
                  <c:v>1.2376482731524686E-2</c:v>
                </c:pt>
                <c:pt idx="820">
                  <c:v>1.2378759327522524E-2</c:v>
                </c:pt>
                <c:pt idx="821">
                  <c:v>1.2380992599448463E-2</c:v>
                </c:pt>
                <c:pt idx="822">
                  <c:v>1.2383189456262511E-2</c:v>
                </c:pt>
                <c:pt idx="823">
                  <c:v>1.238533108558874E-2</c:v>
                </c:pt>
                <c:pt idx="824">
                  <c:v>1.2387416455295253E-2</c:v>
                </c:pt>
                <c:pt idx="825">
                  <c:v>1.2389466419642045E-2</c:v>
                </c:pt>
                <c:pt idx="826">
                  <c:v>1.2391471035313273E-2</c:v>
                </c:pt>
                <c:pt idx="827">
                  <c:v>1.2393424814387394E-2</c:v>
                </c:pt>
                <c:pt idx="828">
                  <c:v>1.2395335444032884E-2</c:v>
                </c:pt>
                <c:pt idx="829">
                  <c:v>1.2397203882790942E-2</c:v>
                </c:pt>
                <c:pt idx="830">
                  <c:v>1.239903459864948E-2</c:v>
                </c:pt>
                <c:pt idx="831">
                  <c:v>1.240081185464657E-2</c:v>
                </c:pt>
                <c:pt idx="832">
                  <c:v>1.2402532437434355E-2</c:v>
                </c:pt>
                <c:pt idx="833">
                  <c:v>1.2404216704696042E-2</c:v>
                </c:pt>
                <c:pt idx="834">
                  <c:v>1.2405856057091432E-2</c:v>
                </c:pt>
                <c:pt idx="835">
                  <c:v>1.2407444587998612E-2</c:v>
                </c:pt>
                <c:pt idx="836">
                  <c:v>1.240898952623128E-2</c:v>
                </c:pt>
                <c:pt idx="837">
                  <c:v>1.2410492188377694E-2</c:v>
                </c:pt>
                <c:pt idx="838">
                  <c:v>1.2411957101744085E-2</c:v>
                </c:pt>
                <c:pt idx="839">
                  <c:v>1.2413368491112128E-2</c:v>
                </c:pt>
                <c:pt idx="840">
                  <c:v>1.2414723132895216E-2</c:v>
                </c:pt>
                <c:pt idx="841">
                  <c:v>1.2416041332574372E-2</c:v>
                </c:pt>
                <c:pt idx="842">
                  <c:v>1.2417314526917193E-2</c:v>
                </c:pt>
                <c:pt idx="843">
                  <c:v>1.241853682218186E-2</c:v>
                </c:pt>
                <c:pt idx="844">
                  <c:v>1.2419715426968122E-2</c:v>
                </c:pt>
                <c:pt idx="845">
                  <c:v>1.2420849664068508E-2</c:v>
                </c:pt>
                <c:pt idx="846">
                  <c:v>1.2421940259271576E-2</c:v>
                </c:pt>
                <c:pt idx="847">
                  <c:v>1.242299414182004E-2</c:v>
                </c:pt>
                <c:pt idx="848">
                  <c:v>1.2423992470168694E-2</c:v>
                </c:pt>
                <c:pt idx="849">
                  <c:v>1.2424934210478219E-2</c:v>
                </c:pt>
                <c:pt idx="850">
                  <c:v>1.2425840268231042E-2</c:v>
                </c:pt>
                <c:pt idx="851">
                  <c:v>1.2426700690474171E-2</c:v>
                </c:pt>
                <c:pt idx="852">
                  <c:v>1.2427509984158092E-2</c:v>
                </c:pt>
                <c:pt idx="853">
                  <c:v>1.2428275857455909E-2</c:v>
                </c:pt>
                <c:pt idx="854">
                  <c:v>1.2428999279560109E-2</c:v>
                </c:pt>
                <c:pt idx="855">
                  <c:v>1.2429684736140081E-2</c:v>
                </c:pt>
                <c:pt idx="856">
                  <c:v>1.2430316463998158E-2</c:v>
                </c:pt>
                <c:pt idx="857">
                  <c:v>1.2430891250021399E-2</c:v>
                </c:pt>
                <c:pt idx="858">
                  <c:v>1.2431429500961115E-2</c:v>
                </c:pt>
                <c:pt idx="859">
                  <c:v>1.2431922607834229E-2</c:v>
                </c:pt>
                <c:pt idx="860">
                  <c:v>1.2432364659950824E-2</c:v>
                </c:pt>
                <c:pt idx="861">
                  <c:v>1.243276290675108E-2</c:v>
                </c:pt>
                <c:pt idx="862">
                  <c:v>1.2433118674827097E-2</c:v>
                </c:pt>
                <c:pt idx="863">
                  <c:v>1.2433436507682628E-2</c:v>
                </c:pt>
                <c:pt idx="864">
                  <c:v>1.2433700607943065E-2</c:v>
                </c:pt>
                <c:pt idx="865">
                  <c:v>1.2433907753064584E-2</c:v>
                </c:pt>
                <c:pt idx="866">
                  <c:v>1.2434078292708988E-2</c:v>
                </c:pt>
                <c:pt idx="867">
                  <c:v>1.2434203656023532E-2</c:v>
                </c:pt>
                <c:pt idx="868">
                  <c:v>1.2434277946923001E-2</c:v>
                </c:pt>
                <c:pt idx="869">
                  <c:v>1.2434308392949124E-2</c:v>
                </c:pt>
                <c:pt idx="870">
                  <c:v>1.2434296331723441E-2</c:v>
                </c:pt>
                <c:pt idx="871">
                  <c:v>1.2434246317458281E-2</c:v>
                </c:pt>
                <c:pt idx="872">
                  <c:v>1.2434142540867247E-2</c:v>
                </c:pt>
                <c:pt idx="873">
                  <c:v>1.2433981784517305E-2</c:v>
                </c:pt>
                <c:pt idx="874">
                  <c:v>1.2433784408990822E-2</c:v>
                </c:pt>
                <c:pt idx="875">
                  <c:v>1.2433541840169199E-2</c:v>
                </c:pt>
                <c:pt idx="876">
                  <c:v>1.2433248183250645E-2</c:v>
                </c:pt>
                <c:pt idx="877">
                  <c:v>1.2432910671409069E-2</c:v>
                </c:pt>
                <c:pt idx="878">
                  <c:v>1.2432528634730752E-2</c:v>
                </c:pt>
                <c:pt idx="879">
                  <c:v>1.2432102810875938E-2</c:v>
                </c:pt>
                <c:pt idx="880">
                  <c:v>1.243164015301979E-2</c:v>
                </c:pt>
                <c:pt idx="881">
                  <c:v>1.2431121792332852E-2</c:v>
                </c:pt>
                <c:pt idx="882">
                  <c:v>1.2430546702017455E-2</c:v>
                </c:pt>
                <c:pt idx="883">
                  <c:v>1.2429935837225736E-2</c:v>
                </c:pt>
                <c:pt idx="884">
                  <c:v>1.2429279237126533E-2</c:v>
                </c:pt>
                <c:pt idx="885">
                  <c:v>1.2428571408756275E-2</c:v>
                </c:pt>
                <c:pt idx="886">
                  <c:v>1.2427820082690721E-2</c:v>
                </c:pt>
                <c:pt idx="887">
                  <c:v>1.2427026239696102E-2</c:v>
                </c:pt>
                <c:pt idx="888">
                  <c:v>1.242619438358738E-2</c:v>
                </c:pt>
                <c:pt idx="889">
                  <c:v>1.2425308735124072E-2</c:v>
                </c:pt>
                <c:pt idx="890">
                  <c:v>1.242436608489454E-2</c:v>
                </c:pt>
                <c:pt idx="891">
                  <c:v>1.2423386882026058E-2</c:v>
                </c:pt>
                <c:pt idx="892">
                  <c:v>1.2422362514957232E-2</c:v>
                </c:pt>
                <c:pt idx="893">
                  <c:v>1.2421287074195635E-2</c:v>
                </c:pt>
                <c:pt idx="894">
                  <c:v>1.2420167828816709E-2</c:v>
                </c:pt>
                <c:pt idx="895">
                  <c:v>1.2419006117582178E-2</c:v>
                </c:pt>
                <c:pt idx="896">
                  <c:v>1.2417806500193305E-2</c:v>
                </c:pt>
                <c:pt idx="897">
                  <c:v>1.2416553168034057E-2</c:v>
                </c:pt>
                <c:pt idx="898">
                  <c:v>1.2415242904072466E-2</c:v>
                </c:pt>
                <c:pt idx="899">
                  <c:v>1.2413896093860401E-2</c:v>
                </c:pt>
                <c:pt idx="900">
                  <c:v>1.2412504166568045E-2</c:v>
                </c:pt>
                <c:pt idx="901">
                  <c:v>1.2411061229444792E-2</c:v>
                </c:pt>
                <c:pt idx="902">
                  <c:v>1.2409574527444563E-2</c:v>
                </c:pt>
                <c:pt idx="903">
                  <c:v>1.2408043398972989E-2</c:v>
                </c:pt>
                <c:pt idx="904">
                  <c:v>1.2406468589379407E-2</c:v>
                </c:pt>
                <c:pt idx="905">
                  <c:v>1.2404857063521586E-2</c:v>
                </c:pt>
                <c:pt idx="906">
                  <c:v>1.2403189950329805E-2</c:v>
                </c:pt>
                <c:pt idx="907">
                  <c:v>1.2401466229217263E-2</c:v>
                </c:pt>
                <c:pt idx="908">
                  <c:v>1.2399706873825442E-2</c:v>
                </c:pt>
                <c:pt idx="909">
                  <c:v>1.2397901927001569E-2</c:v>
                </c:pt>
                <c:pt idx="910">
                  <c:v>1.2396045901167876E-2</c:v>
                </c:pt>
                <c:pt idx="911">
                  <c:v>1.2394146537259197E-2</c:v>
                </c:pt>
                <c:pt idx="912">
                  <c:v>1.2392204824212145E-2</c:v>
                </c:pt>
                <c:pt idx="913">
                  <c:v>1.2390225274986087E-2</c:v>
                </c:pt>
                <c:pt idx="914">
                  <c:v>1.2388192113806932E-2</c:v>
                </c:pt>
                <c:pt idx="915">
                  <c:v>1.2386102137834872E-2</c:v>
                </c:pt>
                <c:pt idx="916">
                  <c:v>1.2383975808819439E-2</c:v>
                </c:pt>
                <c:pt idx="917">
                  <c:v>1.2381804521793984E-2</c:v>
                </c:pt>
                <c:pt idx="918">
                  <c:v>1.2379582374410865E-2</c:v>
                </c:pt>
                <c:pt idx="919">
                  <c:v>1.2377316643829957E-2</c:v>
                </c:pt>
                <c:pt idx="920">
                  <c:v>1.2375008676576559E-2</c:v>
                </c:pt>
                <c:pt idx="921">
                  <c:v>1.2372663040659829E-2</c:v>
                </c:pt>
                <c:pt idx="922">
                  <c:v>1.2370263936058095E-2</c:v>
                </c:pt>
                <c:pt idx="923">
                  <c:v>1.2367808153073249E-2</c:v>
                </c:pt>
                <c:pt idx="924">
                  <c:v>1.2365316083743048E-2</c:v>
                </c:pt>
                <c:pt idx="925">
                  <c:v>1.2362779166479477E-2</c:v>
                </c:pt>
                <c:pt idx="926">
                  <c:v>1.2360191517727909E-2</c:v>
                </c:pt>
                <c:pt idx="927">
                  <c:v>1.2357560388544258E-2</c:v>
                </c:pt>
                <c:pt idx="928">
                  <c:v>1.2354885125596213E-2</c:v>
                </c:pt>
                <c:pt idx="929">
                  <c:v>1.2352166481830528E-2</c:v>
                </c:pt>
                <c:pt idx="930">
                  <c:v>1.2349411427502238E-2</c:v>
                </c:pt>
                <c:pt idx="931">
                  <c:v>1.2346601107452658E-2</c:v>
                </c:pt>
                <c:pt idx="932">
                  <c:v>1.2343734508881482E-2</c:v>
                </c:pt>
                <c:pt idx="933">
                  <c:v>1.2340832604284277E-2</c:v>
                </c:pt>
                <c:pt idx="934">
                  <c:v>1.2337885450064451E-2</c:v>
                </c:pt>
                <c:pt idx="935">
                  <c:v>1.2334887569610651E-2</c:v>
                </c:pt>
                <c:pt idx="936">
                  <c:v>1.2331846707008976E-2</c:v>
                </c:pt>
                <c:pt idx="937">
                  <c:v>1.232876385890232E-2</c:v>
                </c:pt>
                <c:pt idx="938">
                  <c:v>1.2325643543062901E-2</c:v>
                </c:pt>
                <c:pt idx="939">
                  <c:v>1.2322470003667013E-2</c:v>
                </c:pt>
                <c:pt idx="940">
                  <c:v>1.231924004835425E-2</c:v>
                </c:pt>
                <c:pt idx="941">
                  <c:v>1.2315974130755329E-2</c:v>
                </c:pt>
                <c:pt idx="942">
                  <c:v>1.2312663661585456E-2</c:v>
                </c:pt>
                <c:pt idx="943">
                  <c:v>1.2309302752396948E-2</c:v>
                </c:pt>
                <c:pt idx="944">
                  <c:v>1.2305898681335165E-2</c:v>
                </c:pt>
                <c:pt idx="945">
                  <c:v>1.2302452802087379E-2</c:v>
                </c:pt>
                <c:pt idx="946">
                  <c:v>1.2298969685687963E-2</c:v>
                </c:pt>
                <c:pt idx="947">
                  <c:v>1.2295433557417069E-2</c:v>
                </c:pt>
                <c:pt idx="948">
                  <c:v>1.2291841219946739E-2</c:v>
                </c:pt>
                <c:pt idx="949">
                  <c:v>1.2288213050137079E-2</c:v>
                </c:pt>
                <c:pt idx="950">
                  <c:v>1.2284540505198826E-2</c:v>
                </c:pt>
                <c:pt idx="951">
                  <c:v>1.2280817717625894E-2</c:v>
                </c:pt>
                <c:pt idx="952">
                  <c:v>1.2277051937013159E-2</c:v>
                </c:pt>
                <c:pt idx="953">
                  <c:v>1.2273242519447732E-2</c:v>
                </c:pt>
                <c:pt idx="954">
                  <c:v>1.2269390224786242E-2</c:v>
                </c:pt>
                <c:pt idx="955">
                  <c:v>1.2265502021507549E-2</c:v>
                </c:pt>
                <c:pt idx="956">
                  <c:v>1.2261559092646339E-2</c:v>
                </c:pt>
                <c:pt idx="957">
                  <c:v>1.2257560434741521E-2</c:v>
                </c:pt>
                <c:pt idx="958">
                  <c:v>1.2253526995101434E-2</c:v>
                </c:pt>
                <c:pt idx="959">
                  <c:v>1.2249448855786535E-2</c:v>
                </c:pt>
                <c:pt idx="960">
                  <c:v>1.2245320558273749E-2</c:v>
                </c:pt>
                <c:pt idx="961">
                  <c:v>1.2241149840988353E-2</c:v>
                </c:pt>
                <c:pt idx="962">
                  <c:v>1.2236937707443007E-2</c:v>
                </c:pt>
                <c:pt idx="963">
                  <c:v>1.2232688675260955E-2</c:v>
                </c:pt>
                <c:pt idx="964">
                  <c:v>1.2228387028158313E-2</c:v>
                </c:pt>
                <c:pt idx="965">
                  <c:v>1.2224029588574171E-2</c:v>
                </c:pt>
                <c:pt idx="966">
                  <c:v>1.2219636777893183E-2</c:v>
                </c:pt>
                <c:pt idx="967">
                  <c:v>1.221520003343299E-2</c:v>
                </c:pt>
                <c:pt idx="968">
                  <c:v>1.2210713487945337E-2</c:v>
                </c:pt>
                <c:pt idx="969">
                  <c:v>1.2206184412356326E-2</c:v>
                </c:pt>
                <c:pt idx="970">
                  <c:v>1.2201614165962479E-2</c:v>
                </c:pt>
                <c:pt idx="971">
                  <c:v>1.2197007317466233E-2</c:v>
                </c:pt>
                <c:pt idx="972">
                  <c:v>1.2192348139456867E-2</c:v>
                </c:pt>
                <c:pt idx="973">
                  <c:v>1.2187633450929989E-2</c:v>
                </c:pt>
                <c:pt idx="974">
                  <c:v>1.2182883587234915E-2</c:v>
                </c:pt>
                <c:pt idx="975">
                  <c:v>1.2178090036333021E-2</c:v>
                </c:pt>
                <c:pt idx="976">
                  <c:v>1.21732469549658E-2</c:v>
                </c:pt>
                <c:pt idx="977">
                  <c:v>1.2168361582306022E-2</c:v>
                </c:pt>
                <c:pt idx="978">
                  <c:v>1.2163433285281166E-2</c:v>
                </c:pt>
                <c:pt idx="979">
                  <c:v>1.215846283017644E-2</c:v>
                </c:pt>
                <c:pt idx="980">
                  <c:v>1.2153457174401167E-2</c:v>
                </c:pt>
                <c:pt idx="981">
                  <c:v>1.2148397565459238E-2</c:v>
                </c:pt>
                <c:pt idx="982">
                  <c:v>1.2143283011377366E-2</c:v>
                </c:pt>
                <c:pt idx="983">
                  <c:v>1.2138134406310593E-2</c:v>
                </c:pt>
                <c:pt idx="984">
                  <c:v>1.2132941871887851E-2</c:v>
                </c:pt>
                <c:pt idx="985">
                  <c:v>1.2127699975581155E-2</c:v>
                </c:pt>
                <c:pt idx="986">
                  <c:v>1.2122416440483428E-2</c:v>
                </c:pt>
                <c:pt idx="987">
                  <c:v>1.21170922754473E-2</c:v>
                </c:pt>
                <c:pt idx="988">
                  <c:v>1.2111731992068497E-2</c:v>
                </c:pt>
                <c:pt idx="989">
                  <c:v>1.2106319937787503E-2</c:v>
                </c:pt>
                <c:pt idx="990">
                  <c:v>1.2100852954289061E-2</c:v>
                </c:pt>
                <c:pt idx="991">
                  <c:v>1.2095351401341945E-2</c:v>
                </c:pt>
                <c:pt idx="992">
                  <c:v>1.2089806756508344E-2</c:v>
                </c:pt>
                <c:pt idx="993">
                  <c:v>1.2084213182918234E-2</c:v>
                </c:pt>
                <c:pt idx="994">
                  <c:v>1.2078577933936553E-2</c:v>
                </c:pt>
                <c:pt idx="995">
                  <c:v>1.2072902372979397E-2</c:v>
                </c:pt>
                <c:pt idx="996">
                  <c:v>1.2067191059914191E-2</c:v>
                </c:pt>
                <c:pt idx="997">
                  <c:v>1.2061428339356734E-2</c:v>
                </c:pt>
                <c:pt idx="998">
                  <c:v>1.2055611052017743E-2</c:v>
                </c:pt>
                <c:pt idx="999">
                  <c:v>1.2049759461317405E-2</c:v>
                </c:pt>
                <c:pt idx="1000">
                  <c:v>1.2043865099598408E-2</c:v>
                </c:pt>
                <c:pt idx="1001">
                  <c:v>1.2037922157521348E-2</c:v>
                </c:pt>
                <c:pt idx="1002">
                  <c:v>1.2031937853237178E-2</c:v>
                </c:pt>
                <c:pt idx="1003">
                  <c:v>1.2025911565974769E-2</c:v>
                </c:pt>
                <c:pt idx="1004">
                  <c:v>1.2019844067811945E-2</c:v>
                </c:pt>
                <c:pt idx="1005">
                  <c:v>1.2013742294104875E-2</c:v>
                </c:pt>
                <c:pt idx="1006">
                  <c:v>1.2007587588471124E-2</c:v>
                </c:pt>
                <c:pt idx="1007">
                  <c:v>1.2001378973123837E-2</c:v>
                </c:pt>
                <c:pt idx="1008">
                  <c:v>1.1995137254589897E-2</c:v>
                </c:pt>
                <c:pt idx="1009">
                  <c:v>1.1988852611049164E-2</c:v>
                </c:pt>
                <c:pt idx="1010">
                  <c:v>1.1982519646150207E-2</c:v>
                </c:pt>
                <c:pt idx="1011">
                  <c:v>1.1976146055042807E-2</c:v>
                </c:pt>
                <c:pt idx="1012">
                  <c:v>1.1969732851421076E-2</c:v>
                </c:pt>
                <c:pt idx="1013">
                  <c:v>1.1963284532499509E-2</c:v>
                </c:pt>
                <c:pt idx="1014">
                  <c:v>1.195678553699649E-2</c:v>
                </c:pt>
                <c:pt idx="1015">
                  <c:v>1.1950232733691939E-2</c:v>
                </c:pt>
                <c:pt idx="1016">
                  <c:v>1.1943646385112227E-2</c:v>
                </c:pt>
                <c:pt idx="1017">
                  <c:v>1.1937018024006849E-2</c:v>
                </c:pt>
                <c:pt idx="1018">
                  <c:v>1.1930341855429094E-2</c:v>
                </c:pt>
                <c:pt idx="1019">
                  <c:v>1.1923625103213658E-2</c:v>
                </c:pt>
                <c:pt idx="1020">
                  <c:v>1.1916869132959607E-2</c:v>
                </c:pt>
                <c:pt idx="1021">
                  <c:v>1.191007848734563E-2</c:v>
                </c:pt>
                <c:pt idx="1022">
                  <c:v>1.1903237612561485E-2</c:v>
                </c:pt>
                <c:pt idx="1023">
                  <c:v>1.1896343378086097E-2</c:v>
                </c:pt>
                <c:pt idx="1024">
                  <c:v>1.1889415938443301E-2</c:v>
                </c:pt>
                <c:pt idx="1025">
                  <c:v>1.1882446886669201E-2</c:v>
                </c:pt>
                <c:pt idx="1026">
                  <c:v>1.1875430458762543E-2</c:v>
                </c:pt>
                <c:pt idx="1027">
                  <c:v>1.1868373839253115E-2</c:v>
                </c:pt>
                <c:pt idx="1028">
                  <c:v>1.1861276421602063E-2</c:v>
                </c:pt>
                <c:pt idx="1029">
                  <c:v>1.1854138982929236E-2</c:v>
                </c:pt>
                <c:pt idx="1030">
                  <c:v>1.1846968423239309E-2</c:v>
                </c:pt>
                <c:pt idx="1031">
                  <c:v>1.1839746218789578E-2</c:v>
                </c:pt>
                <c:pt idx="1032">
                  <c:v>1.1832471409388721E-2</c:v>
                </c:pt>
                <c:pt idx="1033">
                  <c:v>1.1825164674223751E-2</c:v>
                </c:pt>
                <c:pt idx="1034">
                  <c:v>1.1817816267643531E-2</c:v>
                </c:pt>
                <c:pt idx="1035">
                  <c:v>1.1810420840342209E-2</c:v>
                </c:pt>
                <c:pt idx="1036">
                  <c:v>1.1802986045775411E-2</c:v>
                </c:pt>
                <c:pt idx="1037">
                  <c:v>1.179551290090885E-2</c:v>
                </c:pt>
                <c:pt idx="1038">
                  <c:v>1.1788005879448555E-2</c:v>
                </c:pt>
                <c:pt idx="1039">
                  <c:v>1.1780449544628101E-2</c:v>
                </c:pt>
                <c:pt idx="1040">
                  <c:v>1.1772840799083487E-2</c:v>
                </c:pt>
                <c:pt idx="1041">
                  <c:v>1.176519976732128E-2</c:v>
                </c:pt>
                <c:pt idx="1042">
                  <c:v>1.1757518055555614E-2</c:v>
                </c:pt>
                <c:pt idx="1043">
                  <c:v>1.1749789923247865E-2</c:v>
                </c:pt>
                <c:pt idx="1044">
                  <c:v>1.1742022550636361E-2</c:v>
                </c:pt>
                <c:pt idx="1045">
                  <c:v>1.1734217303262873E-2</c:v>
                </c:pt>
                <c:pt idx="1046">
                  <c:v>1.1726378696963018E-2</c:v>
                </c:pt>
                <c:pt idx="1047">
                  <c:v>1.171849131419311E-2</c:v>
                </c:pt>
                <c:pt idx="1048">
                  <c:v>1.171055206108418E-2</c:v>
                </c:pt>
                <c:pt idx="1049">
                  <c:v>1.1702580939913717E-2</c:v>
                </c:pt>
                <c:pt idx="1050">
                  <c:v>1.1694569623347502E-2</c:v>
                </c:pt>
                <c:pt idx="1051">
                  <c:v>1.1686512406175483E-2</c:v>
                </c:pt>
                <c:pt idx="1052">
                  <c:v>1.1678416424386459E-2</c:v>
                </c:pt>
                <c:pt idx="1053">
                  <c:v>1.1670281087719307E-2</c:v>
                </c:pt>
                <c:pt idx="1054">
                  <c:v>1.16621071775796E-2</c:v>
                </c:pt>
                <c:pt idx="1055">
                  <c:v>1.1653901542755319E-2</c:v>
                </c:pt>
                <c:pt idx="1056">
                  <c:v>1.1645645835040838E-2</c:v>
                </c:pt>
                <c:pt idx="1057">
                  <c:v>1.1637339116051609E-2</c:v>
                </c:pt>
                <c:pt idx="1058">
                  <c:v>1.1629001890400132E-2</c:v>
                </c:pt>
                <c:pt idx="1059">
                  <c:v>1.1620624511276224E-2</c:v>
                </c:pt>
                <c:pt idx="1060">
                  <c:v>1.161220169029663E-2</c:v>
                </c:pt>
                <c:pt idx="1061">
                  <c:v>1.1603741021959622E-2</c:v>
                </c:pt>
                <c:pt idx="1062">
                  <c:v>1.1595243524078891E-2</c:v>
                </c:pt>
                <c:pt idx="1063">
                  <c:v>1.1586713637507066E-2</c:v>
                </c:pt>
                <c:pt idx="1064">
                  <c:v>1.1578136088146168E-2</c:v>
                </c:pt>
                <c:pt idx="1065">
                  <c:v>1.1569507820274768E-2</c:v>
                </c:pt>
                <c:pt idx="1066">
                  <c:v>1.1560848772526194E-2</c:v>
                </c:pt>
                <c:pt idx="1067">
                  <c:v>1.155215064596775E-2</c:v>
                </c:pt>
                <c:pt idx="1068">
                  <c:v>1.154340776910795E-2</c:v>
                </c:pt>
                <c:pt idx="1069">
                  <c:v>1.1534627261411487E-2</c:v>
                </c:pt>
                <c:pt idx="1070">
                  <c:v>1.1525810485692853E-2</c:v>
                </c:pt>
                <c:pt idx="1071">
                  <c:v>1.151696192073449E-2</c:v>
                </c:pt>
                <c:pt idx="1072">
                  <c:v>1.1508066325056908E-2</c:v>
                </c:pt>
                <c:pt idx="1073">
                  <c:v>1.1499120649521955E-2</c:v>
                </c:pt>
                <c:pt idx="1074">
                  <c:v>1.14901446944395E-2</c:v>
                </c:pt>
                <c:pt idx="1075">
                  <c:v>1.1481130234232624E-2</c:v>
                </c:pt>
                <c:pt idx="1076">
                  <c:v>1.147207163768877E-2</c:v>
                </c:pt>
                <c:pt idx="1077">
                  <c:v>1.1462975974637307E-2</c:v>
                </c:pt>
                <c:pt idx="1078">
                  <c:v>1.1453842673421057E-2</c:v>
                </c:pt>
                <c:pt idx="1079">
                  <c:v>1.144467251728478E-2</c:v>
                </c:pt>
                <c:pt idx="1080">
                  <c:v>1.1435472287974662E-2</c:v>
                </c:pt>
                <c:pt idx="1081">
                  <c:v>1.1426223863276828E-2</c:v>
                </c:pt>
                <c:pt idx="1082">
                  <c:v>1.141692632778233E-2</c:v>
                </c:pt>
                <c:pt idx="1083">
                  <c:v>1.1407599958261279E-2</c:v>
                </c:pt>
                <c:pt idx="1084">
                  <c:v>1.1398235234040146E-2</c:v>
                </c:pt>
                <c:pt idx="1085">
                  <c:v>1.1388826941730124E-2</c:v>
                </c:pt>
                <c:pt idx="1086">
                  <c:v>1.1379382597506154E-2</c:v>
                </c:pt>
                <c:pt idx="1087">
                  <c:v>1.1369903219073061E-2</c:v>
                </c:pt>
                <c:pt idx="1088">
                  <c:v>1.1360393201194752E-2</c:v>
                </c:pt>
                <c:pt idx="1089">
                  <c:v>1.1350837475098404E-2</c:v>
                </c:pt>
                <c:pt idx="1090">
                  <c:v>1.1341233037465308E-2</c:v>
                </c:pt>
                <c:pt idx="1091">
                  <c:v>1.133159958644122E-2</c:v>
                </c:pt>
                <c:pt idx="1092">
                  <c:v>1.1321928941042527E-2</c:v>
                </c:pt>
                <c:pt idx="1093">
                  <c:v>1.1312215515331804E-2</c:v>
                </c:pt>
                <c:pt idx="1094">
                  <c:v>1.1302466350032158E-2</c:v>
                </c:pt>
                <c:pt idx="1095">
                  <c:v>1.1292682802480603E-2</c:v>
                </c:pt>
                <c:pt idx="1096">
                  <c:v>1.1282869300048081E-2</c:v>
                </c:pt>
                <c:pt idx="1097">
                  <c:v>1.1273010822038654E-2</c:v>
                </c:pt>
                <c:pt idx="1098">
                  <c:v>1.1263104375252039E-2</c:v>
                </c:pt>
                <c:pt idx="1099">
                  <c:v>1.1253169501559761E-2</c:v>
                </c:pt>
                <c:pt idx="1100">
                  <c:v>1.1243198100856937E-2</c:v>
                </c:pt>
                <c:pt idx="1101">
                  <c:v>1.1233184633002647E-2</c:v>
                </c:pt>
                <c:pt idx="1102">
                  <c:v>1.1223136082925371E-2</c:v>
                </c:pt>
                <c:pt idx="1103">
                  <c:v>1.1213051899634516E-2</c:v>
                </c:pt>
                <c:pt idx="1104">
                  <c:v>1.1202932866833217E-2</c:v>
                </c:pt>
                <c:pt idx="1105">
                  <c:v>1.1192785678587922E-2</c:v>
                </c:pt>
                <c:pt idx="1106">
                  <c:v>1.1182592493628882E-2</c:v>
                </c:pt>
                <c:pt idx="1107">
                  <c:v>1.117235242473095E-2</c:v>
                </c:pt>
                <c:pt idx="1108">
                  <c:v>1.1162085459859125E-2</c:v>
                </c:pt>
                <c:pt idx="1109">
                  <c:v>1.1151782233519765E-2</c:v>
                </c:pt>
                <c:pt idx="1110">
                  <c:v>1.1141437624427028E-2</c:v>
                </c:pt>
                <c:pt idx="1111">
                  <c:v>1.113105904844814E-2</c:v>
                </c:pt>
                <c:pt idx="1112">
                  <c:v>1.1120647519769964E-2</c:v>
                </c:pt>
                <c:pt idx="1113">
                  <c:v>1.1110207374519902E-2</c:v>
                </c:pt>
                <c:pt idx="1114">
                  <c:v>1.1099723798473094E-2</c:v>
                </c:pt>
                <c:pt idx="1115">
                  <c:v>1.1089193850155894E-2</c:v>
                </c:pt>
                <c:pt idx="1116">
                  <c:v>1.1078636925392875E-2</c:v>
                </c:pt>
                <c:pt idx="1117">
                  <c:v>1.1068044988353558E-2</c:v>
                </c:pt>
                <c:pt idx="1118">
                  <c:v>1.1057412557493426E-2</c:v>
                </c:pt>
                <c:pt idx="1119">
                  <c:v>1.1046746572253834E-2</c:v>
                </c:pt>
                <c:pt idx="1120">
                  <c:v>1.1036048380002333E-2</c:v>
                </c:pt>
                <c:pt idx="1121">
                  <c:v>1.1025322344517275E-2</c:v>
                </c:pt>
                <c:pt idx="1122">
                  <c:v>1.1014553717057143E-2</c:v>
                </c:pt>
                <c:pt idx="1123">
                  <c:v>1.1003739569314856E-2</c:v>
                </c:pt>
                <c:pt idx="1124">
                  <c:v>1.0992899120712749E-2</c:v>
                </c:pt>
                <c:pt idx="1125">
                  <c:v>1.0982024425248663E-2</c:v>
                </c:pt>
                <c:pt idx="1126">
                  <c:v>1.0971110052932817E-2</c:v>
                </c:pt>
                <c:pt idx="1127">
                  <c:v>1.0960162880524994E-2</c:v>
                </c:pt>
                <c:pt idx="1128">
                  <c:v>1.0949182380772238E-2</c:v>
                </c:pt>
                <c:pt idx="1129">
                  <c:v>1.0938169336523976E-2</c:v>
                </c:pt>
                <c:pt idx="1130">
                  <c:v>1.0927130331030897E-2</c:v>
                </c:pt>
                <c:pt idx="1131">
                  <c:v>1.0916047865291037E-2</c:v>
                </c:pt>
                <c:pt idx="1132">
                  <c:v>1.0904921085717606E-2</c:v>
                </c:pt>
                <c:pt idx="1133">
                  <c:v>1.0893769623191118E-2</c:v>
                </c:pt>
                <c:pt idx="1134">
                  <c:v>1.088258429964962E-2</c:v>
                </c:pt>
                <c:pt idx="1135">
                  <c:v>1.0871360104835023E-2</c:v>
                </c:pt>
                <c:pt idx="1136">
                  <c:v>1.0860104329629541E-2</c:v>
                </c:pt>
                <c:pt idx="1137">
                  <c:v>1.0848817981676862E-2</c:v>
                </c:pt>
                <c:pt idx="1138">
                  <c:v>1.083750532329596E-2</c:v>
                </c:pt>
                <c:pt idx="1139">
                  <c:v>1.0826151848633597E-2</c:v>
                </c:pt>
                <c:pt idx="1140">
                  <c:v>1.0814754689268241E-2</c:v>
                </c:pt>
                <c:pt idx="1141">
                  <c:v>1.0803332870446825E-2</c:v>
                </c:pt>
                <c:pt idx="1142">
                  <c:v>1.0791878530884726E-2</c:v>
                </c:pt>
                <c:pt idx="1143">
                  <c:v>1.0780386313523974E-2</c:v>
                </c:pt>
                <c:pt idx="1144">
                  <c:v>1.0768863032918314E-2</c:v>
                </c:pt>
                <c:pt idx="1145">
                  <c:v>1.075731002263847E-2</c:v>
                </c:pt>
                <c:pt idx="1146">
                  <c:v>1.0745731566454969E-2</c:v>
                </c:pt>
                <c:pt idx="1147">
                  <c:v>1.0734113242114832E-2</c:v>
                </c:pt>
                <c:pt idx="1148">
                  <c:v>1.0722452198671741E-2</c:v>
                </c:pt>
                <c:pt idx="1149">
                  <c:v>1.0710767263484472E-2</c:v>
                </c:pt>
                <c:pt idx="1150">
                  <c:v>1.0699050673868712E-2</c:v>
                </c:pt>
                <c:pt idx="1151">
                  <c:v>1.0687297130933155E-2</c:v>
                </c:pt>
                <c:pt idx="1152">
                  <c:v>1.0675513378969735E-2</c:v>
                </c:pt>
                <c:pt idx="1153">
                  <c:v>1.0663698916903946E-2</c:v>
                </c:pt>
                <c:pt idx="1154">
                  <c:v>1.0651854524199028E-2</c:v>
                </c:pt>
                <c:pt idx="1155">
                  <c:v>1.0639986648985033E-2</c:v>
                </c:pt>
                <c:pt idx="1156">
                  <c:v>1.0628078202366009E-2</c:v>
                </c:pt>
                <c:pt idx="1157">
                  <c:v>1.0616128367997411E-2</c:v>
                </c:pt>
                <c:pt idx="1158">
                  <c:v>1.0604156345603286E-2</c:v>
                </c:pt>
                <c:pt idx="1159">
                  <c:v>1.0592153180403329E-2</c:v>
                </c:pt>
                <c:pt idx="1160">
                  <c:v>1.0580113992974375E-2</c:v>
                </c:pt>
                <c:pt idx="1161">
                  <c:v>1.0568045922244491E-2</c:v>
                </c:pt>
                <c:pt idx="1162">
                  <c:v>1.0555949966569726E-2</c:v>
                </c:pt>
                <c:pt idx="1163">
                  <c:v>1.0543830296870822E-2</c:v>
                </c:pt>
                <c:pt idx="1164">
                  <c:v>1.053167277304788E-2</c:v>
                </c:pt>
                <c:pt idx="1165">
                  <c:v>1.0519474613430908E-2</c:v>
                </c:pt>
                <c:pt idx="1166">
                  <c:v>1.0507254398055711E-2</c:v>
                </c:pt>
                <c:pt idx="1167">
                  <c:v>1.049500447127223E-2</c:v>
                </c:pt>
                <c:pt idx="1168">
                  <c:v>1.0482719622636652E-2</c:v>
                </c:pt>
                <c:pt idx="1169">
                  <c:v>1.0470406515991907E-2</c:v>
                </c:pt>
                <c:pt idx="1170">
                  <c:v>1.0458066466276133E-2</c:v>
                </c:pt>
                <c:pt idx="1171">
                  <c:v>1.0445703659358556E-2</c:v>
                </c:pt>
                <c:pt idx="1172">
                  <c:v>1.0433304059354562E-2</c:v>
                </c:pt>
                <c:pt idx="1173">
                  <c:v>1.0420864906017051E-2</c:v>
                </c:pt>
                <c:pt idx="1174">
                  <c:v>1.0408404557566956E-2</c:v>
                </c:pt>
                <c:pt idx="1175">
                  <c:v>1.0395915466820844E-2</c:v>
                </c:pt>
                <c:pt idx="1176">
                  <c:v>1.0383392488852632E-2</c:v>
                </c:pt>
                <c:pt idx="1177">
                  <c:v>1.037084220870064E-2</c:v>
                </c:pt>
                <c:pt idx="1178">
                  <c:v>1.0358264153754893E-2</c:v>
                </c:pt>
                <c:pt idx="1179">
                  <c:v>1.0345659096494288E-2</c:v>
                </c:pt>
                <c:pt idx="1180">
                  <c:v>1.0333033324758198E-2</c:v>
                </c:pt>
                <c:pt idx="1181">
                  <c:v>1.0320370232957756E-2</c:v>
                </c:pt>
                <c:pt idx="1182">
                  <c:v>1.0307669044975792E-2</c:v>
                </c:pt>
                <c:pt idx="1183">
                  <c:v>1.0294948448942335E-2</c:v>
                </c:pt>
                <c:pt idx="1184">
                  <c:v>1.0282199752549048E-2</c:v>
                </c:pt>
                <c:pt idx="1185">
                  <c:v>1.0269418228103438E-2</c:v>
                </c:pt>
                <c:pt idx="1186">
                  <c:v>1.0256610832527813E-2</c:v>
                </c:pt>
                <c:pt idx="1187">
                  <c:v>1.0243778550306904E-2</c:v>
                </c:pt>
                <c:pt idx="1188">
                  <c:v>1.0230925445218352E-2</c:v>
                </c:pt>
                <c:pt idx="1189">
                  <c:v>1.0218037805975331E-2</c:v>
                </c:pt>
                <c:pt idx="1190">
                  <c:v>1.0205112947812192E-2</c:v>
                </c:pt>
                <c:pt idx="1191">
                  <c:v>1.0192168926009897E-2</c:v>
                </c:pt>
                <c:pt idx="1192">
                  <c:v>1.0179198325446059E-2</c:v>
                </c:pt>
                <c:pt idx="1193">
                  <c:v>1.0166196104899952E-2</c:v>
                </c:pt>
                <c:pt idx="1194">
                  <c:v>1.0153168748580783E-2</c:v>
                </c:pt>
                <c:pt idx="1195">
                  <c:v>1.0140117547626025E-2</c:v>
                </c:pt>
                <c:pt idx="1196">
                  <c:v>1.0127046572511194E-2</c:v>
                </c:pt>
                <c:pt idx="1197">
                  <c:v>1.0113942237209494E-2</c:v>
                </c:pt>
                <c:pt idx="1198">
                  <c:v>1.0100801883792625E-2</c:v>
                </c:pt>
                <c:pt idx="1199">
                  <c:v>1.0087643320493606E-2</c:v>
                </c:pt>
                <c:pt idx="1200">
                  <c:v>1.0074459250580321E-2</c:v>
                </c:pt>
                <c:pt idx="1201">
                  <c:v>1.0061244706067504E-2</c:v>
                </c:pt>
                <c:pt idx="1202">
                  <c:v>1.0048006083564848E-2</c:v>
                </c:pt>
                <c:pt idx="1203">
                  <c:v>1.0034744672170089E-2</c:v>
                </c:pt>
                <c:pt idx="1204">
                  <c:v>1.0021464506531706E-2</c:v>
                </c:pt>
                <c:pt idx="1205">
                  <c:v>1.0008152151459759E-2</c:v>
                </c:pt>
                <c:pt idx="1206">
                  <c:v>9.9948049888980931E-3</c:v>
                </c:pt>
                <c:pt idx="1207">
                  <c:v>9.981440633448628E-3</c:v>
                </c:pt>
                <c:pt idx="1208">
                  <c:v>9.9680518737098583E-3</c:v>
                </c:pt>
                <c:pt idx="1209">
                  <c:v>9.9546338042348637E-3</c:v>
                </c:pt>
                <c:pt idx="1210">
                  <c:v>9.941192755800481E-3</c:v>
                </c:pt>
                <c:pt idx="1211">
                  <c:v>9.9277282973591029E-3</c:v>
                </c:pt>
                <c:pt idx="1212">
                  <c:v>9.9142411886298503E-3</c:v>
                </c:pt>
                <c:pt idx="1213">
                  <c:v>9.9007374607498078E-3</c:v>
                </c:pt>
                <c:pt idx="1214">
                  <c:v>9.8872012619248568E-3</c:v>
                </c:pt>
                <c:pt idx="1215">
                  <c:v>9.8736318780032056E-3</c:v>
                </c:pt>
                <c:pt idx="1216">
                  <c:v>9.8600471914731952E-3</c:v>
                </c:pt>
                <c:pt idx="1217">
                  <c:v>9.8464389168265304E-3</c:v>
                </c:pt>
                <c:pt idx="1218">
                  <c:v>9.8328025612146579E-3</c:v>
                </c:pt>
                <c:pt idx="1219">
                  <c:v>9.8191447939236058E-3</c:v>
                </c:pt>
                <c:pt idx="1220">
                  <c:v>9.8054665752249151E-3</c:v>
                </c:pt>
                <c:pt idx="1221">
                  <c:v>9.7917717967911655E-3</c:v>
                </c:pt>
                <c:pt idx="1222">
                  <c:v>9.7780474115597704E-3</c:v>
                </c:pt>
                <c:pt idx="1223">
                  <c:v>9.7642908852868214E-3</c:v>
                </c:pt>
                <c:pt idx="1224">
                  <c:v>9.7505194512880321E-3</c:v>
                </c:pt>
                <c:pt idx="1225">
                  <c:v>9.7367260645316416E-3</c:v>
                </c:pt>
                <c:pt idx="1226">
                  <c:v>9.7229059450313002E-3</c:v>
                </c:pt>
                <c:pt idx="1227">
                  <c:v>9.7090652943504063E-3</c:v>
                </c:pt>
                <c:pt idx="1228">
                  <c:v>9.6952053629865351E-3</c:v>
                </c:pt>
                <c:pt idx="1229">
                  <c:v>9.6813300392203597E-3</c:v>
                </c:pt>
                <c:pt idx="1230">
                  <c:v>9.6674264305675658E-3</c:v>
                </c:pt>
                <c:pt idx="1231">
                  <c:v>9.6534920353053468E-3</c:v>
                </c:pt>
                <c:pt idx="1232">
                  <c:v>9.6395438058797609E-3</c:v>
                </c:pt>
                <c:pt idx="1233">
                  <c:v>9.6255748297326294E-3</c:v>
                </c:pt>
                <c:pt idx="1234">
                  <c:v>9.6115804092460153E-3</c:v>
                </c:pt>
                <c:pt idx="1235">
                  <c:v>9.5975666464147031E-3</c:v>
                </c:pt>
                <c:pt idx="1236">
                  <c:v>9.5835331459321951E-3</c:v>
                </c:pt>
                <c:pt idx="1237">
                  <c:v>9.5694806528155117E-3</c:v>
                </c:pt>
                <c:pt idx="1238">
                  <c:v>9.5554149695743964E-3</c:v>
                </c:pt>
                <c:pt idx="1239">
                  <c:v>9.5413209082378918E-3</c:v>
                </c:pt>
                <c:pt idx="1240">
                  <c:v>9.5271978053323349E-3</c:v>
                </c:pt>
                <c:pt idx="1241">
                  <c:v>9.5130628299734971E-3</c:v>
                </c:pt>
                <c:pt idx="1242">
                  <c:v>9.4989080535484889E-3</c:v>
                </c:pt>
                <c:pt idx="1243">
                  <c:v>9.4847291872963337E-3</c:v>
                </c:pt>
                <c:pt idx="1244">
                  <c:v>9.4705326441560152E-3</c:v>
                </c:pt>
                <c:pt idx="1245">
                  <c:v>9.4563193613489745E-3</c:v>
                </c:pt>
                <c:pt idx="1246">
                  <c:v>9.4420930765940301E-3</c:v>
                </c:pt>
                <c:pt idx="1247">
                  <c:v>9.4278413231374397E-3</c:v>
                </c:pt>
                <c:pt idx="1248">
                  <c:v>9.4135616969399614E-3</c:v>
                </c:pt>
                <c:pt idx="1249">
                  <c:v>9.3992707068121691E-3</c:v>
                </c:pt>
                <c:pt idx="1250">
                  <c:v>9.38496163001107E-3</c:v>
                </c:pt>
                <c:pt idx="1251">
                  <c:v>9.3706299129373907E-3</c:v>
                </c:pt>
                <c:pt idx="1252">
                  <c:v>9.3562815067146764E-3</c:v>
                </c:pt>
                <c:pt idx="1253">
                  <c:v>9.3419176239737216E-3</c:v>
                </c:pt>
                <c:pt idx="1254">
                  <c:v>9.3275419917247752E-3</c:v>
                </c:pt>
                <c:pt idx="1255">
                  <c:v>9.313142320217932E-3</c:v>
                </c:pt>
                <c:pt idx="1256">
                  <c:v>9.2987162410977722E-3</c:v>
                </c:pt>
                <c:pt idx="1257">
                  <c:v>9.2842799579029491E-3</c:v>
                </c:pt>
                <c:pt idx="1258">
                  <c:v>9.2698268902074565E-3</c:v>
                </c:pt>
                <c:pt idx="1259">
                  <c:v>9.2553525736215527E-3</c:v>
                </c:pt>
                <c:pt idx="1260">
                  <c:v>9.2408628509110073E-3</c:v>
                </c:pt>
                <c:pt idx="1261">
                  <c:v>9.226357363570397E-3</c:v>
                </c:pt>
                <c:pt idx="1262">
                  <c:v>9.2118368391186142E-3</c:v>
                </c:pt>
                <c:pt idx="1263">
                  <c:v>9.1973068206988653E-3</c:v>
                </c:pt>
                <c:pt idx="1264">
                  <c:v>9.1827528620225998E-3</c:v>
                </c:pt>
                <c:pt idx="1265">
                  <c:v>9.1681743554050538E-3</c:v>
                </c:pt>
                <c:pt idx="1266">
                  <c:v>9.153587667637738E-3</c:v>
                </c:pt>
                <c:pt idx="1267">
                  <c:v>9.1389852672019E-3</c:v>
                </c:pt>
                <c:pt idx="1268">
                  <c:v>9.1243630921304438E-3</c:v>
                </c:pt>
                <c:pt idx="1269">
                  <c:v>9.1097272662822217E-3</c:v>
                </c:pt>
                <c:pt idx="1270">
                  <c:v>9.0950786977437668E-3</c:v>
                </c:pt>
                <c:pt idx="1271">
                  <c:v>9.0804209515558971E-3</c:v>
                </c:pt>
                <c:pt idx="1272">
                  <c:v>9.0657422074274033E-3</c:v>
                </c:pt>
                <c:pt idx="1273">
                  <c:v>9.0510402025817966E-3</c:v>
                </c:pt>
                <c:pt idx="1274">
                  <c:v>9.0363306354667872E-3</c:v>
                </c:pt>
                <c:pt idx="1275">
                  <c:v>9.0216071410140156E-3</c:v>
                </c:pt>
                <c:pt idx="1276">
                  <c:v>9.0068654154911113E-3</c:v>
                </c:pt>
                <c:pt idx="1277">
                  <c:v>8.9921111285102603E-3</c:v>
                </c:pt>
                <c:pt idx="1278">
                  <c:v>8.9773454486475352E-3</c:v>
                </c:pt>
                <c:pt idx="1279">
                  <c:v>8.9625719211308564E-3</c:v>
                </c:pt>
                <c:pt idx="1280">
                  <c:v>8.9477789239410712E-3</c:v>
                </c:pt>
                <c:pt idx="1281">
                  <c:v>8.9329642354687069E-3</c:v>
                </c:pt>
                <c:pt idx="1282">
                  <c:v>8.9181432236106646E-3</c:v>
                </c:pt>
                <c:pt idx="1283">
                  <c:v>8.9033096748688291E-3</c:v>
                </c:pt>
                <c:pt idx="1284">
                  <c:v>8.8884593821229891E-3</c:v>
                </c:pt>
                <c:pt idx="1285">
                  <c:v>8.8735978975003228E-3</c:v>
                </c:pt>
                <c:pt idx="1286">
                  <c:v>8.8587249009179688E-3</c:v>
                </c:pt>
                <c:pt idx="1287">
                  <c:v>8.8438410980479273E-3</c:v>
                </c:pt>
                <c:pt idx="1288">
                  <c:v>8.8289517433199818E-3</c:v>
                </c:pt>
                <c:pt idx="1289">
                  <c:v>8.8140432098497111E-3</c:v>
                </c:pt>
                <c:pt idx="1290">
                  <c:v>8.7991149480903755E-3</c:v>
                </c:pt>
                <c:pt idx="1291">
                  <c:v>8.7841824345659385E-3</c:v>
                </c:pt>
                <c:pt idx="1292">
                  <c:v>8.7692385754744844E-3</c:v>
                </c:pt>
                <c:pt idx="1293">
                  <c:v>8.7542795568307675E-3</c:v>
                </c:pt>
                <c:pt idx="1294">
                  <c:v>8.7393111804168946E-3</c:v>
                </c:pt>
                <c:pt idx="1295">
                  <c:v>8.724334320486235E-3</c:v>
                </c:pt>
                <c:pt idx="1296">
                  <c:v>8.7093523494569114E-3</c:v>
                </c:pt>
                <c:pt idx="1297">
                  <c:v>8.694354156456887E-3</c:v>
                </c:pt>
                <c:pt idx="1298">
                  <c:v>8.6793376325946699E-3</c:v>
                </c:pt>
                <c:pt idx="1299">
                  <c:v>8.6643175810083937E-3</c:v>
                </c:pt>
                <c:pt idx="1300">
                  <c:v>8.6492880281202906E-3</c:v>
                </c:pt>
                <c:pt idx="1301">
                  <c:v>8.634244943051957E-3</c:v>
                </c:pt>
                <c:pt idx="1302">
                  <c:v>8.6191936830332626E-3</c:v>
                </c:pt>
                <c:pt idx="1303">
                  <c:v>8.6041353656241167E-3</c:v>
                </c:pt>
                <c:pt idx="1304">
                  <c:v>8.5890733354828368E-3</c:v>
                </c:pt>
                <c:pt idx="1305">
                  <c:v>8.5739967004582768E-3</c:v>
                </c:pt>
                <c:pt idx="1306">
                  <c:v>8.5589033963668591E-3</c:v>
                </c:pt>
                <c:pt idx="1307">
                  <c:v>8.5438078733359509E-3</c:v>
                </c:pt>
                <c:pt idx="1308">
                  <c:v>8.5287043177747941E-3</c:v>
                </c:pt>
                <c:pt idx="1309">
                  <c:v>8.5135888013415182E-3</c:v>
                </c:pt>
                <c:pt idx="1310">
                  <c:v>8.4984665556908229E-3</c:v>
                </c:pt>
                <c:pt idx="1311">
                  <c:v>8.483337300669273E-3</c:v>
                </c:pt>
                <c:pt idx="1312">
                  <c:v>8.4682017161600374E-3</c:v>
                </c:pt>
                <c:pt idx="1313">
                  <c:v>8.4530647387846668E-3</c:v>
                </c:pt>
                <c:pt idx="1314">
                  <c:v>8.4379136324476932E-3</c:v>
                </c:pt>
                <c:pt idx="1315">
                  <c:v>8.422747909407325E-3</c:v>
                </c:pt>
                <c:pt idx="1316">
                  <c:v>8.4075820728697487E-3</c:v>
                </c:pt>
                <c:pt idx="1317">
                  <c:v>8.3924095034134515E-3</c:v>
                </c:pt>
                <c:pt idx="1318">
                  <c:v>8.3772266552661848E-3</c:v>
                </c:pt>
                <c:pt idx="1319">
                  <c:v>8.3620389764601875E-3</c:v>
                </c:pt>
                <c:pt idx="1320">
                  <c:v>8.3468473020871722E-3</c:v>
                </c:pt>
                <c:pt idx="1321">
                  <c:v>8.3316547938657552E-3</c:v>
                </c:pt>
                <c:pt idx="1322">
                  <c:v>8.3164511085727488E-3</c:v>
                </c:pt>
                <c:pt idx="1323">
                  <c:v>8.3012343015607479E-3</c:v>
                </c:pt>
                <c:pt idx="1324">
                  <c:v>8.2860182019453589E-3</c:v>
                </c:pt>
                <c:pt idx="1325">
                  <c:v>8.2707972583155858E-3</c:v>
                </c:pt>
                <c:pt idx="1326">
                  <c:v>8.2555677333307573E-3</c:v>
                </c:pt>
                <c:pt idx="1327">
                  <c:v>8.2403346429498932E-3</c:v>
                </c:pt>
                <c:pt idx="1328">
                  <c:v>8.2250990467724883E-3</c:v>
                </c:pt>
                <c:pt idx="1329">
                  <c:v>8.2098640710338896E-3</c:v>
                </c:pt>
                <c:pt idx="1330">
                  <c:v>8.1946196103227648E-3</c:v>
                </c:pt>
                <c:pt idx="1331">
                  <c:v>8.179363767736288E-3</c:v>
                </c:pt>
                <c:pt idx="1332">
                  <c:v>8.1641099986439637E-3</c:v>
                </c:pt>
                <c:pt idx="1333">
                  <c:v>8.148852919368189E-3</c:v>
                </c:pt>
                <c:pt idx="1334">
                  <c:v>8.13358890024426E-3</c:v>
                </c:pt>
                <c:pt idx="1335">
                  <c:v>8.1183228241789255E-3</c:v>
                </c:pt>
                <c:pt idx="1336">
                  <c:v>8.103054451566968E-3</c:v>
                </c:pt>
                <c:pt idx="1337">
                  <c:v>8.0877844312257936E-3</c:v>
                </c:pt>
                <c:pt idx="1338">
                  <c:v>8.0725173566955528E-3</c:v>
                </c:pt>
                <c:pt idx="1339">
                  <c:v>8.0572414492244941E-3</c:v>
                </c:pt>
                <c:pt idx="1340">
                  <c:v>8.0419562825033639E-3</c:v>
                </c:pt>
                <c:pt idx="1341">
                  <c:v>8.0266753104062481E-3</c:v>
                </c:pt>
                <c:pt idx="1342">
                  <c:v>8.0113924222695154E-3</c:v>
                </c:pt>
                <c:pt idx="1343">
                  <c:v>7.9961043572872124E-3</c:v>
                </c:pt>
                <c:pt idx="1344">
                  <c:v>7.980816180881806E-3</c:v>
                </c:pt>
                <c:pt idx="1345">
                  <c:v>7.9655286844913641E-3</c:v>
                </c:pt>
                <c:pt idx="1346">
                  <c:v>7.9502448010467207E-3</c:v>
                </c:pt>
                <c:pt idx="1347">
                  <c:v>7.9349550064939153E-3</c:v>
                </c:pt>
                <c:pt idx="1348">
                  <c:v>7.919657530347516E-3</c:v>
                </c:pt>
                <c:pt idx="1349">
                  <c:v>7.904365155874617E-3</c:v>
                </c:pt>
                <c:pt idx="1350">
                  <c:v>7.889072780937624E-3</c:v>
                </c:pt>
                <c:pt idx="1351">
                  <c:v>7.8737769796557219E-3</c:v>
                </c:pt>
                <c:pt idx="1352">
                  <c:v>7.8584824005329037E-3</c:v>
                </c:pt>
                <c:pt idx="1353">
                  <c:v>7.8431900395359733E-3</c:v>
                </c:pt>
                <c:pt idx="1354">
                  <c:v>7.8279027868359396E-3</c:v>
                </c:pt>
                <c:pt idx="1355">
                  <c:v>7.8126113722965275E-3</c:v>
                </c:pt>
                <c:pt idx="1356">
                  <c:v>7.7973140758067728E-3</c:v>
                </c:pt>
                <c:pt idx="1357">
                  <c:v>7.7820232899911447E-3</c:v>
                </c:pt>
                <c:pt idx="1358">
                  <c:v>7.7667340860890603E-3</c:v>
                </c:pt>
                <c:pt idx="1359">
                  <c:v>7.7514431501241104E-3</c:v>
                </c:pt>
                <c:pt idx="1360">
                  <c:v>7.7361549910506819E-3</c:v>
                </c:pt>
                <c:pt idx="1361">
                  <c:v>7.7208694097888617E-3</c:v>
                </c:pt>
                <c:pt idx="1362">
                  <c:v>7.7055870210134946E-3</c:v>
                </c:pt>
                <c:pt idx="1363">
                  <c:v>7.6903120503627994E-3</c:v>
                </c:pt>
                <c:pt idx="1364">
                  <c:v>7.6750337304357565E-3</c:v>
                </c:pt>
                <c:pt idx="1365">
                  <c:v>7.6597516992490773E-3</c:v>
                </c:pt>
                <c:pt idx="1366">
                  <c:v>7.6444782956150478E-3</c:v>
                </c:pt>
                <c:pt idx="1367">
                  <c:v>7.629207944453772E-3</c:v>
                </c:pt>
                <c:pt idx="1368">
                  <c:v>7.6139376847079053E-3</c:v>
                </c:pt>
                <c:pt idx="1369">
                  <c:v>7.5986721738425167E-3</c:v>
                </c:pt>
                <c:pt idx="1370">
                  <c:v>7.5834121537462712E-3</c:v>
                </c:pt>
                <c:pt idx="1371">
                  <c:v>7.5681603151550227E-3</c:v>
                </c:pt>
                <c:pt idx="1372">
                  <c:v>7.5529079957891597E-3</c:v>
                </c:pt>
                <c:pt idx="1373">
                  <c:v>7.5376536049402256E-3</c:v>
                </c:pt>
                <c:pt idx="1374">
                  <c:v>7.5224088201985544E-3</c:v>
                </c:pt>
                <c:pt idx="1375">
                  <c:v>7.5071690108848635E-3</c:v>
                </c:pt>
                <c:pt idx="1376">
                  <c:v>7.4919310766786915E-3</c:v>
                </c:pt>
                <c:pt idx="1377">
                  <c:v>7.476699275762261E-3</c:v>
                </c:pt>
                <c:pt idx="1378">
                  <c:v>7.4614745346312473E-3</c:v>
                </c:pt>
                <c:pt idx="1379">
                  <c:v>7.446259493457983E-3</c:v>
                </c:pt>
                <c:pt idx="1380">
                  <c:v>7.4310457567262657E-3</c:v>
                </c:pt>
                <c:pt idx="1381">
                  <c:v>7.4158317868064571E-3</c:v>
                </c:pt>
                <c:pt idx="1382">
                  <c:v>7.4006288577260675E-3</c:v>
                </c:pt>
                <c:pt idx="1383">
                  <c:v>7.3854325156435105E-3</c:v>
                </c:pt>
                <c:pt idx="1384">
                  <c:v>7.3702397749845789E-3</c:v>
                </c:pt>
                <c:pt idx="1385">
                  <c:v>7.3550547497695812E-3</c:v>
                </c:pt>
                <c:pt idx="1386">
                  <c:v>7.3398772803724872E-3</c:v>
                </c:pt>
                <c:pt idx="1387">
                  <c:v>7.3247079424096102E-3</c:v>
                </c:pt>
                <c:pt idx="1388">
                  <c:v>7.3095505759414913E-3</c:v>
                </c:pt>
                <c:pt idx="1389">
                  <c:v>7.2943954685542886E-3</c:v>
                </c:pt>
                <c:pt idx="1390">
                  <c:v>7.2792423202988647E-3</c:v>
                </c:pt>
                <c:pt idx="1391">
                  <c:v>7.264102302757874E-3</c:v>
                </c:pt>
                <c:pt idx="1392">
                  <c:v>7.248970398362288E-3</c:v>
                </c:pt>
                <c:pt idx="1393">
                  <c:v>7.2338439554863448E-3</c:v>
                </c:pt>
                <c:pt idx="1394">
                  <c:v>7.2187272028450588E-3</c:v>
                </c:pt>
                <c:pt idx="1395">
                  <c:v>7.2036208281424808E-3</c:v>
                </c:pt>
                <c:pt idx="1396">
                  <c:v>7.1885272683801004E-3</c:v>
                </c:pt>
                <c:pt idx="1397">
                  <c:v>7.1734387547257817E-3</c:v>
                </c:pt>
                <c:pt idx="1398">
                  <c:v>7.1583538795998349E-3</c:v>
                </c:pt>
                <c:pt idx="1399">
                  <c:v>7.1432831685979171E-3</c:v>
                </c:pt>
                <c:pt idx="1400">
                  <c:v>7.1282224785820004E-3</c:v>
                </c:pt>
                <c:pt idx="1401">
                  <c:v>7.1131690442514999E-3</c:v>
                </c:pt>
                <c:pt idx="1402">
                  <c:v>7.0981267154187023E-3</c:v>
                </c:pt>
                <c:pt idx="1403">
                  <c:v>7.0830963434244084E-3</c:v>
                </c:pt>
                <c:pt idx="1404">
                  <c:v>7.0680803085931285E-3</c:v>
                </c:pt>
                <c:pt idx="1405">
                  <c:v>7.0530711174963366E-3</c:v>
                </c:pt>
                <c:pt idx="1406">
                  <c:v>7.038067417220256E-3</c:v>
                </c:pt>
                <c:pt idx="1407">
                  <c:v>7.0230793220341431E-3</c:v>
                </c:pt>
                <c:pt idx="1408">
                  <c:v>7.0081028669268077E-3</c:v>
                </c:pt>
                <c:pt idx="1409">
                  <c:v>6.993135402747686E-3</c:v>
                </c:pt>
                <c:pt idx="1410">
                  <c:v>6.9781806318927513E-3</c:v>
                </c:pt>
                <c:pt idx="1411">
                  <c:v>6.9632384331241234E-3</c:v>
                </c:pt>
                <c:pt idx="1412">
                  <c:v>6.9483093393326615E-3</c:v>
                </c:pt>
                <c:pt idx="1413">
                  <c:v>6.9333967905798911E-3</c:v>
                </c:pt>
                <c:pt idx="1414">
                  <c:v>6.918492157439597E-3</c:v>
                </c:pt>
                <c:pt idx="1415">
                  <c:v>6.9035952006904402E-3</c:v>
                </c:pt>
                <c:pt idx="1416">
                  <c:v>6.8887158879130219E-3</c:v>
                </c:pt>
                <c:pt idx="1417">
                  <c:v>6.8738497722787657E-3</c:v>
                </c:pt>
                <c:pt idx="1418">
                  <c:v>6.8589945174605824E-3</c:v>
                </c:pt>
                <c:pt idx="1419">
                  <c:v>6.8441539081598437E-3</c:v>
                </c:pt>
                <c:pt idx="1420">
                  <c:v>6.8293285745040693E-3</c:v>
                </c:pt>
                <c:pt idx="1421">
                  <c:v>6.8145206906274469E-3</c:v>
                </c:pt>
                <c:pt idx="1422">
                  <c:v>6.7997233988898072E-3</c:v>
                </c:pt>
                <c:pt idx="1423">
                  <c:v>6.7849354771492487E-3</c:v>
                </c:pt>
                <c:pt idx="1424">
                  <c:v>6.77016626849103E-3</c:v>
                </c:pt>
                <c:pt idx="1425">
                  <c:v>6.755412125448633E-3</c:v>
                </c:pt>
                <c:pt idx="1426">
                  <c:v>6.7406706226458809E-3</c:v>
                </c:pt>
                <c:pt idx="1427">
                  <c:v>6.7259451893841443E-3</c:v>
                </c:pt>
                <c:pt idx="1428">
                  <c:v>6.7112365976954086E-3</c:v>
                </c:pt>
                <c:pt idx="1429">
                  <c:v>6.6965469603214268E-3</c:v>
                </c:pt>
                <c:pt idx="1430">
                  <c:v>6.6818696994431484E-3</c:v>
                </c:pt>
                <c:pt idx="1431">
                  <c:v>6.667203647624703E-3</c:v>
                </c:pt>
                <c:pt idx="1432">
                  <c:v>6.6525577349862766E-3</c:v>
                </c:pt>
                <c:pt idx="1433">
                  <c:v>6.6379284910021803E-3</c:v>
                </c:pt>
                <c:pt idx="1434">
                  <c:v>6.6233136058503669E-3</c:v>
                </c:pt>
                <c:pt idx="1435">
                  <c:v>6.6087163602986257E-3</c:v>
                </c:pt>
                <c:pt idx="1436">
                  <c:v>6.5941366689877051E-3</c:v>
                </c:pt>
                <c:pt idx="1437">
                  <c:v>6.5795750189374591E-3</c:v>
                </c:pt>
                <c:pt idx="1438">
                  <c:v>6.5650344420228133E-3</c:v>
                </c:pt>
                <c:pt idx="1439">
                  <c:v>6.550507402622638E-3</c:v>
                </c:pt>
                <c:pt idx="1440">
                  <c:v>6.5359937196421613E-3</c:v>
                </c:pt>
                <c:pt idx="1441">
                  <c:v>6.5215021386690608E-3</c:v>
                </c:pt>
                <c:pt idx="1442">
                  <c:v>6.5070287875972589E-3</c:v>
                </c:pt>
                <c:pt idx="1443">
                  <c:v>6.4925716459369263E-3</c:v>
                </c:pt>
                <c:pt idx="1444">
                  <c:v>6.4781340461538446E-3</c:v>
                </c:pt>
                <c:pt idx="1445">
                  <c:v>6.4637165569200825E-3</c:v>
                </c:pt>
                <c:pt idx="1446">
                  <c:v>6.4493210859329882E-3</c:v>
                </c:pt>
                <c:pt idx="1447">
                  <c:v>6.434941690514436E-3</c:v>
                </c:pt>
                <c:pt idx="1448">
                  <c:v>6.4205773309809269E-3</c:v>
                </c:pt>
                <c:pt idx="1449">
                  <c:v>6.4062361565684778E-3</c:v>
                </c:pt>
                <c:pt idx="1450">
                  <c:v>6.3919150163701827E-3</c:v>
                </c:pt>
                <c:pt idx="1451">
                  <c:v>6.377611823748232E-3</c:v>
                </c:pt>
                <c:pt idx="1452">
                  <c:v>6.3633295813968161E-3</c:v>
                </c:pt>
                <c:pt idx="1453">
                  <c:v>6.3490689789107435E-3</c:v>
                </c:pt>
                <c:pt idx="1454">
                  <c:v>6.3348318588019713E-3</c:v>
                </c:pt>
                <c:pt idx="1455">
                  <c:v>6.3206125571764245E-3</c:v>
                </c:pt>
                <c:pt idx="1456">
                  <c:v>6.306410089033705E-3</c:v>
                </c:pt>
                <c:pt idx="1457">
                  <c:v>6.2922321951482257E-3</c:v>
                </c:pt>
                <c:pt idx="1458">
                  <c:v>6.2780758970160692E-3</c:v>
                </c:pt>
                <c:pt idx="1459">
                  <c:v>6.2639392215367556E-3</c:v>
                </c:pt>
                <c:pt idx="1460">
                  <c:v>6.2498250242230676E-3</c:v>
                </c:pt>
                <c:pt idx="1461">
                  <c:v>6.2357332522941355E-3</c:v>
                </c:pt>
                <c:pt idx="1462">
                  <c:v>6.2216643438678648E-3</c:v>
                </c:pt>
                <c:pt idx="1463">
                  <c:v>6.2076209219450399E-3</c:v>
                </c:pt>
                <c:pt idx="1464">
                  <c:v>6.19359653752472E-3</c:v>
                </c:pt>
                <c:pt idx="1465">
                  <c:v>6.1795910628373134E-3</c:v>
                </c:pt>
                <c:pt idx="1466">
                  <c:v>6.1656120238782622E-3</c:v>
                </c:pt>
                <c:pt idx="1467">
                  <c:v>6.1516561177349565E-3</c:v>
                </c:pt>
                <c:pt idx="1468">
                  <c:v>6.1377216347127906E-3</c:v>
                </c:pt>
                <c:pt idx="1469">
                  <c:v>6.1238114542856523E-3</c:v>
                </c:pt>
                <c:pt idx="1470">
                  <c:v>6.1099260816934566E-3</c:v>
                </c:pt>
                <c:pt idx="1471">
                  <c:v>6.0960671576925215E-3</c:v>
                </c:pt>
                <c:pt idx="1472">
                  <c:v>6.0822296412225453E-3</c:v>
                </c:pt>
                <c:pt idx="1473">
                  <c:v>6.0684126710191036E-3</c:v>
                </c:pt>
                <c:pt idx="1474">
                  <c:v>6.0546232114013854E-3</c:v>
                </c:pt>
                <c:pt idx="1475">
                  <c:v>6.0408585989407014E-3</c:v>
                </c:pt>
                <c:pt idx="1476">
                  <c:v>6.0271170790741234E-3</c:v>
                </c:pt>
                <c:pt idx="1477">
                  <c:v>6.0134012295158593E-3</c:v>
                </c:pt>
                <c:pt idx="1478">
                  <c:v>5.9997116549999358E-3</c:v>
                </c:pt>
                <c:pt idx="1479">
                  <c:v>5.9860499298195697E-3</c:v>
                </c:pt>
                <c:pt idx="1480">
                  <c:v>5.9724112867195296E-3</c:v>
                </c:pt>
                <c:pt idx="1481">
                  <c:v>5.958794915921389E-3</c:v>
                </c:pt>
                <c:pt idx="1482">
                  <c:v>5.9452073846387376E-3</c:v>
                </c:pt>
                <c:pt idx="1483">
                  <c:v>5.9316461957324264E-3</c:v>
                </c:pt>
                <c:pt idx="1484">
                  <c:v>5.9181097034327629E-3</c:v>
                </c:pt>
                <c:pt idx="1485">
                  <c:v>5.9046003416472689E-3</c:v>
                </c:pt>
                <c:pt idx="1486">
                  <c:v>5.8911180867013265E-3</c:v>
                </c:pt>
                <c:pt idx="1487">
                  <c:v>5.8776633261378589E-3</c:v>
                </c:pt>
                <c:pt idx="1488">
                  <c:v>5.8642382792000215E-3</c:v>
                </c:pt>
                <c:pt idx="1489">
                  <c:v>5.8508375564233469E-3</c:v>
                </c:pt>
                <c:pt idx="1490">
                  <c:v>5.8374610788657034E-3</c:v>
                </c:pt>
                <c:pt idx="1491">
                  <c:v>5.8241151764674122E-3</c:v>
                </c:pt>
                <c:pt idx="1492">
                  <c:v>5.810797099592555E-3</c:v>
                </c:pt>
                <c:pt idx="1493">
                  <c:v>5.7975054388165175E-3</c:v>
                </c:pt>
                <c:pt idx="1494">
                  <c:v>5.7842426273879291E-3</c:v>
                </c:pt>
                <c:pt idx="1495">
                  <c:v>5.7710091055159932E-3</c:v>
                </c:pt>
                <c:pt idx="1496">
                  <c:v>5.7578062524819987E-3</c:v>
                </c:pt>
                <c:pt idx="1497">
                  <c:v>5.7446299003216751E-3</c:v>
                </c:pt>
                <c:pt idx="1498">
                  <c:v>5.7314793566957253E-3</c:v>
                </c:pt>
                <c:pt idx="1499">
                  <c:v>5.7183604312873318E-3</c:v>
                </c:pt>
                <c:pt idx="1500">
                  <c:v>5.7052709312265856E-3</c:v>
                </c:pt>
                <c:pt idx="1501">
                  <c:v>5.6922094208130339E-3</c:v>
                </c:pt>
                <c:pt idx="1502">
                  <c:v>5.6791780615643361E-3</c:v>
                </c:pt>
                <c:pt idx="1503">
                  <c:v>5.6661773732391563E-3</c:v>
                </c:pt>
                <c:pt idx="1504">
                  <c:v>5.6532086680770016E-3</c:v>
                </c:pt>
                <c:pt idx="1505">
                  <c:v>5.6402680408720223E-3</c:v>
                </c:pt>
                <c:pt idx="1506">
                  <c:v>5.6273548481582426E-3</c:v>
                </c:pt>
                <c:pt idx="1507">
                  <c:v>5.6144745202348374E-3</c:v>
                </c:pt>
                <c:pt idx="1508">
                  <c:v>5.601625021004605E-3</c:v>
                </c:pt>
                <c:pt idx="1509">
                  <c:v>5.588805017223409E-3</c:v>
                </c:pt>
                <c:pt idx="1510">
                  <c:v>5.5760165326927714E-3</c:v>
                </c:pt>
                <c:pt idx="1511">
                  <c:v>5.5632595683351551E-3</c:v>
                </c:pt>
                <c:pt idx="1512">
                  <c:v>5.5505344595715095E-3</c:v>
                </c:pt>
                <c:pt idx="1513">
                  <c:v>5.5378430354721892E-3</c:v>
                </c:pt>
                <c:pt idx="1514">
                  <c:v>5.525180920094964E-3</c:v>
                </c:pt>
                <c:pt idx="1515">
                  <c:v>5.5125480763408129E-3</c:v>
                </c:pt>
                <c:pt idx="1516">
                  <c:v>5.4999496840060303E-3</c:v>
                </c:pt>
                <c:pt idx="1517">
                  <c:v>5.487383520896727E-3</c:v>
                </c:pt>
                <c:pt idx="1518">
                  <c:v>5.4748484612997987E-3</c:v>
                </c:pt>
                <c:pt idx="1519">
                  <c:v>5.4623465076110806E-3</c:v>
                </c:pt>
                <c:pt idx="1520">
                  <c:v>5.4498780347340429E-3</c:v>
                </c:pt>
                <c:pt idx="1521">
                  <c:v>5.4374441698886496E-3</c:v>
                </c:pt>
                <c:pt idx="1522">
                  <c:v>5.4250415734242484E-3</c:v>
                </c:pt>
                <c:pt idx="1523">
                  <c:v>5.4126697102269035E-3</c:v>
                </c:pt>
                <c:pt idx="1524">
                  <c:v>5.4003332863484885E-3</c:v>
                </c:pt>
                <c:pt idx="1525">
                  <c:v>5.3880305535572628E-3</c:v>
                </c:pt>
                <c:pt idx="1526">
                  <c:v>5.3757603760789877E-3</c:v>
                </c:pt>
                <c:pt idx="1527">
                  <c:v>5.3635245159823312E-3</c:v>
                </c:pt>
                <c:pt idx="1528">
                  <c:v>5.3513234087438754E-3</c:v>
                </c:pt>
                <c:pt idx="1529">
                  <c:v>5.3391581160314901E-3</c:v>
                </c:pt>
                <c:pt idx="1530">
                  <c:v>5.3270255448299208E-3</c:v>
                </c:pt>
                <c:pt idx="1531">
                  <c:v>5.3149252046987578E-3</c:v>
                </c:pt>
                <c:pt idx="1532">
                  <c:v>5.3028614470060822E-3</c:v>
                </c:pt>
                <c:pt idx="1533">
                  <c:v>5.2908326681289641E-3</c:v>
                </c:pt>
                <c:pt idx="1534">
                  <c:v>5.2788378266822415E-3</c:v>
                </c:pt>
                <c:pt idx="1535">
                  <c:v>5.2668785552976898E-3</c:v>
                </c:pt>
                <c:pt idx="1536">
                  <c:v>5.2549548741777979E-3</c:v>
                </c:pt>
                <c:pt idx="1537">
                  <c:v>5.2430670668507304E-3</c:v>
                </c:pt>
                <c:pt idx="1538">
                  <c:v>5.2312165925827003E-3</c:v>
                </c:pt>
                <c:pt idx="1539">
                  <c:v>5.2194000232125186E-3</c:v>
                </c:pt>
                <c:pt idx="1540">
                  <c:v>5.2076173570270376E-3</c:v>
                </c:pt>
                <c:pt idx="1541">
                  <c:v>5.1958726906000145E-3</c:v>
                </c:pt>
                <c:pt idx="1542">
                  <c:v>5.1841642929629228E-3</c:v>
                </c:pt>
                <c:pt idx="1543">
                  <c:v>5.1724913009949455E-3</c:v>
                </c:pt>
                <c:pt idx="1544">
                  <c:v>5.160855309174611E-3</c:v>
                </c:pt>
                <c:pt idx="1545">
                  <c:v>5.1492566280393077E-3</c:v>
                </c:pt>
                <c:pt idx="1546">
                  <c:v>5.1376961473294678E-3</c:v>
                </c:pt>
                <c:pt idx="1547">
                  <c:v>5.1261712949516028E-3</c:v>
                </c:pt>
                <c:pt idx="1548">
                  <c:v>5.1146816783035794E-3</c:v>
                </c:pt>
                <c:pt idx="1549">
                  <c:v>5.1032309718668633E-3</c:v>
                </c:pt>
                <c:pt idx="1550">
                  <c:v>5.0918178377448997E-3</c:v>
                </c:pt>
                <c:pt idx="1551">
                  <c:v>5.0804414156071787E-3</c:v>
                </c:pt>
                <c:pt idx="1552">
                  <c:v>5.0691030918224916E-3</c:v>
                </c:pt>
                <c:pt idx="1553">
                  <c:v>5.057803220478752E-3</c:v>
                </c:pt>
                <c:pt idx="1554">
                  <c:v>5.0465426286462707E-3</c:v>
                </c:pt>
                <c:pt idx="1555">
                  <c:v>5.0353189698336895E-3</c:v>
                </c:pt>
                <c:pt idx="1556">
                  <c:v>5.0241318914599729E-3</c:v>
                </c:pt>
                <c:pt idx="1557">
                  <c:v>5.012984743775508E-3</c:v>
                </c:pt>
                <c:pt idx="1558">
                  <c:v>5.0018763189967159E-3</c:v>
                </c:pt>
                <c:pt idx="1559">
                  <c:v>4.9908058414418824E-3</c:v>
                </c:pt>
                <c:pt idx="1560">
                  <c:v>4.9797745786598025E-3</c:v>
                </c:pt>
                <c:pt idx="1561">
                  <c:v>4.9687828609377297E-3</c:v>
                </c:pt>
                <c:pt idx="1562">
                  <c:v>4.9578314454164704E-3</c:v>
                </c:pt>
                <c:pt idx="1563">
                  <c:v>4.946918207178904E-3</c:v>
                </c:pt>
                <c:pt idx="1564">
                  <c:v>4.9360428347938329E-3</c:v>
                </c:pt>
                <c:pt idx="1565">
                  <c:v>4.9252083777259802E-3</c:v>
                </c:pt>
                <c:pt idx="1566">
                  <c:v>4.9144137454246711E-3</c:v>
                </c:pt>
                <c:pt idx="1567">
                  <c:v>4.9036582412133323E-3</c:v>
                </c:pt>
                <c:pt idx="1568">
                  <c:v>4.892943022541188E-3</c:v>
                </c:pt>
                <c:pt idx="1569">
                  <c:v>4.8822681270286605E-3</c:v>
                </c:pt>
                <c:pt idx="1570">
                  <c:v>4.8716337706579144E-3</c:v>
                </c:pt>
                <c:pt idx="1571">
                  <c:v>4.861040967873635E-3</c:v>
                </c:pt>
                <c:pt idx="1572">
                  <c:v>4.8504874130478326E-3</c:v>
                </c:pt>
                <c:pt idx="1573">
                  <c:v>4.8399731382546786E-3</c:v>
                </c:pt>
                <c:pt idx="1574">
                  <c:v>4.829500946787588E-3</c:v>
                </c:pt>
                <c:pt idx="1575">
                  <c:v>4.8190696865372971E-3</c:v>
                </c:pt>
                <c:pt idx="1576">
                  <c:v>4.8086787995517749E-3</c:v>
                </c:pt>
                <c:pt idx="1577">
                  <c:v>4.7983293900410147E-3</c:v>
                </c:pt>
                <c:pt idx="1578">
                  <c:v>4.7880216872225106E-3</c:v>
                </c:pt>
                <c:pt idx="1579">
                  <c:v>4.7777562967985972E-3</c:v>
                </c:pt>
                <c:pt idx="1580">
                  <c:v>4.7675315441053088E-3</c:v>
                </c:pt>
                <c:pt idx="1581">
                  <c:v>4.7573471975531087E-3</c:v>
                </c:pt>
                <c:pt idx="1582">
                  <c:v>4.7472057117161131E-3</c:v>
                </c:pt>
                <c:pt idx="1583">
                  <c:v>4.7371062257997093E-3</c:v>
                </c:pt>
                <c:pt idx="1584">
                  <c:v>4.727048196823261E-3</c:v>
                </c:pt>
                <c:pt idx="1585">
                  <c:v>4.7170325638474049E-3</c:v>
                </c:pt>
                <c:pt idx="1586">
                  <c:v>4.7070595801538646E-3</c:v>
                </c:pt>
                <c:pt idx="1587">
                  <c:v>4.6971297947450688E-3</c:v>
                </c:pt>
                <c:pt idx="1588">
                  <c:v>4.687241724387981E-3</c:v>
                </c:pt>
                <c:pt idx="1589">
                  <c:v>4.6773951703235469E-3</c:v>
                </c:pt>
                <c:pt idx="1590">
                  <c:v>4.667592311349833E-3</c:v>
                </c:pt>
                <c:pt idx="1591">
                  <c:v>4.6578323943367332E-3</c:v>
                </c:pt>
                <c:pt idx="1592">
                  <c:v>4.648114946227376E-3</c:v>
                </c:pt>
                <c:pt idx="1593">
                  <c:v>4.6384408041474732E-3</c:v>
                </c:pt>
                <c:pt idx="1594">
                  <c:v>4.6288100131487023E-3</c:v>
                </c:pt>
                <c:pt idx="1595">
                  <c:v>4.6192227405863033E-3</c:v>
                </c:pt>
                <c:pt idx="1596">
                  <c:v>4.6096797032476626E-3</c:v>
                </c:pt>
                <c:pt idx="1597">
                  <c:v>4.6001793286157399E-3</c:v>
                </c:pt>
                <c:pt idx="1598">
                  <c:v>4.5907216661024144E-3</c:v>
                </c:pt>
                <c:pt idx="1599">
                  <c:v>4.5813086646694593E-3</c:v>
                </c:pt>
                <c:pt idx="1600">
                  <c:v>4.5719395474720526E-3</c:v>
                </c:pt>
                <c:pt idx="1601">
                  <c:v>4.5626144682462235E-3</c:v>
                </c:pt>
                <c:pt idx="1602">
                  <c:v>4.5533328743570002E-3</c:v>
                </c:pt>
                <c:pt idx="1603">
                  <c:v>4.5440950687787229E-3</c:v>
                </c:pt>
                <c:pt idx="1604">
                  <c:v>4.5349027236658091E-3</c:v>
                </c:pt>
                <c:pt idx="1605">
                  <c:v>4.525754991367298E-3</c:v>
                </c:pt>
                <c:pt idx="1606">
                  <c:v>4.5166506157247998E-3</c:v>
                </c:pt>
                <c:pt idx="1607">
                  <c:v>4.5075906811354195E-3</c:v>
                </c:pt>
                <c:pt idx="1608">
                  <c:v>4.498575865918163E-3</c:v>
                </c:pt>
                <c:pt idx="1609">
                  <c:v>4.4896055967600023E-3</c:v>
                </c:pt>
                <c:pt idx="1610">
                  <c:v>4.4806803325944016E-3</c:v>
                </c:pt>
                <c:pt idx="1611">
                  <c:v>4.4718007353079341E-3</c:v>
                </c:pt>
                <c:pt idx="1612">
                  <c:v>4.4629665073750756E-3</c:v>
                </c:pt>
                <c:pt idx="1613">
                  <c:v>4.4541764567800572E-3</c:v>
                </c:pt>
                <c:pt idx="1614">
                  <c:v>4.4454316236246178E-3</c:v>
                </c:pt>
                <c:pt idx="1615">
                  <c:v>4.4367331118150806E-3</c:v>
                </c:pt>
                <c:pt idx="1616">
                  <c:v>4.4280802355725363E-3</c:v>
                </c:pt>
                <c:pt idx="1617">
                  <c:v>4.4194719825321237E-3</c:v>
                </c:pt>
                <c:pt idx="1618">
                  <c:v>4.4109095880710651E-3</c:v>
                </c:pt>
                <c:pt idx="1619">
                  <c:v>4.4023933993387592E-3</c:v>
                </c:pt>
                <c:pt idx="1620">
                  <c:v>4.3939223549595355E-3</c:v>
                </c:pt>
                <c:pt idx="1621">
                  <c:v>4.3854973257146527E-3</c:v>
                </c:pt>
                <c:pt idx="1622">
                  <c:v>4.377118986966657E-3</c:v>
                </c:pt>
                <c:pt idx="1623">
                  <c:v>4.3687869278933415E-3</c:v>
                </c:pt>
                <c:pt idx="1624">
                  <c:v>4.3605002518787893E-3</c:v>
                </c:pt>
                <c:pt idx="1625">
                  <c:v>4.3522600525848351E-3</c:v>
                </c:pt>
                <c:pt idx="1626">
                  <c:v>4.3440665970671082E-3</c:v>
                </c:pt>
                <c:pt idx="1627">
                  <c:v>4.3359189965821296E-3</c:v>
                </c:pt>
                <c:pt idx="1628">
                  <c:v>4.3278179939238342E-3</c:v>
                </c:pt>
                <c:pt idx="1629">
                  <c:v>4.3197641764370015E-3</c:v>
                </c:pt>
                <c:pt idx="1630">
                  <c:v>4.3117571985306653E-3</c:v>
                </c:pt>
                <c:pt idx="1631">
                  <c:v>4.3037963151419736E-3</c:v>
                </c:pt>
                <c:pt idx="1632">
                  <c:v>4.2958822129379242E-3</c:v>
                </c:pt>
                <c:pt idx="1633">
                  <c:v>4.2880152867838424E-3</c:v>
                </c:pt>
                <c:pt idx="1634">
                  <c:v>4.2801952284628056E-3</c:v>
                </c:pt>
                <c:pt idx="1635">
                  <c:v>4.2724223235885558E-3</c:v>
                </c:pt>
                <c:pt idx="1636">
                  <c:v>4.26469695047366E-3</c:v>
                </c:pt>
                <c:pt idx="1637">
                  <c:v>4.2570189685658365E-3</c:v>
                </c:pt>
                <c:pt idx="1638">
                  <c:v>4.249387748528257E-3</c:v>
                </c:pt>
                <c:pt idx="1639">
                  <c:v>4.2418038778489148E-3</c:v>
                </c:pt>
                <c:pt idx="1640">
                  <c:v>4.2342679661950128E-3</c:v>
                </c:pt>
                <c:pt idx="1641">
                  <c:v>4.2267796668984383E-3</c:v>
                </c:pt>
                <c:pt idx="1642">
                  <c:v>4.2193384732353142E-3</c:v>
                </c:pt>
                <c:pt idx="1643">
                  <c:v>4.2119450405375845E-3</c:v>
                </c:pt>
                <c:pt idx="1644">
                  <c:v>4.2045995799287342E-3</c:v>
                </c:pt>
                <c:pt idx="1645">
                  <c:v>4.1973015748529323E-3</c:v>
                </c:pt>
                <c:pt idx="1646">
                  <c:v>4.190051485681765E-3</c:v>
                </c:pt>
                <c:pt idx="1647">
                  <c:v>4.1828496556799884E-3</c:v>
                </c:pt>
                <c:pt idx="1648">
                  <c:v>4.1756959085656603E-3</c:v>
                </c:pt>
                <c:pt idx="1649">
                  <c:v>4.168589837762215E-3</c:v>
                </c:pt>
                <c:pt idx="1650">
                  <c:v>4.1615319767277286E-3</c:v>
                </c:pt>
                <c:pt idx="1651">
                  <c:v>4.1545224819255176E-3</c:v>
                </c:pt>
                <c:pt idx="1652">
                  <c:v>4.1475609690727914E-3</c:v>
                </c:pt>
                <c:pt idx="1653">
                  <c:v>4.1406477977807754E-3</c:v>
                </c:pt>
                <c:pt idx="1654">
                  <c:v>4.1337832383365877E-3</c:v>
                </c:pt>
                <c:pt idx="1655">
                  <c:v>4.1269671654973724E-3</c:v>
                </c:pt>
                <c:pt idx="1656">
                  <c:v>4.1201992879599395E-3</c:v>
                </c:pt>
                <c:pt idx="1657">
                  <c:v>4.1134799172013285E-3</c:v>
                </c:pt>
                <c:pt idx="1658">
                  <c:v>4.1068092440966989E-3</c:v>
                </c:pt>
                <c:pt idx="1659">
                  <c:v>4.1001871591309002E-3</c:v>
                </c:pt>
                <c:pt idx="1660">
                  <c:v>4.0936138033776008E-3</c:v>
                </c:pt>
                <c:pt idx="1661">
                  <c:v>4.0870893314208113E-3</c:v>
                </c:pt>
                <c:pt idx="1662">
                  <c:v>4.0806137187837759E-3</c:v>
                </c:pt>
                <c:pt idx="1663">
                  <c:v>4.0741867698644383E-3</c:v>
                </c:pt>
                <c:pt idx="1664">
                  <c:v>4.0678087132442987E-3</c:v>
                </c:pt>
                <c:pt idx="1665">
                  <c:v>4.0614797703371784E-3</c:v>
                </c:pt>
                <c:pt idx="1666">
                  <c:v>4.0551998521971052E-3</c:v>
                </c:pt>
                <c:pt idx="1667">
                  <c:v>4.0489688360907886E-3</c:v>
                </c:pt>
                <c:pt idx="1668">
                  <c:v>4.0427869263521699E-3</c:v>
                </c:pt>
                <c:pt idx="1669">
                  <c:v>4.0366542223550473E-3</c:v>
                </c:pt>
                <c:pt idx="1670">
                  <c:v>4.0305706185491371E-3</c:v>
                </c:pt>
                <c:pt idx="1671">
                  <c:v>4.0245362558591381E-3</c:v>
                </c:pt>
                <c:pt idx="1672">
                  <c:v>4.0185512215522501E-3</c:v>
                </c:pt>
                <c:pt idx="1673">
                  <c:v>4.0126155112682671E-3</c:v>
                </c:pt>
                <c:pt idx="1674">
                  <c:v>4.006729081668662E-3</c:v>
                </c:pt>
                <c:pt idx="1675">
                  <c:v>4.0008920396788139E-3</c:v>
                </c:pt>
                <c:pt idx="1676">
                  <c:v>3.9951044517159912E-3</c:v>
                </c:pt>
                <c:pt idx="1677">
                  <c:v>3.9893663044073659E-3</c:v>
                </c:pt>
                <c:pt idx="1678">
                  <c:v>3.9836776651155778E-3</c:v>
                </c:pt>
                <c:pt idx="1679">
                  <c:v>3.9780385648662967E-3</c:v>
                </c:pt>
                <c:pt idx="1680">
                  <c:v>3.9724490354013809E-3</c:v>
                </c:pt>
                <c:pt idx="1681">
                  <c:v>3.9669091126624759E-3</c:v>
                </c:pt>
                <c:pt idx="1682">
                  <c:v>3.9614188265866259E-3</c:v>
                </c:pt>
                <c:pt idx="1683">
                  <c:v>3.9559782111444966E-3</c:v>
                </c:pt>
                <c:pt idx="1684">
                  <c:v>3.9505872964793994E-3</c:v>
                </c:pt>
                <c:pt idx="1685">
                  <c:v>3.945246112218981E-3</c:v>
                </c:pt>
                <c:pt idx="1686">
                  <c:v>3.9399546469040848E-3</c:v>
                </c:pt>
                <c:pt idx="1687">
                  <c:v>3.9347129526337652E-3</c:v>
                </c:pt>
                <c:pt idx="1688">
                  <c:v>3.9295211368547984E-3</c:v>
                </c:pt>
                <c:pt idx="1689">
                  <c:v>3.9243791658142343E-3</c:v>
                </c:pt>
                <c:pt idx="1690">
                  <c:v>3.9192869797812302E-3</c:v>
                </c:pt>
                <c:pt idx="1691">
                  <c:v>3.9142446656677508E-3</c:v>
                </c:pt>
                <c:pt idx="1692">
                  <c:v>3.9092523625249218E-3</c:v>
                </c:pt>
                <c:pt idx="1693">
                  <c:v>3.9043099544834926E-3</c:v>
                </c:pt>
                <c:pt idx="1694">
                  <c:v>3.8994174544865769E-3</c:v>
                </c:pt>
                <c:pt idx="1695">
                  <c:v>3.8945750342095193E-3</c:v>
                </c:pt>
                <c:pt idx="1696">
                  <c:v>3.8897826076857303E-3</c:v>
                </c:pt>
                <c:pt idx="1697">
                  <c:v>3.8850400820387562E-3</c:v>
                </c:pt>
                <c:pt idx="1698">
                  <c:v>3.880347562515209E-3</c:v>
                </c:pt>
                <c:pt idx="1699">
                  <c:v>3.8757052434108107E-3</c:v>
                </c:pt>
                <c:pt idx="1700">
                  <c:v>3.8711129392934966E-3</c:v>
                </c:pt>
                <c:pt idx="1701">
                  <c:v>3.866570647338587E-3</c:v>
                </c:pt>
                <c:pt idx="1702">
                  <c:v>3.8620785924950449E-3</c:v>
                </c:pt>
                <c:pt idx="1703">
                  <c:v>3.8576366420429212E-3</c:v>
                </c:pt>
                <c:pt idx="1704">
                  <c:v>3.8532446651473071E-3</c:v>
                </c:pt>
                <c:pt idx="1705">
                  <c:v>3.8489027875036816E-3</c:v>
                </c:pt>
                <c:pt idx="1706">
                  <c:v>3.8446112476114582E-3</c:v>
                </c:pt>
                <c:pt idx="1707">
                  <c:v>3.8403698868759175E-3</c:v>
                </c:pt>
                <c:pt idx="1708">
                  <c:v>3.8361786307151437E-3</c:v>
                </c:pt>
                <c:pt idx="1709">
                  <c:v>3.8320375914804288E-3</c:v>
                </c:pt>
                <c:pt idx="1710">
                  <c:v>3.8279467195765512E-3</c:v>
                </c:pt>
                <c:pt idx="1711">
                  <c:v>3.8239058949000953E-3</c:v>
                </c:pt>
                <c:pt idx="1712">
                  <c:v>3.8199152080700635E-3</c:v>
                </c:pt>
                <c:pt idx="1713">
                  <c:v>3.8159749414171445E-3</c:v>
                </c:pt>
                <c:pt idx="1714">
                  <c:v>3.8120848943602667E-3</c:v>
                </c:pt>
                <c:pt idx="1715">
                  <c:v>3.8082449872525732E-3</c:v>
                </c:pt>
                <c:pt idx="1716">
                  <c:v>3.8044551730542255E-3</c:v>
                </c:pt>
                <c:pt idx="1717">
                  <c:v>3.800715497515904E-3</c:v>
                </c:pt>
                <c:pt idx="1718">
                  <c:v>3.7970259818714252E-3</c:v>
                </c:pt>
                <c:pt idx="1719">
                  <c:v>3.793386639167038E-3</c:v>
                </c:pt>
                <c:pt idx="1720">
                  <c:v>3.7897978368577646E-3</c:v>
                </c:pt>
                <c:pt idx="1721">
                  <c:v>3.7862592675918538E-3</c:v>
                </c:pt>
                <c:pt idx="1722">
                  <c:v>3.7827706286757069E-3</c:v>
                </c:pt>
                <c:pt idx="1723">
                  <c:v>3.7793321540078783E-3</c:v>
                </c:pt>
                <c:pt idx="1724">
                  <c:v>3.7759441375558298E-3</c:v>
                </c:pt>
                <c:pt idx="1725">
                  <c:v>3.7726062463336756E-3</c:v>
                </c:pt>
                <c:pt idx="1726">
                  <c:v>3.769318408870662E-3</c:v>
                </c:pt>
                <c:pt idx="1727">
                  <c:v>3.7660809643749933E-3</c:v>
                </c:pt>
                <c:pt idx="1728">
                  <c:v>3.76289366750614E-3</c:v>
                </c:pt>
                <c:pt idx="1729">
                  <c:v>3.7597563072265584E-3</c:v>
                </c:pt>
                <c:pt idx="1730">
                  <c:v>3.7566690399823718E-3</c:v>
                </c:pt>
                <c:pt idx="1731">
                  <c:v>3.7536321876784629E-3</c:v>
                </c:pt>
                <c:pt idx="1732">
                  <c:v>3.7506454932114772E-3</c:v>
                </c:pt>
                <c:pt idx="1733">
                  <c:v>3.7477088209680346E-3</c:v>
                </c:pt>
                <c:pt idx="1734">
                  <c:v>3.7448221204533644E-3</c:v>
                </c:pt>
                <c:pt idx="1735">
                  <c:v>3.7419854235411099E-3</c:v>
                </c:pt>
                <c:pt idx="1736">
                  <c:v>3.7391987457412374E-3</c:v>
                </c:pt>
                <c:pt idx="1737">
                  <c:v>3.7364620834326547E-3</c:v>
                </c:pt>
                <c:pt idx="1738">
                  <c:v>3.7337758392385336E-3</c:v>
                </c:pt>
                <c:pt idx="1739">
                  <c:v>3.7311396491244092E-3</c:v>
                </c:pt>
                <c:pt idx="1740">
                  <c:v>3.7285533484737771E-3</c:v>
                </c:pt>
                <c:pt idx="1741">
                  <c:v>3.7260171115975878E-3</c:v>
                </c:pt>
                <c:pt idx="1742">
                  <c:v>3.7235308116200668E-3</c:v>
                </c:pt>
                <c:pt idx="1743">
                  <c:v>3.7210942765622018E-3</c:v>
                </c:pt>
                <c:pt idx="1744">
                  <c:v>3.7187075948886782E-3</c:v>
                </c:pt>
                <c:pt idx="1745">
                  <c:v>3.7163710969096639E-3</c:v>
                </c:pt>
                <c:pt idx="1746">
                  <c:v>3.7140845011481814E-3</c:v>
                </c:pt>
                <c:pt idx="1747">
                  <c:v>3.7118474949411652E-3</c:v>
                </c:pt>
                <c:pt idx="1748">
                  <c:v>3.7096602755579806E-3</c:v>
                </c:pt>
                <c:pt idx="1749">
                  <c:v>3.7075231434519689E-3</c:v>
                </c:pt>
                <c:pt idx="1750">
                  <c:v>3.7054357234560932E-3</c:v>
                </c:pt>
                <c:pt idx="1751">
                  <c:v>3.7033979255243063E-3</c:v>
                </c:pt>
                <c:pt idx="1752">
                  <c:v>3.7014098072503283E-3</c:v>
                </c:pt>
                <c:pt idx="1753">
                  <c:v>3.699471324396084E-3</c:v>
                </c:pt>
                <c:pt idx="1754">
                  <c:v>3.6975824865929981E-3</c:v>
                </c:pt>
                <c:pt idx="1755">
                  <c:v>3.6957432591083659E-3</c:v>
                </c:pt>
                <c:pt idx="1756">
                  <c:v>3.6939540225637817E-3</c:v>
                </c:pt>
                <c:pt idx="1757">
                  <c:v>3.6922143979362049E-3</c:v>
                </c:pt>
                <c:pt idx="1758">
                  <c:v>3.6905242022973999E-3</c:v>
                </c:pt>
                <c:pt idx="1759">
                  <c:v>3.6888835980178752E-3</c:v>
                </c:pt>
                <c:pt idx="1760">
                  <c:v>3.6872924442588775E-3</c:v>
                </c:pt>
                <c:pt idx="1761">
                  <c:v>3.6857505741636366E-3</c:v>
                </c:pt>
                <c:pt idx="1762">
                  <c:v>3.6842580515653789E-3</c:v>
                </c:pt>
                <c:pt idx="1763">
                  <c:v>3.6828151533917991E-3</c:v>
                </c:pt>
                <c:pt idx="1764">
                  <c:v>3.6814216140998732E-3</c:v>
                </c:pt>
                <c:pt idx="1765">
                  <c:v>3.680077300837881E-3</c:v>
                </c:pt>
                <c:pt idx="1766">
                  <c:v>3.6787823009073995E-3</c:v>
                </c:pt>
                <c:pt idx="1767">
                  <c:v>3.6775365066267409E-3</c:v>
                </c:pt>
                <c:pt idx="1768">
                  <c:v>3.676339751591773E-3</c:v>
                </c:pt>
                <c:pt idx="1769">
                  <c:v>3.6751920837189574E-3</c:v>
                </c:pt>
                <c:pt idx="1770">
                  <c:v>3.6740937448251302E-3</c:v>
                </c:pt>
                <c:pt idx="1771">
                  <c:v>3.6730444870945863E-3</c:v>
                </c:pt>
                <c:pt idx="1772">
                  <c:v>3.6720440444972914E-3</c:v>
                </c:pt>
                <c:pt idx="1773">
                  <c:v>3.6710925468139157E-3</c:v>
                </c:pt>
                <c:pt idx="1774">
                  <c:v>3.6701901940124604E-3</c:v>
                </c:pt>
                <c:pt idx="1775">
                  <c:v>3.6693366846369088E-3</c:v>
                </c:pt>
                <c:pt idx="1776">
                  <c:v>3.668531922785588E-3</c:v>
                </c:pt>
                <c:pt idx="1777">
                  <c:v>3.6677761199372183E-3</c:v>
                </c:pt>
                <c:pt idx="1778">
                  <c:v>3.6670690570614946E-3</c:v>
                </c:pt>
                <c:pt idx="1779">
                  <c:v>3.6664105522844232E-3</c:v>
                </c:pt>
                <c:pt idx="1780">
                  <c:v>3.6658006716680392E-3</c:v>
                </c:pt>
                <c:pt idx="1781">
                  <c:v>3.6652395783448848E-3</c:v>
                </c:pt>
                <c:pt idx="1782">
                  <c:v>3.6647270680612363E-3</c:v>
                </c:pt>
                <c:pt idx="1783">
                  <c:v>3.6642630105895159E-3</c:v>
                </c:pt>
                <c:pt idx="1784">
                  <c:v>3.6638474498985052E-3</c:v>
                </c:pt>
                <c:pt idx="1785">
                  <c:v>3.6634802855257838E-3</c:v>
                </c:pt>
                <c:pt idx="1786">
                  <c:v>3.663161388561579E-3</c:v>
                </c:pt>
                <c:pt idx="1787">
                  <c:v>3.6628907622373703E-3</c:v>
                </c:pt>
                <c:pt idx="1788">
                  <c:v>3.6626685240496153E-3</c:v>
                </c:pt>
                <c:pt idx="1789">
                  <c:v>3.6624944968855979E-3</c:v>
                </c:pt>
                <c:pt idx="1790">
                  <c:v>3.6623685741006863E-3</c:v>
                </c:pt>
                <c:pt idx="1791">
                  <c:v>3.6622907660711439E-3</c:v>
                </c:pt>
                <c:pt idx="1792">
                  <c:v>3.6622609826248735E-3</c:v>
                </c:pt>
                <c:pt idx="1793">
                  <c:v>3.6622791153066957E-3</c:v>
                </c:pt>
                <c:pt idx="1794">
                  <c:v>3.6623451457017445E-3</c:v>
                </c:pt>
                <c:pt idx="1795">
                  <c:v>3.6624591306703533E-3</c:v>
                </c:pt>
                <c:pt idx="1796">
                  <c:v>3.6626209302332022E-3</c:v>
                </c:pt>
                <c:pt idx="1797">
                  <c:v>3.6628304057058567E-3</c:v>
                </c:pt>
                <c:pt idx="1798">
                  <c:v>3.6630875610932931E-3</c:v>
                </c:pt>
                <c:pt idx="1799">
                  <c:v>3.6633924075166204E-3</c:v>
                </c:pt>
                <c:pt idx="1800">
                  <c:v>3.6637448152467365E-3</c:v>
                </c:pt>
                <c:pt idx="1801">
                  <c:v>3.6641447035825349E-3</c:v>
                </c:pt>
                <c:pt idx="1802">
                  <c:v>3.6645920709197336E-3</c:v>
                </c:pt>
                <c:pt idx="1803">
                  <c:v>3.6650868190075308E-3</c:v>
                </c:pt>
                <c:pt idx="1804">
                  <c:v>3.6656288703705723E-3</c:v>
                </c:pt>
                <c:pt idx="1805">
                  <c:v>3.6662181776768153E-3</c:v>
                </c:pt>
                <c:pt idx="1806">
                  <c:v>3.6668546869880123E-3</c:v>
                </c:pt>
                <c:pt idx="1807">
                  <c:v>3.6675383277444125E-3</c:v>
                </c:pt>
                <c:pt idx="1808">
                  <c:v>3.6682690290482166E-3</c:v>
                </c:pt>
                <c:pt idx="1809">
                  <c:v>3.6690467251353298E-3</c:v>
                </c:pt>
                <c:pt idx="1810">
                  <c:v>3.6698713527225633E-3</c:v>
                </c:pt>
                <c:pt idx="1811">
                  <c:v>3.6707428698980545E-3</c:v>
                </c:pt>
                <c:pt idx="1812">
                  <c:v>3.671661195891943E-3</c:v>
                </c:pt>
                <c:pt idx="1813">
                  <c:v>3.6726262025507579E-3</c:v>
                </c:pt>
                <c:pt idx="1814">
                  <c:v>3.6736378681880484E-3</c:v>
                </c:pt>
                <c:pt idx="1815">
                  <c:v>3.6746961405156849E-3</c:v>
                </c:pt>
                <c:pt idx="1816">
                  <c:v>3.6758009199249547E-3</c:v>
                </c:pt>
                <c:pt idx="1817">
                  <c:v>3.6769521562075671E-3</c:v>
                </c:pt>
                <c:pt idx="1818">
                  <c:v>3.6781498384715933E-3</c:v>
                </c:pt>
                <c:pt idx="1819">
                  <c:v>3.6793938588863765E-3</c:v>
                </c:pt>
                <c:pt idx="1820">
                  <c:v>3.6806840070503564E-3</c:v>
                </c:pt>
                <c:pt idx="1821">
                  <c:v>3.6820203154387795E-3</c:v>
                </c:pt>
                <c:pt idx="1822">
                  <c:v>3.6834028433012107E-3</c:v>
                </c:pt>
                <c:pt idx="1823">
                  <c:v>3.6848314189164722E-3</c:v>
                </c:pt>
                <c:pt idx="1824">
                  <c:v>3.6863057898278966E-3</c:v>
                </c:pt>
                <c:pt idx="1825">
                  <c:v>3.6878260816221062E-3</c:v>
                </c:pt>
                <c:pt idx="1826">
                  <c:v>3.6893922475514729E-3</c:v>
                </c:pt>
                <c:pt idx="1827">
                  <c:v>3.691003992445329E-3</c:v>
                </c:pt>
                <c:pt idx="1828">
                  <c:v>3.6926613979558908E-3</c:v>
                </c:pt>
                <c:pt idx="1829">
                  <c:v>3.6943645388541496E-3</c:v>
                </c:pt>
                <c:pt idx="1830">
                  <c:v>3.6961132189765461E-3</c:v>
                </c:pt>
                <c:pt idx="1831">
                  <c:v>3.6979070940212824E-3</c:v>
                </c:pt>
                <c:pt idx="1832">
                  <c:v>3.6997462854496798E-3</c:v>
                </c:pt>
                <c:pt idx="1833">
                  <c:v>3.7016308125990653E-3</c:v>
                </c:pt>
                <c:pt idx="1834">
                  <c:v>3.7035604672279289E-3</c:v>
                </c:pt>
                <c:pt idx="1835">
                  <c:v>3.7055352449302226E-3</c:v>
                </c:pt>
                <c:pt idx="1836">
                  <c:v>3.7075552256908562E-3</c:v>
                </c:pt>
                <c:pt idx="1837">
                  <c:v>3.7096202247137522E-3</c:v>
                </c:pt>
                <c:pt idx="1838">
                  <c:v>3.7117297967992442E-3</c:v>
                </c:pt>
                <c:pt idx="1839">
                  <c:v>3.7138841324787174E-3</c:v>
                </c:pt>
                <c:pt idx="1840">
                  <c:v>3.7160832585264899E-3</c:v>
                </c:pt>
                <c:pt idx="1841">
                  <c:v>3.7183269376864681E-3</c:v>
                </c:pt>
                <c:pt idx="1842">
                  <c:v>3.7206151791890026E-3</c:v>
                </c:pt>
                <c:pt idx="1843">
                  <c:v>3.7229481027249759E-3</c:v>
                </c:pt>
                <c:pt idx="1844">
                  <c:v>3.7253254926674514E-3</c:v>
                </c:pt>
                <c:pt idx="1845">
                  <c:v>3.7277468042080509E-3</c:v>
                </c:pt>
                <c:pt idx="1846">
                  <c:v>3.7302122958653328E-3</c:v>
                </c:pt>
                <c:pt idx="1847">
                  <c:v>3.7327222829895341E-3</c:v>
                </c:pt>
                <c:pt idx="1848">
                  <c:v>3.7352763776080174E-3</c:v>
                </c:pt>
                <c:pt idx="1849">
                  <c:v>3.7378740035200449E-3</c:v>
                </c:pt>
                <c:pt idx="1850">
                  <c:v>3.7405156103141393E-3</c:v>
                </c:pt>
                <c:pt idx="1851">
                  <c:v>3.743201201090003E-3</c:v>
                </c:pt>
                <c:pt idx="1852">
                  <c:v>3.7459301221314367E-3</c:v>
                </c:pt>
                <c:pt idx="1853">
                  <c:v>3.7487026835232042E-3</c:v>
                </c:pt>
                <c:pt idx="1854">
                  <c:v>3.7515191513583599E-3</c:v>
                </c:pt>
                <c:pt idx="1855">
                  <c:v>3.7543791524465779E-3</c:v>
                </c:pt>
                <c:pt idx="1856">
                  <c:v>3.7572826381666556E-3</c:v>
                </c:pt>
                <c:pt idx="1857">
                  <c:v>3.7602294380006257E-3</c:v>
                </c:pt>
                <c:pt idx="1858">
                  <c:v>3.7632186765090832E-3</c:v>
                </c:pt>
                <c:pt idx="1859">
                  <c:v>3.7662509260883263E-3</c:v>
                </c:pt>
                <c:pt idx="1860">
                  <c:v>3.7693264014370983E-3</c:v>
                </c:pt>
                <c:pt idx="1861">
                  <c:v>3.772445002012766E-3</c:v>
                </c:pt>
                <c:pt idx="1862">
                  <c:v>3.7756065893772687E-3</c:v>
                </c:pt>
                <c:pt idx="1863">
                  <c:v>3.778810305606518E-3</c:v>
                </c:pt>
                <c:pt idx="1864">
                  <c:v>3.7820566358926391E-3</c:v>
                </c:pt>
                <c:pt idx="1865">
                  <c:v>3.7853456629248971E-3</c:v>
                </c:pt>
                <c:pt idx="1866">
                  <c:v>3.788677014011436E-3</c:v>
                </c:pt>
                <c:pt idx="1867">
                  <c:v>3.7920507670458699E-3</c:v>
                </c:pt>
                <c:pt idx="1868">
                  <c:v>3.795467197351605E-3</c:v>
                </c:pt>
                <c:pt idx="1869">
                  <c:v>3.7989259697139557E-3</c:v>
                </c:pt>
                <c:pt idx="1870">
                  <c:v>3.8024261528702393E-3</c:v>
                </c:pt>
                <c:pt idx="1871">
                  <c:v>3.8059682738671432E-3</c:v>
                </c:pt>
                <c:pt idx="1872">
                  <c:v>3.8095529490869331E-3</c:v>
                </c:pt>
                <c:pt idx="1873">
                  <c:v>3.8131795439845825E-3</c:v>
                </c:pt>
                <c:pt idx="1874">
                  <c:v>3.8168471125609319E-3</c:v>
                </c:pt>
                <c:pt idx="1875">
                  <c:v>3.8205564816456493E-3</c:v>
                </c:pt>
                <c:pt idx="1876">
                  <c:v>3.8243077171231515E-3</c:v>
                </c:pt>
                <c:pt idx="1877">
                  <c:v>3.828099757692249E-3</c:v>
                </c:pt>
                <c:pt idx="1878">
                  <c:v>3.8319331795021215E-3</c:v>
                </c:pt>
                <c:pt idx="1879">
                  <c:v>3.8358084699564978E-3</c:v>
                </c:pt>
                <c:pt idx="1880">
                  <c:v>3.8397250581716966E-3</c:v>
                </c:pt>
                <c:pt idx="1881">
                  <c:v>3.8436818590458634E-3</c:v>
                </c:pt>
                <c:pt idx="1882">
                  <c:v>3.8476795092439718E-3</c:v>
                </c:pt>
                <c:pt idx="1883">
                  <c:v>3.8517182793510693E-3</c:v>
                </c:pt>
                <c:pt idx="1884">
                  <c:v>3.8557976058001425E-3</c:v>
                </c:pt>
                <c:pt idx="1885">
                  <c:v>3.8599176517065434E-3</c:v>
                </c:pt>
                <c:pt idx="1886">
                  <c:v>3.8640788182954266E-3</c:v>
                </c:pt>
                <c:pt idx="1887">
                  <c:v>3.8682806714653204E-3</c:v>
                </c:pt>
                <c:pt idx="1888">
                  <c:v>3.8725219789616226E-3</c:v>
                </c:pt>
                <c:pt idx="1889">
                  <c:v>3.8768034807879757E-3</c:v>
                </c:pt>
                <c:pt idx="1890">
                  <c:v>3.8811254181366907E-3</c:v>
                </c:pt>
                <c:pt idx="1891">
                  <c:v>3.8854872203647234E-3</c:v>
                </c:pt>
                <c:pt idx="1892">
                  <c:v>3.8898890596057844E-3</c:v>
                </c:pt>
                <c:pt idx="1893">
                  <c:v>3.8943313888460357E-3</c:v>
                </c:pt>
                <c:pt idx="1894">
                  <c:v>3.8988137396752899E-3</c:v>
                </c:pt>
                <c:pt idx="1895">
                  <c:v>3.9033347581369834E-3</c:v>
                </c:pt>
                <c:pt idx="1896">
                  <c:v>3.9078952708029501E-3</c:v>
                </c:pt>
                <c:pt idx="1897">
                  <c:v>3.9124962298602867E-3</c:v>
                </c:pt>
                <c:pt idx="1898">
                  <c:v>3.917136731731637E-3</c:v>
                </c:pt>
                <c:pt idx="1899">
                  <c:v>3.9218154289291226E-3</c:v>
                </c:pt>
                <c:pt idx="1900">
                  <c:v>3.926533563390339E-3</c:v>
                </c:pt>
                <c:pt idx="1901">
                  <c:v>3.9312912739830619E-3</c:v>
                </c:pt>
                <c:pt idx="1902">
                  <c:v>3.9360870580910931E-3</c:v>
                </c:pt>
                <c:pt idx="1903">
                  <c:v>3.9409217847882812E-3</c:v>
                </c:pt>
                <c:pt idx="1904">
                  <c:v>3.9457961842577667E-3</c:v>
                </c:pt>
                <c:pt idx="1905">
                  <c:v>3.9507094743262174E-3</c:v>
                </c:pt>
                <c:pt idx="1906">
                  <c:v>3.955660148103171E-3</c:v>
                </c:pt>
                <c:pt idx="1907">
                  <c:v>3.9606491438127483E-3</c:v>
                </c:pt>
                <c:pt idx="1908">
                  <c:v>3.9656768820288887E-3</c:v>
                </c:pt>
                <c:pt idx="1909">
                  <c:v>3.9707425996291078E-3</c:v>
                </c:pt>
                <c:pt idx="1910">
                  <c:v>3.9758465607297542E-3</c:v>
                </c:pt>
                <c:pt idx="1911">
                  <c:v>3.9809893527214327E-3</c:v>
                </c:pt>
                <c:pt idx="1912">
                  <c:v>3.9861704049725605E-3</c:v>
                </c:pt>
                <c:pt idx="1913">
                  <c:v>3.9913880447213865E-3</c:v>
                </c:pt>
                <c:pt idx="1914">
                  <c:v>3.9966433272931555E-3</c:v>
                </c:pt>
                <c:pt idx="1915">
                  <c:v>4.0019366198277518E-3</c:v>
                </c:pt>
                <c:pt idx="1916">
                  <c:v>4.0072671675048573E-3</c:v>
                </c:pt>
                <c:pt idx="1917">
                  <c:v>4.0126352394198256E-3</c:v>
                </c:pt>
                <c:pt idx="1918">
                  <c:v>4.0180414781849274E-3</c:v>
                </c:pt>
                <c:pt idx="1919">
                  <c:v>4.0234852788598686E-3</c:v>
                </c:pt>
                <c:pt idx="1920">
                  <c:v>4.028964841824318E-3</c:v>
                </c:pt>
                <c:pt idx="1921">
                  <c:v>4.0344813132803491E-3</c:v>
                </c:pt>
                <c:pt idx="1922">
                  <c:v>4.04003600254538E-3</c:v>
                </c:pt>
                <c:pt idx="1923">
                  <c:v>4.0456277247713441E-3</c:v>
                </c:pt>
                <c:pt idx="1924">
                  <c:v>4.0512547115583797E-3</c:v>
                </c:pt>
                <c:pt idx="1925">
                  <c:v>4.0569186444631344E-3</c:v>
                </c:pt>
                <c:pt idx="1926">
                  <c:v>4.0626197422638085E-3</c:v>
                </c:pt>
                <c:pt idx="1927">
                  <c:v>4.0683560409241083E-3</c:v>
                </c:pt>
                <c:pt idx="1928">
                  <c:v>4.0741287197745262E-3</c:v>
                </c:pt>
                <c:pt idx="1929">
                  <c:v>4.079938765133251E-3</c:v>
                </c:pt>
                <c:pt idx="1930">
                  <c:v>4.0857851761690748E-3</c:v>
                </c:pt>
                <c:pt idx="1931">
                  <c:v>4.0916660079022673E-3</c:v>
                </c:pt>
                <c:pt idx="1932">
                  <c:v>4.0975825157864966E-3</c:v>
                </c:pt>
                <c:pt idx="1933">
                  <c:v>4.103535279402948E-3</c:v>
                </c:pt>
                <c:pt idx="1934">
                  <c:v>4.1095233293757874E-3</c:v>
                </c:pt>
                <c:pt idx="1935">
                  <c:v>4.1155470380187199E-3</c:v>
                </c:pt>
                <c:pt idx="1936">
                  <c:v>4.1216071878545837E-3</c:v>
                </c:pt>
                <c:pt idx="1937">
                  <c:v>4.1277030687079186E-3</c:v>
                </c:pt>
                <c:pt idx="1938">
                  <c:v>4.1338325540974351E-3</c:v>
                </c:pt>
                <c:pt idx="1939">
                  <c:v>4.1399970278709133E-3</c:v>
                </c:pt>
                <c:pt idx="1940">
                  <c:v>4.1461969896933806E-3</c:v>
                </c:pt>
                <c:pt idx="1941">
                  <c:v>4.1524314971523972E-3</c:v>
                </c:pt>
                <c:pt idx="1942">
                  <c:v>4.1587009214673239E-3</c:v>
                </c:pt>
                <c:pt idx="1943">
                  <c:v>4.1650061018551638E-3</c:v>
                </c:pt>
                <c:pt idx="1944">
                  <c:v>4.171346295120908E-3</c:v>
                </c:pt>
                <c:pt idx="1945">
                  <c:v>4.1777192460568354E-3</c:v>
                </c:pt>
                <c:pt idx="1946">
                  <c:v>4.1841264319314895E-3</c:v>
                </c:pt>
                <c:pt idx="1947">
                  <c:v>4.1905695295574247E-3</c:v>
                </c:pt>
                <c:pt idx="1948">
                  <c:v>4.1970470676993433E-3</c:v>
                </c:pt>
                <c:pt idx="1949">
                  <c:v>4.203556849877701E-3</c:v>
                </c:pt>
                <c:pt idx="1950">
                  <c:v>4.2101010084752534E-3</c:v>
                </c:pt>
                <c:pt idx="1951">
                  <c:v>4.2166798467356487E-3</c:v>
                </c:pt>
                <c:pt idx="1952">
                  <c:v>4.2232909317482942E-3</c:v>
                </c:pt>
                <c:pt idx="1953">
                  <c:v>4.2299357614540671E-3</c:v>
                </c:pt>
                <c:pt idx="1954">
                  <c:v>4.2366155842133964E-3</c:v>
                </c:pt>
                <c:pt idx="1955">
                  <c:v>4.2433291786578902E-3</c:v>
                </c:pt>
                <c:pt idx="1956">
                  <c:v>4.2500741570145814E-3</c:v>
                </c:pt>
                <c:pt idx="1957">
                  <c:v>4.2568520984410949E-3</c:v>
                </c:pt>
                <c:pt idx="1958">
                  <c:v>4.2636637464819535E-3</c:v>
                </c:pt>
                <c:pt idx="1959">
                  <c:v>4.2705079244709197E-3</c:v>
                </c:pt>
                <c:pt idx="1960">
                  <c:v>4.2773851158640543E-3</c:v>
                </c:pt>
                <c:pt idx="1961">
                  <c:v>4.2842963021437874E-3</c:v>
                </c:pt>
                <c:pt idx="1962">
                  <c:v>4.2912406344960668E-3</c:v>
                </c:pt>
                <c:pt idx="1963">
                  <c:v>4.2982155298323388E-3</c:v>
                </c:pt>
                <c:pt idx="1964">
                  <c:v>4.3052227054560946E-3</c:v>
                </c:pt>
                <c:pt idx="1965">
                  <c:v>4.3122627973619394E-3</c:v>
                </c:pt>
                <c:pt idx="1966">
                  <c:v>4.3193346749379885E-3</c:v>
                </c:pt>
                <c:pt idx="1967">
                  <c:v>4.3264388139168282E-3</c:v>
                </c:pt>
                <c:pt idx="1968">
                  <c:v>4.333576252858946E-3</c:v>
                </c:pt>
                <c:pt idx="1969">
                  <c:v>4.3407461118558661E-3</c:v>
                </c:pt>
                <c:pt idx="1970">
                  <c:v>4.3479456803703085E-3</c:v>
                </c:pt>
                <c:pt idx="1971">
                  <c:v>4.3551767689431857E-3</c:v>
                </c:pt>
                <c:pt idx="1972">
                  <c:v>4.3624414244833971E-3</c:v>
                </c:pt>
                <c:pt idx="1973">
                  <c:v>4.369737890709156E-3</c:v>
                </c:pt>
                <c:pt idx="1974">
                  <c:v>4.3770635450665696E-3</c:v>
                </c:pt>
                <c:pt idx="1975">
                  <c:v>4.3844209717442762E-3</c:v>
                </c:pt>
                <c:pt idx="1976">
                  <c:v>4.3918105603822167E-3</c:v>
                </c:pt>
                <c:pt idx="1977">
                  <c:v>4.3992315822926646E-3</c:v>
                </c:pt>
                <c:pt idx="1978">
                  <c:v>4.4066840464997139E-3</c:v>
                </c:pt>
                <c:pt idx="1979">
                  <c:v>4.4141675706285115E-3</c:v>
                </c:pt>
                <c:pt idx="1980">
                  <c:v>4.4216820668962036E-3</c:v>
                </c:pt>
                <c:pt idx="1981">
                  <c:v>4.4292239499047871E-3</c:v>
                </c:pt>
                <c:pt idx="1982">
                  <c:v>4.4367960579267491E-3</c:v>
                </c:pt>
                <c:pt idx="1983">
                  <c:v>4.4443995413754088E-3</c:v>
                </c:pt>
                <c:pt idx="1984">
                  <c:v>4.4520326000803967E-3</c:v>
                </c:pt>
                <c:pt idx="1985">
                  <c:v>4.4596960846777674E-3</c:v>
                </c:pt>
                <c:pt idx="1986">
                  <c:v>4.4673911029585031E-3</c:v>
                </c:pt>
                <c:pt idx="1987">
                  <c:v>4.4751166588469409E-3</c:v>
                </c:pt>
                <c:pt idx="1988">
                  <c:v>4.482869717523136E-3</c:v>
                </c:pt>
                <c:pt idx="1989">
                  <c:v>4.490652332972047E-3</c:v>
                </c:pt>
                <c:pt idx="1990">
                  <c:v>4.4984652875847174E-3</c:v>
                </c:pt>
                <c:pt idx="1991">
                  <c:v>4.5063072574504951E-3</c:v>
                </c:pt>
                <c:pt idx="1992">
                  <c:v>4.5141788276452299E-3</c:v>
                </c:pt>
                <c:pt idx="1993">
                  <c:v>4.5220812327726517E-3</c:v>
                </c:pt>
                <c:pt idx="1994">
                  <c:v>4.5300134593735525E-3</c:v>
                </c:pt>
                <c:pt idx="1995">
                  <c:v>4.5379723513156479E-3</c:v>
                </c:pt>
                <c:pt idx="1996">
                  <c:v>4.5459600478915665E-3</c:v>
                </c:pt>
                <c:pt idx="1997">
                  <c:v>4.5539789606520104E-3</c:v>
                </c:pt>
                <c:pt idx="1998">
                  <c:v>4.5620270548634347E-3</c:v>
                </c:pt>
                <c:pt idx="1999">
                  <c:v>4.570101292531709E-3</c:v>
                </c:pt>
                <c:pt idx="2000">
                  <c:v>4.5782047012174008E-3</c:v>
                </c:pt>
                <c:pt idx="2001">
                  <c:v>4.5863377564410949E-3</c:v>
                </c:pt>
                <c:pt idx="2002">
                  <c:v>4.5944971062851009E-3</c:v>
                </c:pt>
                <c:pt idx="2003">
                  <c:v>4.6026848803418724E-3</c:v>
                </c:pt>
                <c:pt idx="2004">
                  <c:v>4.6109028453439537E-3</c:v>
                </c:pt>
                <c:pt idx="2005">
                  <c:v>4.6191493515224035E-3</c:v>
                </c:pt>
                <c:pt idx="2006">
                  <c:v>4.6274211475709152E-3</c:v>
                </c:pt>
                <c:pt idx="2007">
                  <c:v>4.6357204528300507E-3</c:v>
                </c:pt>
                <c:pt idx="2008">
                  <c:v>4.6440483358947448E-3</c:v>
                </c:pt>
                <c:pt idx="2009">
                  <c:v>4.652403218266276E-3</c:v>
                </c:pt>
                <c:pt idx="2010">
                  <c:v>4.6607858063213853E-3</c:v>
                </c:pt>
                <c:pt idx="2011">
                  <c:v>4.6691974719731376E-3</c:v>
                </c:pt>
                <c:pt idx="2012">
                  <c:v>4.6776371003831776E-3</c:v>
                </c:pt>
                <c:pt idx="2013">
                  <c:v>4.6861012255292583E-3</c:v>
                </c:pt>
                <c:pt idx="2014">
                  <c:v>4.6945922170960721E-3</c:v>
                </c:pt>
                <c:pt idx="2015">
                  <c:v>4.703110980110563E-3</c:v>
                </c:pt>
                <c:pt idx="2016">
                  <c:v>4.7116560230146213E-3</c:v>
                </c:pt>
                <c:pt idx="2017">
                  <c:v>4.7202280292265785E-3</c:v>
                </c:pt>
                <c:pt idx="2018">
                  <c:v>4.7288284255316585E-3</c:v>
                </c:pt>
                <c:pt idx="2019">
                  <c:v>4.7374560716292599E-3</c:v>
                </c:pt>
                <c:pt idx="2020">
                  <c:v>4.7461073822990078E-3</c:v>
                </c:pt>
                <c:pt idx="2021">
                  <c:v>4.7547848155470298E-3</c:v>
                </c:pt>
                <c:pt idx="2022">
                  <c:v>4.7634911350237881E-3</c:v>
                </c:pt>
                <c:pt idx="2023">
                  <c:v>4.7722240389515662E-3</c:v>
                </c:pt>
                <c:pt idx="2024">
                  <c:v>4.7809800904029063E-3</c:v>
                </c:pt>
                <c:pt idx="2025">
                  <c:v>4.7897627442961381E-3</c:v>
                </c:pt>
                <c:pt idx="2026">
                  <c:v>4.7985725609037706E-3</c:v>
                </c:pt>
                <c:pt idx="2027">
                  <c:v>4.8074057529919542E-3</c:v>
                </c:pt>
                <c:pt idx="2028">
                  <c:v>4.8162647517581408E-3</c:v>
                </c:pt>
                <c:pt idx="2029">
                  <c:v>4.8251515717964077E-3</c:v>
                </c:pt>
                <c:pt idx="2030">
                  <c:v>4.834064362149418E-3</c:v>
                </c:pt>
                <c:pt idx="2031">
                  <c:v>4.842999464046197E-3</c:v>
                </c:pt>
                <c:pt idx="2032">
                  <c:v>4.8519594011824886E-3</c:v>
                </c:pt>
                <c:pt idx="2033">
                  <c:v>4.8609453985363274E-3</c:v>
                </c:pt>
                <c:pt idx="2034">
                  <c:v>4.8699556895986226E-3</c:v>
                </c:pt>
                <c:pt idx="2035">
                  <c:v>4.8789910870985376E-3</c:v>
                </c:pt>
                <c:pt idx="2036">
                  <c:v>4.8880531482035847E-3</c:v>
                </c:pt>
                <c:pt idx="2037">
                  <c:v>4.8971406347405096E-3</c:v>
                </c:pt>
                <c:pt idx="2038">
                  <c:v>4.9062496668511148E-3</c:v>
                </c:pt>
                <c:pt idx="2039">
                  <c:v>4.9153829232047742E-3</c:v>
                </c:pt>
                <c:pt idx="2040">
                  <c:v>4.9245414366266586E-3</c:v>
                </c:pt>
                <c:pt idx="2041">
                  <c:v>4.9337235475502509E-3</c:v>
                </c:pt>
                <c:pt idx="2042">
                  <c:v>4.9429300383035816E-3</c:v>
                </c:pt>
                <c:pt idx="2043">
                  <c:v>4.9521625187548121E-3</c:v>
                </c:pt>
                <c:pt idx="2044">
                  <c:v>4.9614197288437032E-3</c:v>
                </c:pt>
                <c:pt idx="2045">
                  <c:v>4.9706976755758154E-3</c:v>
                </c:pt>
                <c:pt idx="2046">
                  <c:v>4.9799991211405695E-3</c:v>
                </c:pt>
                <c:pt idx="2047">
                  <c:v>4.9893271652912078E-3</c:v>
                </c:pt>
                <c:pt idx="2048">
                  <c:v>4.9986792531745384E-3</c:v>
                </c:pt>
                <c:pt idx="2049">
                  <c:v>5.0080515694760613E-3</c:v>
                </c:pt>
                <c:pt idx="2050">
                  <c:v>5.0174479766246088E-3</c:v>
                </c:pt>
                <c:pt idx="2051">
                  <c:v>5.0268691161151737E-3</c:v>
                </c:pt>
                <c:pt idx="2052">
                  <c:v>5.036310788522352E-3</c:v>
                </c:pt>
                <c:pt idx="2053">
                  <c:v>5.0457757126053729E-3</c:v>
                </c:pt>
                <c:pt idx="2054">
                  <c:v>5.0552661379856091E-3</c:v>
                </c:pt>
                <c:pt idx="2055">
                  <c:v>5.0647800239077261E-3</c:v>
                </c:pt>
                <c:pt idx="2056">
                  <c:v>5.0743133270944943E-3</c:v>
                </c:pt>
                <c:pt idx="2057">
                  <c:v>5.0838688607973423E-3</c:v>
                </c:pt>
                <c:pt idx="2058">
                  <c:v>5.0934479977887701E-3</c:v>
                </c:pt>
                <c:pt idx="2059">
                  <c:v>5.1030487940401659E-3</c:v>
                </c:pt>
                <c:pt idx="2060">
                  <c:v>5.1126721648516085E-3</c:v>
                </c:pt>
                <c:pt idx="2061">
                  <c:v>5.1223198432714589E-3</c:v>
                </c:pt>
                <c:pt idx="2062">
                  <c:v>5.1319904751483498E-3</c:v>
                </c:pt>
                <c:pt idx="2063">
                  <c:v>5.1416797908065094E-3</c:v>
                </c:pt>
                <c:pt idx="2064">
                  <c:v>5.1513907608774223E-3</c:v>
                </c:pt>
                <c:pt idx="2065">
                  <c:v>5.1611245401059474E-3</c:v>
                </c:pt>
                <c:pt idx="2066">
                  <c:v>5.1708793110126659E-3</c:v>
                </c:pt>
                <c:pt idx="2067">
                  <c:v>5.1806559504350034E-3</c:v>
                </c:pt>
                <c:pt idx="2068">
                  <c:v>5.1904562417327367E-3</c:v>
                </c:pt>
                <c:pt idx="2069">
                  <c:v>5.2002788118755347E-3</c:v>
                </c:pt>
                <c:pt idx="2070">
                  <c:v>5.210119285081592E-3</c:v>
                </c:pt>
                <c:pt idx="2071">
                  <c:v>5.2199807109073165E-3</c:v>
                </c:pt>
                <c:pt idx="2072">
                  <c:v>5.2298665061234787E-3</c:v>
                </c:pt>
                <c:pt idx="2073">
                  <c:v>5.2397738783171461E-3</c:v>
                </c:pt>
                <c:pt idx="2074">
                  <c:v>5.2496986573983429E-3</c:v>
                </c:pt>
                <c:pt idx="2075">
                  <c:v>5.2596450890645555E-3</c:v>
                </c:pt>
                <c:pt idx="2076">
                  <c:v>5.2696138920111206E-3</c:v>
                </c:pt>
                <c:pt idx="2077">
                  <c:v>5.2796004805531248E-3</c:v>
                </c:pt>
                <c:pt idx="2078">
                  <c:v>5.2896078441265299E-3</c:v>
                </c:pt>
                <c:pt idx="2079">
                  <c:v>5.2996384538123486E-3</c:v>
                </c:pt>
                <c:pt idx="2080">
                  <c:v>5.3096900912154099E-3</c:v>
                </c:pt>
                <c:pt idx="2081">
                  <c:v>5.3197628488798471E-3</c:v>
                </c:pt>
                <c:pt idx="2082">
                  <c:v>5.3298560880608607E-3</c:v>
                </c:pt>
                <c:pt idx="2083">
                  <c:v>5.3399643420707216E-3</c:v>
                </c:pt>
                <c:pt idx="2084">
                  <c:v>5.3500920304652248E-3</c:v>
                </c:pt>
                <c:pt idx="2085">
                  <c:v>5.3602411625214008E-3</c:v>
                </c:pt>
                <c:pt idx="2086">
                  <c:v>5.3704114003202096E-3</c:v>
                </c:pt>
                <c:pt idx="2087">
                  <c:v>5.3806023938818429E-3</c:v>
                </c:pt>
                <c:pt idx="2088">
                  <c:v>5.3908092408075092E-3</c:v>
                </c:pt>
                <c:pt idx="2089">
                  <c:v>5.4010354275282144E-3</c:v>
                </c:pt>
                <c:pt idx="2090">
                  <c:v>5.4112819467792743E-3</c:v>
                </c:pt>
                <c:pt idx="2091">
                  <c:v>5.4215469812245124E-3</c:v>
                </c:pt>
                <c:pt idx="2092">
                  <c:v>5.4318314551766271E-3</c:v>
                </c:pt>
                <c:pt idx="2093">
                  <c:v>5.4421373072096732E-3</c:v>
                </c:pt>
                <c:pt idx="2094">
                  <c:v>5.4524630729523857E-3</c:v>
                </c:pt>
                <c:pt idx="2095">
                  <c:v>5.4628040170117227E-3</c:v>
                </c:pt>
                <c:pt idx="2096">
                  <c:v>5.4731634588244035E-3</c:v>
                </c:pt>
                <c:pt idx="2097">
                  <c:v>5.4835451079770147E-3</c:v>
                </c:pt>
                <c:pt idx="2098">
                  <c:v>5.4939459531924747E-3</c:v>
                </c:pt>
                <c:pt idx="2099">
                  <c:v>5.5043614924778096E-3</c:v>
                </c:pt>
                <c:pt idx="2100">
                  <c:v>5.5147963309297504E-3</c:v>
                </c:pt>
                <c:pt idx="2101">
                  <c:v>5.5252512596769476E-3</c:v>
                </c:pt>
                <c:pt idx="2102">
                  <c:v>5.5357213325695652E-3</c:v>
                </c:pt>
                <c:pt idx="2103">
                  <c:v>5.5462097920158729E-3</c:v>
                </c:pt>
                <c:pt idx="2104">
                  <c:v>5.5567193163701097E-3</c:v>
                </c:pt>
                <c:pt idx="2105">
                  <c:v>5.5672475223799527E-3</c:v>
                </c:pt>
                <c:pt idx="2106">
                  <c:v>5.5777896707963478E-3</c:v>
                </c:pt>
                <c:pt idx="2107">
                  <c:v>5.5883491011038044E-3</c:v>
                </c:pt>
                <c:pt idx="2108">
                  <c:v>5.5989274575937919E-3</c:v>
                </c:pt>
                <c:pt idx="2109">
                  <c:v>5.6095224762808833E-3</c:v>
                </c:pt>
                <c:pt idx="2110">
                  <c:v>5.6201352590202047E-3</c:v>
                </c:pt>
                <c:pt idx="2111">
                  <c:v>5.6307678584960877E-3</c:v>
                </c:pt>
                <c:pt idx="2112">
                  <c:v>5.6414187129630936E-3</c:v>
                </c:pt>
                <c:pt idx="2113">
                  <c:v>5.652082848775138E-3</c:v>
                </c:pt>
                <c:pt idx="2114">
                  <c:v>5.6627637665152709E-3</c:v>
                </c:pt>
                <c:pt idx="2115">
                  <c:v>5.6734628434766329E-3</c:v>
                </c:pt>
                <c:pt idx="2116">
                  <c:v>5.6841779782906667E-3</c:v>
                </c:pt>
                <c:pt idx="2117">
                  <c:v>5.6949102198024619E-3</c:v>
                </c:pt>
                <c:pt idx="2118">
                  <c:v>5.7056616653354793E-3</c:v>
                </c:pt>
                <c:pt idx="2119">
                  <c:v>5.7164307405564007E-3</c:v>
                </c:pt>
                <c:pt idx="2120">
                  <c:v>5.7272123801401604E-3</c:v>
                </c:pt>
                <c:pt idx="2121">
                  <c:v>5.7380101529090951E-3</c:v>
                </c:pt>
                <c:pt idx="2122">
                  <c:v>5.7488280493939101E-3</c:v>
                </c:pt>
                <c:pt idx="2123">
                  <c:v>5.7596628506604314E-3</c:v>
                </c:pt>
                <c:pt idx="2124">
                  <c:v>5.7705097477592799E-3</c:v>
                </c:pt>
                <c:pt idx="2125">
                  <c:v>5.7813736787902491E-3</c:v>
                </c:pt>
                <c:pt idx="2126">
                  <c:v>5.7922555037515297E-3</c:v>
                </c:pt>
                <c:pt idx="2127">
                  <c:v>5.8031499416166281E-3</c:v>
                </c:pt>
                <c:pt idx="2128">
                  <c:v>5.814060470296676E-3</c:v>
                </c:pt>
                <c:pt idx="2129">
                  <c:v>5.8249899611180723E-3</c:v>
                </c:pt>
                <c:pt idx="2130">
                  <c:v>5.8359358777170063E-3</c:v>
                </c:pt>
                <c:pt idx="2131">
                  <c:v>5.8468931694074687E-3</c:v>
                </c:pt>
                <c:pt idx="2132">
                  <c:v>5.8578654125862953E-3</c:v>
                </c:pt>
                <c:pt idx="2133">
                  <c:v>5.8688543730750289E-3</c:v>
                </c:pt>
                <c:pt idx="2134">
                  <c:v>5.8798576438092252E-3</c:v>
                </c:pt>
                <c:pt idx="2135">
                  <c:v>5.8908764113214445E-3</c:v>
                </c:pt>
                <c:pt idx="2136">
                  <c:v>5.9019128720683095E-3</c:v>
                </c:pt>
                <c:pt idx="2137">
                  <c:v>5.9129653712961571E-3</c:v>
                </c:pt>
                <c:pt idx="2138">
                  <c:v>5.9240286209769413E-3</c:v>
                </c:pt>
                <c:pt idx="2139">
                  <c:v>5.9351063592706843E-3</c:v>
                </c:pt>
                <c:pt idx="2140">
                  <c:v>5.9462000634631033E-3</c:v>
                </c:pt>
                <c:pt idx="2141">
                  <c:v>5.9573075057682418E-3</c:v>
                </c:pt>
                <c:pt idx="2142">
                  <c:v>5.9684298120997415E-3</c:v>
                </c:pt>
                <c:pt idx="2143">
                  <c:v>5.9795692212386096E-3</c:v>
                </c:pt>
                <c:pt idx="2144">
                  <c:v>5.9907240687424555E-3</c:v>
                </c:pt>
                <c:pt idx="2145">
                  <c:v>6.0018889806567732E-3</c:v>
                </c:pt>
                <c:pt idx="2146">
                  <c:v>6.0130677596107749E-3</c:v>
                </c:pt>
                <c:pt idx="2147">
                  <c:v>6.024264653101026E-3</c:v>
                </c:pt>
                <c:pt idx="2148">
                  <c:v>6.0354762506248973E-3</c:v>
                </c:pt>
                <c:pt idx="2149">
                  <c:v>6.0466974583182967E-3</c:v>
                </c:pt>
                <c:pt idx="2150">
                  <c:v>6.057933524973109E-3</c:v>
                </c:pt>
                <c:pt idx="2151">
                  <c:v>6.0691853735326696E-3</c:v>
                </c:pt>
                <c:pt idx="2152">
                  <c:v>6.0804474118314796E-3</c:v>
                </c:pt>
                <c:pt idx="2153">
                  <c:v>6.0917233373151761E-3</c:v>
                </c:pt>
                <c:pt idx="2154">
                  <c:v>6.1030162010871384E-3</c:v>
                </c:pt>
                <c:pt idx="2155">
                  <c:v>6.1143233239394331E-3</c:v>
                </c:pt>
                <c:pt idx="2156">
                  <c:v>6.1256393658538346E-3</c:v>
                </c:pt>
                <c:pt idx="2157">
                  <c:v>6.1369681232429666E-3</c:v>
                </c:pt>
                <c:pt idx="2158">
                  <c:v>6.1483114754886121E-3</c:v>
                </c:pt>
                <c:pt idx="2159">
                  <c:v>6.1596668831043122E-3</c:v>
                </c:pt>
                <c:pt idx="2160">
                  <c:v>6.1710356106480287E-3</c:v>
                </c:pt>
                <c:pt idx="2161">
                  <c:v>6.1824199890495781E-3</c:v>
                </c:pt>
                <c:pt idx="2162">
                  <c:v>6.1938182768381264E-3</c:v>
                </c:pt>
                <c:pt idx="2163">
                  <c:v>6.2052248921614225E-3</c:v>
                </c:pt>
                <c:pt idx="2164">
                  <c:v>6.2166437962262169E-3</c:v>
                </c:pt>
                <c:pt idx="2165">
                  <c:v>6.2280765589827021E-3</c:v>
                </c:pt>
                <c:pt idx="2166">
                  <c:v>6.2395208338478459E-3</c:v>
                </c:pt>
                <c:pt idx="2167">
                  <c:v>6.2509778199363727E-3</c:v>
                </c:pt>
                <c:pt idx="2168">
                  <c:v>6.2624498879356458E-3</c:v>
                </c:pt>
                <c:pt idx="2169">
                  <c:v>6.2739352889893971E-3</c:v>
                </c:pt>
                <c:pt idx="2170">
                  <c:v>6.2854283612203687E-3</c:v>
                </c:pt>
                <c:pt idx="2171">
                  <c:v>6.296933125165086E-3</c:v>
                </c:pt>
                <c:pt idx="2172">
                  <c:v>6.3084540687217338E-3</c:v>
                </c:pt>
                <c:pt idx="2173">
                  <c:v>6.3199876030660459E-3</c:v>
                </c:pt>
                <c:pt idx="2174">
                  <c:v>6.331528366573547E-3</c:v>
                </c:pt>
                <c:pt idx="2175">
                  <c:v>6.3430818989497258E-3</c:v>
                </c:pt>
                <c:pt idx="2176">
                  <c:v>6.3546491821410969E-3</c:v>
                </c:pt>
                <c:pt idx="2177">
                  <c:v>6.3662243326560548E-3</c:v>
                </c:pt>
                <c:pt idx="2178">
                  <c:v>6.377811253855537E-3</c:v>
                </c:pt>
                <c:pt idx="2179">
                  <c:v>6.3894131647825722E-3</c:v>
                </c:pt>
                <c:pt idx="2180">
                  <c:v>6.401027252529533E-3</c:v>
                </c:pt>
                <c:pt idx="2181">
                  <c:v>6.4126479050894015E-3</c:v>
                </c:pt>
                <c:pt idx="2182">
                  <c:v>6.4242791256266156E-3</c:v>
                </c:pt>
                <c:pt idx="2183">
                  <c:v>6.4359229004254297E-3</c:v>
                </c:pt>
                <c:pt idx="2184">
                  <c:v>6.447576564882586E-3</c:v>
                </c:pt>
                <c:pt idx="2185">
                  <c:v>6.4592414565394114E-3</c:v>
                </c:pt>
                <c:pt idx="2186">
                  <c:v>6.4709200328519926E-3</c:v>
                </c:pt>
                <c:pt idx="2187">
                  <c:v>6.4826104713504576E-3</c:v>
                </c:pt>
                <c:pt idx="2188">
                  <c:v>6.4943069139882358E-3</c:v>
                </c:pt>
                <c:pt idx="2189">
                  <c:v>6.5060135301849582E-3</c:v>
                </c:pt>
                <c:pt idx="2190">
                  <c:v>6.5177319773413482E-3</c:v>
                </c:pt>
                <c:pt idx="2191">
                  <c:v>6.5294597982190443E-3</c:v>
                </c:pt>
                <c:pt idx="2192">
                  <c:v>6.5411982588198699E-3</c:v>
                </c:pt>
                <c:pt idx="2193">
                  <c:v>6.5529498544953345E-3</c:v>
                </c:pt>
                <c:pt idx="2194">
                  <c:v>6.5647127573840256E-3</c:v>
                </c:pt>
                <c:pt idx="2195">
                  <c:v>6.5764810331214131E-3</c:v>
                </c:pt>
                <c:pt idx="2196">
                  <c:v>6.5882589078499311E-3</c:v>
                </c:pt>
                <c:pt idx="2197">
                  <c:v>6.6000510962387271E-3</c:v>
                </c:pt>
                <c:pt idx="2198">
                  <c:v>6.6118538404753621E-3</c:v>
                </c:pt>
                <c:pt idx="2199">
                  <c:v>6.6236615269370681E-3</c:v>
                </c:pt>
                <c:pt idx="2200">
                  <c:v>6.6354799698964319E-3</c:v>
                </c:pt>
                <c:pt idx="2201">
                  <c:v>6.6473102064586193E-3</c:v>
                </c:pt>
                <c:pt idx="2202">
                  <c:v>6.6591507565991644E-3</c:v>
                </c:pt>
                <c:pt idx="2203">
                  <c:v>6.67100181539874E-3</c:v>
                </c:pt>
                <c:pt idx="2204">
                  <c:v>6.6828626742632393E-3</c:v>
                </c:pt>
                <c:pt idx="2205">
                  <c:v>6.6947333160898952E-3</c:v>
                </c:pt>
                <c:pt idx="2206">
                  <c:v>6.7066062517645367E-3</c:v>
                </c:pt>
                <c:pt idx="2207">
                  <c:v>6.718487676576677E-3</c:v>
                </c:pt>
                <c:pt idx="2208">
                  <c:v>6.7303801979827554E-3</c:v>
                </c:pt>
                <c:pt idx="2209">
                  <c:v>6.7422801408595964E-3</c:v>
                </c:pt>
                <c:pt idx="2210">
                  <c:v>6.7541894519229642E-3</c:v>
                </c:pt>
                <c:pt idx="2211">
                  <c:v>6.7661105583997089E-3</c:v>
                </c:pt>
                <c:pt idx="2212">
                  <c:v>6.7780415354037338E-3</c:v>
                </c:pt>
                <c:pt idx="2213">
                  <c:v>6.7899762562113964E-3</c:v>
                </c:pt>
                <c:pt idx="2214">
                  <c:v>6.8019191004433273E-3</c:v>
                </c:pt>
                <c:pt idx="2215">
                  <c:v>6.8138718305520785E-3</c:v>
                </c:pt>
                <c:pt idx="2216">
                  <c:v>6.8258318632199244E-3</c:v>
                </c:pt>
                <c:pt idx="2217">
                  <c:v>6.8378005385435854E-3</c:v>
                </c:pt>
                <c:pt idx="2218">
                  <c:v>6.849780468929847E-3</c:v>
                </c:pt>
                <c:pt idx="2219">
                  <c:v>6.8617697490247565E-3</c:v>
                </c:pt>
                <c:pt idx="2220">
                  <c:v>6.8737621840945767E-3</c:v>
                </c:pt>
                <c:pt idx="2221">
                  <c:v>6.8857621958551491E-3</c:v>
                </c:pt>
                <c:pt idx="2222">
                  <c:v>6.8977747165849977E-3</c:v>
                </c:pt>
                <c:pt idx="2223">
                  <c:v>6.9097958263761887E-3</c:v>
                </c:pt>
                <c:pt idx="2224">
                  <c:v>6.9218196686088324E-3</c:v>
                </c:pt>
                <c:pt idx="2225">
                  <c:v>6.9338523210989017E-3</c:v>
                </c:pt>
                <c:pt idx="2226">
                  <c:v>6.9458948734459685E-3</c:v>
                </c:pt>
                <c:pt idx="2227">
                  <c:v>6.9579409000486677E-3</c:v>
                </c:pt>
                <c:pt idx="2228">
                  <c:v>6.9699946845056494E-3</c:v>
                </c:pt>
                <c:pt idx="2229">
                  <c:v>6.9820597597949853E-3</c:v>
                </c:pt>
                <c:pt idx="2230">
                  <c:v>6.9941330630160971E-3</c:v>
                </c:pt>
                <c:pt idx="2231">
                  <c:v>7.0062084746703264E-3</c:v>
                </c:pt>
                <c:pt idx="2232">
                  <c:v>7.0182903817007074E-3</c:v>
                </c:pt>
                <c:pt idx="2233">
                  <c:v>7.0303809680447391E-3</c:v>
                </c:pt>
                <c:pt idx="2234">
                  <c:v>7.0424773347422445E-3</c:v>
                </c:pt>
                <c:pt idx="2235">
                  <c:v>7.054580955308881E-3</c:v>
                </c:pt>
                <c:pt idx="2236">
                  <c:v>7.0666945233052014E-3</c:v>
                </c:pt>
                <c:pt idx="2237">
                  <c:v>7.0788160619351358E-3</c:v>
                </c:pt>
                <c:pt idx="2238">
                  <c:v>7.0909391954160047E-3</c:v>
                </c:pt>
                <c:pt idx="2239">
                  <c:v>7.1030684824865175E-3</c:v>
                </c:pt>
                <c:pt idx="2240">
                  <c:v>7.1152057432445088E-3</c:v>
                </c:pt>
                <c:pt idx="2241">
                  <c:v>7.1273483110527213E-3</c:v>
                </c:pt>
                <c:pt idx="2242">
                  <c:v>7.1394975777001315E-3</c:v>
                </c:pt>
                <c:pt idx="2243">
                  <c:v>7.1516562726717256E-3</c:v>
                </c:pt>
                <c:pt idx="2244">
                  <c:v>7.1638224166733436E-3</c:v>
                </c:pt>
                <c:pt idx="2245">
                  <c:v>7.1759895609217611E-3</c:v>
                </c:pt>
                <c:pt idx="2246">
                  <c:v>7.1881623174407548E-3</c:v>
                </c:pt>
                <c:pt idx="2247">
                  <c:v>7.2003458287557059E-3</c:v>
                </c:pt>
                <c:pt idx="2248">
                  <c:v>7.2125360169312024E-3</c:v>
                </c:pt>
                <c:pt idx="2249">
                  <c:v>7.2247267874552597E-3</c:v>
                </c:pt>
                <c:pt idx="2250">
                  <c:v>7.236924475344627E-3</c:v>
                </c:pt>
                <c:pt idx="2251">
                  <c:v>7.2491302204357976E-3</c:v>
                </c:pt>
                <c:pt idx="2252">
                  <c:v>7.2613373363399443E-3</c:v>
                </c:pt>
                <c:pt idx="2253">
                  <c:v>7.2735502877218404E-3</c:v>
                </c:pt>
                <c:pt idx="2254">
                  <c:v>7.285772759164184E-3</c:v>
                </c:pt>
                <c:pt idx="2255">
                  <c:v>7.2980015663967569E-3</c:v>
                </c:pt>
                <c:pt idx="2256">
                  <c:v>7.310230344293886E-3</c:v>
                </c:pt>
                <c:pt idx="2257">
                  <c:v>7.322463663666492E-3</c:v>
                </c:pt>
                <c:pt idx="2258">
                  <c:v>7.3347038020046204E-3</c:v>
                </c:pt>
                <c:pt idx="2259">
                  <c:v>7.3469477490968873E-3</c:v>
                </c:pt>
                <c:pt idx="2260">
                  <c:v>7.3591970424526079E-3</c:v>
                </c:pt>
                <c:pt idx="2261">
                  <c:v>7.3714544891524516E-3</c:v>
                </c:pt>
                <c:pt idx="2262">
                  <c:v>7.3837180368329543E-3</c:v>
                </c:pt>
                <c:pt idx="2263">
                  <c:v>7.3959810557249666E-3</c:v>
                </c:pt>
                <c:pt idx="2264">
                  <c:v>7.4082482942448881E-3</c:v>
                </c:pt>
                <c:pt idx="2265">
                  <c:v>7.420521650888353E-3</c:v>
                </c:pt>
                <c:pt idx="2266">
                  <c:v>7.4327983557023669E-3</c:v>
                </c:pt>
                <c:pt idx="2267">
                  <c:v>7.4450798611062933E-3</c:v>
                </c:pt>
                <c:pt idx="2268">
                  <c:v>7.4573690110506319E-3</c:v>
                </c:pt>
                <c:pt idx="2269">
                  <c:v>7.4696637507826796E-3</c:v>
                </c:pt>
                <c:pt idx="2270">
                  <c:v>7.4819573766675852E-3</c:v>
                </c:pt>
                <c:pt idx="2271">
                  <c:v>7.4942546901088647E-3</c:v>
                </c:pt>
                <c:pt idx="2272">
                  <c:v>7.506561044915816E-3</c:v>
                </c:pt>
                <c:pt idx="2273">
                  <c:v>7.5188722036816768E-3</c:v>
                </c:pt>
                <c:pt idx="2274">
                  <c:v>7.5311818326674086E-3</c:v>
                </c:pt>
                <c:pt idx="2275">
                  <c:v>7.5434965245889723E-3</c:v>
                </c:pt>
                <c:pt idx="2276">
                  <c:v>7.5558174685515156E-3</c:v>
                </c:pt>
                <c:pt idx="2277">
                  <c:v>7.568137715407759E-3</c:v>
                </c:pt>
                <c:pt idx="2278">
                  <c:v>7.5804619123267195E-3</c:v>
                </c:pt>
                <c:pt idx="2279">
                  <c:v>7.5927938948196529E-3</c:v>
                </c:pt>
                <c:pt idx="2280">
                  <c:v>7.6051303555335235E-3</c:v>
                </c:pt>
                <c:pt idx="2281">
                  <c:v>7.6174646804784592E-3</c:v>
                </c:pt>
                <c:pt idx="2282">
                  <c:v>7.6298016260005685E-3</c:v>
                </c:pt>
                <c:pt idx="2283">
                  <c:v>7.6421435645347363E-3</c:v>
                </c:pt>
                <c:pt idx="2284">
                  <c:v>7.654487370172206E-3</c:v>
                </c:pt>
                <c:pt idx="2285">
                  <c:v>7.666834645183712E-3</c:v>
                </c:pt>
                <c:pt idx="2286">
                  <c:v>7.6791883121123793E-3</c:v>
                </c:pt>
                <c:pt idx="2287">
                  <c:v>7.691546241085011E-3</c:v>
                </c:pt>
                <c:pt idx="2288">
                  <c:v>7.7039015439170433E-3</c:v>
                </c:pt>
                <c:pt idx="2289">
                  <c:v>7.7162591594588451E-3</c:v>
                </c:pt>
                <c:pt idx="2290">
                  <c:v>7.7286210656351941E-3</c:v>
                </c:pt>
                <c:pt idx="2291">
                  <c:v>7.7409843878939255E-3</c:v>
                </c:pt>
                <c:pt idx="2292">
                  <c:v>7.753350638792054E-3</c:v>
                </c:pt>
                <c:pt idx="2293">
                  <c:v>7.7657227784358055E-3</c:v>
                </c:pt>
                <c:pt idx="2294">
                  <c:v>7.7780986743163786E-3</c:v>
                </c:pt>
                <c:pt idx="2295">
                  <c:v>7.7904713617536203E-3</c:v>
                </c:pt>
                <c:pt idx="2296">
                  <c:v>7.80284583515188E-3</c:v>
                </c:pt>
                <c:pt idx="2297">
                  <c:v>7.8152276637010239E-3</c:v>
                </c:pt>
                <c:pt idx="2298">
                  <c:v>7.8276124460825124E-3</c:v>
                </c:pt>
                <c:pt idx="2299">
                  <c:v>7.839993602632378E-3</c:v>
                </c:pt>
                <c:pt idx="2300">
                  <c:v>7.8523779900454126E-3</c:v>
                </c:pt>
                <c:pt idx="2301">
                  <c:v>7.864766847125124E-3</c:v>
                </c:pt>
                <c:pt idx="2302">
                  <c:v>7.8771529529589063E-3</c:v>
                </c:pt>
                <c:pt idx="2303">
                  <c:v>7.8895411414369853E-3</c:v>
                </c:pt>
                <c:pt idx="2304">
                  <c:v>7.9019354040870092E-3</c:v>
                </c:pt>
                <c:pt idx="2305">
                  <c:v>7.9143323051618537E-3</c:v>
                </c:pt>
                <c:pt idx="2306">
                  <c:v>7.9267320584148707E-3</c:v>
                </c:pt>
                <c:pt idx="2307">
                  <c:v>7.9391337400948562E-3</c:v>
                </c:pt>
                <c:pt idx="2308">
                  <c:v>7.9515288324393391E-3</c:v>
                </c:pt>
                <c:pt idx="2309">
                  <c:v>7.9639243636351227E-3</c:v>
                </c:pt>
                <c:pt idx="2310">
                  <c:v>7.9763235755404231E-3</c:v>
                </c:pt>
                <c:pt idx="2311">
                  <c:v>7.988725997103728E-3</c:v>
                </c:pt>
                <c:pt idx="2312">
                  <c:v>8.0011311613587006E-3</c:v>
                </c:pt>
                <c:pt idx="2313">
                  <c:v>8.0135314900733352E-3</c:v>
                </c:pt>
                <c:pt idx="2314">
                  <c:v>8.025932498407589E-3</c:v>
                </c:pt>
                <c:pt idx="2315">
                  <c:v>8.0383358131490678E-3</c:v>
                </c:pt>
                <c:pt idx="2316">
                  <c:v>8.05073867933335E-3</c:v>
                </c:pt>
                <c:pt idx="2317">
                  <c:v>8.0631426077813918E-3</c:v>
                </c:pt>
                <c:pt idx="2318">
                  <c:v>8.075550667862464E-3</c:v>
                </c:pt>
                <c:pt idx="2319">
                  <c:v>8.0879606652971871E-3</c:v>
                </c:pt>
                <c:pt idx="2320">
                  <c:v>8.1003653586782572E-3</c:v>
                </c:pt>
                <c:pt idx="2321">
                  <c:v>8.112769945082374E-3</c:v>
                </c:pt>
                <c:pt idx="2322">
                  <c:v>8.1251802111827389E-3</c:v>
                </c:pt>
                <c:pt idx="2323">
                  <c:v>8.1375915869190043E-3</c:v>
                </c:pt>
                <c:pt idx="2324">
                  <c:v>8.1499972326017651E-3</c:v>
                </c:pt>
                <c:pt idx="2325">
                  <c:v>8.1624042827014853E-3</c:v>
                </c:pt>
                <c:pt idx="2326">
                  <c:v>8.1748140259664086E-3</c:v>
                </c:pt>
                <c:pt idx="2327">
                  <c:v>8.1872189562139496E-3</c:v>
                </c:pt>
                <c:pt idx="2328">
                  <c:v>8.1996241025983768E-3</c:v>
                </c:pt>
                <c:pt idx="2329">
                  <c:v>8.2120336203069903E-3</c:v>
                </c:pt>
                <c:pt idx="2330">
                  <c:v>8.2244439384720376E-3</c:v>
                </c:pt>
                <c:pt idx="2331">
                  <c:v>8.2368479129228504E-3</c:v>
                </c:pt>
                <c:pt idx="2332">
                  <c:v>8.2492506912669739E-3</c:v>
                </c:pt>
                <c:pt idx="2333">
                  <c:v>8.261654844211333E-3</c:v>
                </c:pt>
                <c:pt idx="2334">
                  <c:v>8.2740569989711091E-3</c:v>
                </c:pt>
                <c:pt idx="2335">
                  <c:v>8.2864588927199622E-3</c:v>
                </c:pt>
                <c:pt idx="2336">
                  <c:v>8.2988636933587299E-3</c:v>
                </c:pt>
                <c:pt idx="2337">
                  <c:v>8.3112691017281064E-3</c:v>
                </c:pt>
                <c:pt idx="2338">
                  <c:v>8.3236676736108961E-3</c:v>
                </c:pt>
                <c:pt idx="2339">
                  <c:v>8.3360647565654672E-3</c:v>
                </c:pt>
                <c:pt idx="2340">
                  <c:v>8.3484624947373735E-3</c:v>
                </c:pt>
                <c:pt idx="2341">
                  <c:v>8.3608577852622313E-3</c:v>
                </c:pt>
                <c:pt idx="2342">
                  <c:v>8.3732522691541914E-3</c:v>
                </c:pt>
                <c:pt idx="2343">
                  <c:v>8.3856491561514583E-3</c:v>
                </c:pt>
                <c:pt idx="2344">
                  <c:v>8.3980461428147316E-3</c:v>
                </c:pt>
                <c:pt idx="2345">
                  <c:v>8.4104356981351842E-3</c:v>
                </c:pt>
                <c:pt idx="2346">
                  <c:v>8.4228232315792656E-3</c:v>
                </c:pt>
                <c:pt idx="2347">
                  <c:v>8.4352147760086479E-3</c:v>
                </c:pt>
                <c:pt idx="2348">
                  <c:v>8.4476055725963405E-3</c:v>
                </c:pt>
                <c:pt idx="2349">
                  <c:v>8.4599885037168112E-3</c:v>
                </c:pt>
                <c:pt idx="2350">
                  <c:v>8.4723709993034264E-3</c:v>
                </c:pt>
                <c:pt idx="2351">
                  <c:v>8.48475440244373E-3</c:v>
                </c:pt>
                <c:pt idx="2352">
                  <c:v>8.4971308992939955E-3</c:v>
                </c:pt>
                <c:pt idx="2353">
                  <c:v>8.5095057292668089E-3</c:v>
                </c:pt>
                <c:pt idx="2354">
                  <c:v>8.5218832225479792E-3</c:v>
                </c:pt>
                <c:pt idx="2355">
                  <c:v>8.5342596611284512E-3</c:v>
                </c:pt>
                <c:pt idx="2356">
                  <c:v>8.546627606732601E-3</c:v>
                </c:pt>
                <c:pt idx="2357">
                  <c:v>8.5589924232022403E-3</c:v>
                </c:pt>
                <c:pt idx="2358">
                  <c:v>8.5713567888801405E-3</c:v>
                </c:pt>
                <c:pt idx="2359">
                  <c:v>8.5837171930934729E-3</c:v>
                </c:pt>
                <c:pt idx="2360">
                  <c:v>8.5960754459706024E-3</c:v>
                </c:pt>
                <c:pt idx="2361">
                  <c:v>8.608434852183126E-3</c:v>
                </c:pt>
                <c:pt idx="2362">
                  <c:v>8.6207930178331688E-3</c:v>
                </c:pt>
                <c:pt idx="2363">
                  <c:v>8.6331421874041008E-3</c:v>
                </c:pt>
                <c:pt idx="2364">
                  <c:v>8.6454879350533701E-3</c:v>
                </c:pt>
                <c:pt idx="2365">
                  <c:v>8.6578324959981773E-3</c:v>
                </c:pt>
                <c:pt idx="2366">
                  <c:v>8.6701726395071385E-3</c:v>
                </c:pt>
                <c:pt idx="2367">
                  <c:v>8.6825100766155777E-3</c:v>
                </c:pt>
                <c:pt idx="2368">
                  <c:v>8.6948481560268943E-3</c:v>
                </c:pt>
                <c:pt idx="2369">
                  <c:v>8.707184477678178E-3</c:v>
                </c:pt>
                <c:pt idx="2370">
                  <c:v>8.719511191377283E-3</c:v>
                </c:pt>
                <c:pt idx="2371">
                  <c:v>8.7318339385984312E-3</c:v>
                </c:pt>
                <c:pt idx="2372">
                  <c:v>8.7441590127215058E-3</c:v>
                </c:pt>
                <c:pt idx="2373">
                  <c:v>8.7564814527341401E-3</c:v>
                </c:pt>
                <c:pt idx="2374">
                  <c:v>8.768793836861917E-3</c:v>
                </c:pt>
                <c:pt idx="2375">
                  <c:v>8.7811039174587151E-3</c:v>
                </c:pt>
                <c:pt idx="2376">
                  <c:v>8.7934130952287328E-3</c:v>
                </c:pt>
                <c:pt idx="2377">
                  <c:v>8.8057132199160747E-3</c:v>
                </c:pt>
                <c:pt idx="2378">
                  <c:v>8.8180097588673803E-3</c:v>
                </c:pt>
                <c:pt idx="2379">
                  <c:v>8.8303072333040643E-3</c:v>
                </c:pt>
                <c:pt idx="2380">
                  <c:v>8.8426017644393663E-3</c:v>
                </c:pt>
                <c:pt idx="2381">
                  <c:v>8.8548855918063243E-3</c:v>
                </c:pt>
                <c:pt idx="2382">
                  <c:v>8.8671643133458322E-3</c:v>
                </c:pt>
                <c:pt idx="2383">
                  <c:v>8.8794407259399147E-3</c:v>
                </c:pt>
                <c:pt idx="2384">
                  <c:v>8.8917111691846698E-3</c:v>
                </c:pt>
                <c:pt idx="2385">
                  <c:v>8.9039775323224764E-3</c:v>
                </c:pt>
                <c:pt idx="2386">
                  <c:v>8.9162432671604924E-3</c:v>
                </c:pt>
                <c:pt idx="2387">
                  <c:v>8.9285058748922695E-3</c:v>
                </c:pt>
                <c:pt idx="2388">
                  <c:v>8.9407572587704483E-3</c:v>
                </c:pt>
                <c:pt idx="2389">
                  <c:v>8.9530032410546374E-3</c:v>
                </c:pt>
                <c:pt idx="2390">
                  <c:v>8.9652461572067507E-3</c:v>
                </c:pt>
                <c:pt idx="2391">
                  <c:v>8.9774826353529787E-3</c:v>
                </c:pt>
                <c:pt idx="2392">
                  <c:v>8.9897144621991828E-3</c:v>
                </c:pt>
                <c:pt idx="2393">
                  <c:v>9.0019451390274119E-3</c:v>
                </c:pt>
                <c:pt idx="2394">
                  <c:v>9.0141721593134765E-3</c:v>
                </c:pt>
                <c:pt idx="2395">
                  <c:v>9.0263873215446922E-3</c:v>
                </c:pt>
                <c:pt idx="2396">
                  <c:v>9.0385965217317996E-3</c:v>
                </c:pt>
                <c:pt idx="2397">
                  <c:v>9.0508063383699135E-3</c:v>
                </c:pt>
                <c:pt idx="2398">
                  <c:v>9.0630115878984306E-3</c:v>
                </c:pt>
                <c:pt idx="2399">
                  <c:v>9.0752045132823766E-3</c:v>
                </c:pt>
                <c:pt idx="2400">
                  <c:v>9.0873932215880977E-3</c:v>
                </c:pt>
                <c:pt idx="2401">
                  <c:v>9.0995791762357395E-3</c:v>
                </c:pt>
                <c:pt idx="2402">
                  <c:v>9.1117538557214071E-3</c:v>
                </c:pt>
                <c:pt idx="2403">
                  <c:v>9.1239229778545174E-3</c:v>
                </c:pt>
                <c:pt idx="2404">
                  <c:v>9.1360912747106646E-3</c:v>
                </c:pt>
                <c:pt idx="2405">
                  <c:v>9.1482546896856642E-3</c:v>
                </c:pt>
                <c:pt idx="2406">
                  <c:v>9.1604051059499692E-3</c:v>
                </c:pt>
                <c:pt idx="2407">
                  <c:v>9.1725509722704792E-3</c:v>
                </c:pt>
                <c:pt idx="2408">
                  <c:v>9.1846934883635222E-3</c:v>
                </c:pt>
                <c:pt idx="2409">
                  <c:v>9.1968240699576917E-3</c:v>
                </c:pt>
                <c:pt idx="2410">
                  <c:v>9.2089484782066338E-3</c:v>
                </c:pt>
                <c:pt idx="2411">
                  <c:v>9.221071599076704E-3</c:v>
                </c:pt>
                <c:pt idx="2412">
                  <c:v>9.2331892756960746E-3</c:v>
                </c:pt>
                <c:pt idx="2413">
                  <c:v>9.2452932956887772E-3</c:v>
                </c:pt>
                <c:pt idx="2414">
                  <c:v>9.2573895833123806E-3</c:v>
                </c:pt>
                <c:pt idx="2415">
                  <c:v>9.2694811153576275E-3</c:v>
                </c:pt>
                <c:pt idx="2416">
                  <c:v>9.281564007394133E-3</c:v>
                </c:pt>
                <c:pt idx="2417">
                  <c:v>9.2936402648429364E-3</c:v>
                </c:pt>
                <c:pt idx="2418">
                  <c:v>9.3057135521816547E-3</c:v>
                </c:pt>
                <c:pt idx="2419">
                  <c:v>9.3177812187069994E-3</c:v>
                </c:pt>
                <c:pt idx="2420">
                  <c:v>9.3298346766467893E-3</c:v>
                </c:pt>
                <c:pt idx="2421">
                  <c:v>9.3418801027496164E-3</c:v>
                </c:pt>
                <c:pt idx="2422">
                  <c:v>9.3539244016553839E-3</c:v>
                </c:pt>
                <c:pt idx="2423">
                  <c:v>9.3659621367222709E-3</c:v>
                </c:pt>
                <c:pt idx="2424">
                  <c:v>9.3779851800970451E-3</c:v>
                </c:pt>
                <c:pt idx="2425">
                  <c:v>9.3900020302736201E-3</c:v>
                </c:pt>
                <c:pt idx="2426">
                  <c:v>9.4020142211230263E-3</c:v>
                </c:pt>
                <c:pt idx="2427">
                  <c:v>9.4140128186862414E-3</c:v>
                </c:pt>
                <c:pt idx="2428">
                  <c:v>9.4260038195109284E-3</c:v>
                </c:pt>
                <c:pt idx="2429">
                  <c:v>9.4379921884883439E-3</c:v>
                </c:pt>
                <c:pt idx="2430">
                  <c:v>9.4499736709198773E-3</c:v>
                </c:pt>
                <c:pt idx="2431">
                  <c:v>9.4619397548470988E-3</c:v>
                </c:pt>
                <c:pt idx="2432">
                  <c:v>9.473899304047427E-3</c:v>
                </c:pt>
                <c:pt idx="2433">
                  <c:v>9.4858535756876684E-3</c:v>
                </c:pt>
                <c:pt idx="2434">
                  <c:v>9.4977935636734213E-3</c:v>
                </c:pt>
                <c:pt idx="2435">
                  <c:v>9.509725314302251E-3</c:v>
                </c:pt>
                <c:pt idx="2436">
                  <c:v>9.5216539579757661E-3</c:v>
                </c:pt>
                <c:pt idx="2437">
                  <c:v>9.533575131093236E-3</c:v>
                </c:pt>
                <c:pt idx="2438">
                  <c:v>9.5454802145817849E-3</c:v>
                </c:pt>
                <c:pt idx="2439">
                  <c:v>9.5573754274800252E-3</c:v>
                </c:pt>
                <c:pt idx="2440">
                  <c:v>9.5692638944705893E-3</c:v>
                </c:pt>
                <c:pt idx="2441">
                  <c:v>9.5811415398010108E-3</c:v>
                </c:pt>
                <c:pt idx="2442">
                  <c:v>9.5930104684838566E-3</c:v>
                </c:pt>
                <c:pt idx="2443">
                  <c:v>9.6048745319528787E-3</c:v>
                </c:pt>
                <c:pt idx="2444">
                  <c:v>9.6167309460629055E-3</c:v>
                </c:pt>
                <c:pt idx="2445">
                  <c:v>9.6285794013078844E-3</c:v>
                </c:pt>
                <c:pt idx="2446">
                  <c:v>9.6404191253808003E-3</c:v>
                </c:pt>
                <c:pt idx="2447">
                  <c:v>9.6522497579083905E-3</c:v>
                </c:pt>
                <c:pt idx="2448">
                  <c:v>9.6640710299557269E-3</c:v>
                </c:pt>
                <c:pt idx="2449">
                  <c:v>9.6758713954033723E-3</c:v>
                </c:pt>
                <c:pt idx="2450">
                  <c:v>9.6876626769718671E-3</c:v>
                </c:pt>
                <c:pt idx="2451">
                  <c:v>9.6994479156862854E-3</c:v>
                </c:pt>
                <c:pt idx="2452">
                  <c:v>9.711217716133121E-3</c:v>
                </c:pt>
                <c:pt idx="2453">
                  <c:v>9.7229781812983879E-3</c:v>
                </c:pt>
                <c:pt idx="2454">
                  <c:v>9.7347337443456205E-3</c:v>
                </c:pt>
                <c:pt idx="2455">
                  <c:v>9.7464804398797542E-3</c:v>
                </c:pt>
                <c:pt idx="2456">
                  <c:v>9.7582092056450725E-3</c:v>
                </c:pt>
                <c:pt idx="2457">
                  <c:v>9.7699294675306879E-3</c:v>
                </c:pt>
                <c:pt idx="2458">
                  <c:v>9.7816424229209917E-3</c:v>
                </c:pt>
                <c:pt idx="2459">
                  <c:v>9.7933386161617106E-3</c:v>
                </c:pt>
                <c:pt idx="2460">
                  <c:v>9.8050243965877807E-3</c:v>
                </c:pt>
                <c:pt idx="2461">
                  <c:v>9.8167052076534866E-3</c:v>
                </c:pt>
                <c:pt idx="2462">
                  <c:v>9.8283764347452951E-3</c:v>
                </c:pt>
                <c:pt idx="2463">
                  <c:v>9.8400290097518505E-3</c:v>
                </c:pt>
                <c:pt idx="2464">
                  <c:v>9.8516694763840316E-3</c:v>
                </c:pt>
                <c:pt idx="2465">
                  <c:v>9.8633011295559455E-3</c:v>
                </c:pt>
                <c:pt idx="2466">
                  <c:v>9.8749196768454211E-3</c:v>
                </c:pt>
                <c:pt idx="2467">
                  <c:v>9.8865273354386916E-3</c:v>
                </c:pt>
                <c:pt idx="2468">
                  <c:v>9.8981281646672529E-3</c:v>
                </c:pt>
                <c:pt idx="2469">
                  <c:v>9.9097192308611436E-3</c:v>
                </c:pt>
                <c:pt idx="2470">
                  <c:v>9.9212910298136451E-3</c:v>
                </c:pt>
                <c:pt idx="2471">
                  <c:v>9.9328503996270797E-3</c:v>
                </c:pt>
                <c:pt idx="2472">
                  <c:v>9.9444049888353578E-3</c:v>
                </c:pt>
                <c:pt idx="2473">
                  <c:v>9.9559487778121316E-3</c:v>
                </c:pt>
                <c:pt idx="2474">
                  <c:v>9.967472763075658E-3</c:v>
                </c:pt>
                <c:pt idx="2475">
                  <c:v>9.9789863664814637E-3</c:v>
                </c:pt>
                <c:pt idx="2476">
                  <c:v>9.9904912843627458E-3</c:v>
                </c:pt>
                <c:pt idx="2477">
                  <c:v>1.0001977612788796E-2</c:v>
                </c:pt>
                <c:pt idx="2478">
                  <c:v>1.0013452000774395E-2</c:v>
                </c:pt>
                <c:pt idx="2479">
                  <c:v>1.0024919962006999E-2</c:v>
                </c:pt>
                <c:pt idx="2480">
                  <c:v>1.0036376775600852E-2</c:v>
                </c:pt>
                <c:pt idx="2481">
                  <c:v>1.0047812997475432E-2</c:v>
                </c:pt>
                <c:pt idx="2482">
                  <c:v>1.0059238470117464E-2</c:v>
                </c:pt>
                <c:pt idx="2483">
                  <c:v>1.0070654586513397E-2</c:v>
                </c:pt>
                <c:pt idx="2484">
                  <c:v>1.0082051346446965E-2</c:v>
                </c:pt>
                <c:pt idx="2485">
                  <c:v>1.0093435464656918E-2</c:v>
                </c:pt>
                <c:pt idx="2486">
                  <c:v>1.0104812646891911E-2</c:v>
                </c:pt>
                <c:pt idx="2487">
                  <c:v>1.0116178044502322E-2</c:v>
                </c:pt>
                <c:pt idx="2488">
                  <c:v>1.0127522079169348E-2</c:v>
                </c:pt>
                <c:pt idx="2489">
                  <c:v>1.0138851664465305E-2</c:v>
                </c:pt>
                <c:pt idx="2490">
                  <c:v>1.0150170273614511E-2</c:v>
                </c:pt>
                <c:pt idx="2491">
                  <c:v>1.0161473379453971E-2</c:v>
                </c:pt>
                <c:pt idx="2492">
                  <c:v>1.0172763321971975E-2</c:v>
                </c:pt>
                <c:pt idx="2493">
                  <c:v>1.0184044391310326E-2</c:v>
                </c:pt>
                <c:pt idx="2494">
                  <c:v>1.0195313488815869E-2</c:v>
                </c:pt>
                <c:pt idx="2495">
                  <c:v>1.0206560573334489E-2</c:v>
                </c:pt>
                <c:pt idx="2496">
                  <c:v>1.0217792870282247E-2</c:v>
                </c:pt>
                <c:pt idx="2497">
                  <c:v>1.0229018463606602E-2</c:v>
                </c:pt>
                <c:pt idx="2498">
                  <c:v>1.0240230992347322E-2</c:v>
                </c:pt>
                <c:pt idx="2499">
                  <c:v>1.025142094022545E-2</c:v>
                </c:pt>
                <c:pt idx="2500">
                  <c:v>1.0262598269836873E-2</c:v>
                </c:pt>
                <c:pt idx="2501">
                  <c:v>1.0273764772138797E-2</c:v>
                </c:pt>
                <c:pt idx="2502">
                  <c:v>1.0284909976207174E-2</c:v>
                </c:pt>
                <c:pt idx="2503">
                  <c:v>1.0296040913546252E-2</c:v>
                </c:pt>
                <c:pt idx="2504">
                  <c:v>1.0307163418189895E-2</c:v>
                </c:pt>
                <c:pt idx="2505">
                  <c:v>1.0318272497263574E-2</c:v>
                </c:pt>
                <c:pt idx="2506">
                  <c:v>1.0329358161276761E-2</c:v>
                </c:pt>
                <c:pt idx="2507">
                  <c:v>1.034043082431035E-2</c:v>
                </c:pt>
                <c:pt idx="2508">
                  <c:v>1.0351491958837226E-2</c:v>
                </c:pt>
                <c:pt idx="2509">
                  <c:v>1.0362530983426994E-2</c:v>
                </c:pt>
                <c:pt idx="2510">
                  <c:v>1.0373555004916355E-2</c:v>
                </c:pt>
                <c:pt idx="2511">
                  <c:v>1.0384570065368717E-2</c:v>
                </c:pt>
                <c:pt idx="2512">
                  <c:v>1.0395571032256808E-2</c:v>
                </c:pt>
                <c:pt idx="2513">
                  <c:v>1.040654776754507E-2</c:v>
                </c:pt>
                <c:pt idx="2514">
                  <c:v>1.0417507590076057E-2</c:v>
                </c:pt>
                <c:pt idx="2515">
                  <c:v>1.0428454177064254E-2</c:v>
                </c:pt>
                <c:pt idx="2516">
                  <c:v>1.0439388354817931E-2</c:v>
                </c:pt>
                <c:pt idx="2517">
                  <c:v>1.0450308787193788E-2</c:v>
                </c:pt>
                <c:pt idx="2518">
                  <c:v>1.0461214457495392E-2</c:v>
                </c:pt>
                <c:pt idx="2519">
                  <c:v>1.0472104942570502E-2</c:v>
                </c:pt>
                <c:pt idx="2520">
                  <c:v>1.0482967506449687E-2</c:v>
                </c:pt>
                <c:pt idx="2521">
                  <c:v>1.04938125329502E-2</c:v>
                </c:pt>
                <c:pt idx="2522">
                  <c:v>1.0504649875496536E-2</c:v>
                </c:pt>
                <c:pt idx="2523">
                  <c:v>1.0515471464963634E-2</c:v>
                </c:pt>
                <c:pt idx="2524">
                  <c:v>1.0526267455845279E-2</c:v>
                </c:pt>
                <c:pt idx="2525">
                  <c:v>1.0537048197569796E-2</c:v>
                </c:pt>
                <c:pt idx="2526">
                  <c:v>1.0547815977688382E-2</c:v>
                </c:pt>
                <c:pt idx="2527">
                  <c:v>1.0558559637452617E-2</c:v>
                </c:pt>
                <c:pt idx="2528">
                  <c:v>1.0569286664727619E-2</c:v>
                </c:pt>
                <c:pt idx="2529">
                  <c:v>1.0580003113591708E-2</c:v>
                </c:pt>
                <c:pt idx="2530">
                  <c:v>1.059070376287531E-2</c:v>
                </c:pt>
                <c:pt idx="2531">
                  <c:v>1.0601378004070034E-2</c:v>
                </c:pt>
                <c:pt idx="2532">
                  <c:v>1.0612036898888164E-2</c:v>
                </c:pt>
                <c:pt idx="2533">
                  <c:v>1.0622681991972329E-2</c:v>
                </c:pt>
                <c:pt idx="2534">
                  <c:v>1.0633302063290573E-2</c:v>
                </c:pt>
                <c:pt idx="2535">
                  <c:v>1.0643904650830351E-2</c:v>
                </c:pt>
                <c:pt idx="2536">
                  <c:v>1.0654496172824768E-2</c:v>
                </c:pt>
                <c:pt idx="2537">
                  <c:v>1.0665071181442142E-2</c:v>
                </c:pt>
                <c:pt idx="2538">
                  <c:v>1.0675618921216152E-2</c:v>
                </c:pt>
                <c:pt idx="2539">
                  <c:v>1.0686147158532413E-2</c:v>
                </c:pt>
                <c:pt idx="2540">
                  <c:v>1.0696659796385146E-2</c:v>
                </c:pt>
                <c:pt idx="2541">
                  <c:v>1.070715175285071E-2</c:v>
                </c:pt>
                <c:pt idx="2542">
                  <c:v>1.0717625657335557E-2</c:v>
                </c:pt>
                <c:pt idx="2543">
                  <c:v>1.0728086339312404E-2</c:v>
                </c:pt>
                <c:pt idx="2544">
                  <c:v>1.0738530315043154E-2</c:v>
                </c:pt>
                <c:pt idx="2545">
                  <c:v>1.074894629382723E-2</c:v>
                </c:pt>
                <c:pt idx="2546">
                  <c:v>1.0759342403718399E-2</c:v>
                </c:pt>
                <c:pt idx="2547">
                  <c:v>1.0769727743223413E-2</c:v>
                </c:pt>
                <c:pt idx="2548">
                  <c:v>1.0780095157995917E-2</c:v>
                </c:pt>
                <c:pt idx="2549">
                  <c:v>1.0790433939706801E-2</c:v>
                </c:pt>
                <c:pt idx="2550">
                  <c:v>1.0800755307981252E-2</c:v>
                </c:pt>
                <c:pt idx="2551">
                  <c:v>1.0811061276313271E-2</c:v>
                </c:pt>
                <c:pt idx="2552">
                  <c:v>1.082134906699774E-2</c:v>
                </c:pt>
                <c:pt idx="2553">
                  <c:v>1.0831619088828593E-2</c:v>
                </c:pt>
                <c:pt idx="2554">
                  <c:v>1.084187004227451E-2</c:v>
                </c:pt>
                <c:pt idx="2555">
                  <c:v>1.0852101933678148E-2</c:v>
                </c:pt>
                <c:pt idx="2556">
                  <c:v>1.086230040372021E-2</c:v>
                </c:pt>
                <c:pt idx="2557">
                  <c:v>1.0872480180320927E-2</c:v>
                </c:pt>
                <c:pt idx="2558">
                  <c:v>1.0882644400389848E-2</c:v>
                </c:pt>
                <c:pt idx="2559">
                  <c:v>1.08927811324877E-2</c:v>
                </c:pt>
                <c:pt idx="2560">
                  <c:v>1.090289818419002E-2</c:v>
                </c:pt>
                <c:pt idx="2561">
                  <c:v>1.0913001558822548E-2</c:v>
                </c:pt>
                <c:pt idx="2562">
                  <c:v>1.0923085994965401E-2</c:v>
                </c:pt>
                <c:pt idx="2563">
                  <c:v>1.0933139943663022E-2</c:v>
                </c:pt>
                <c:pt idx="2564">
                  <c:v>1.094317175800979E-2</c:v>
                </c:pt>
                <c:pt idx="2565">
                  <c:v>1.0953185440505534E-2</c:v>
                </c:pt>
                <c:pt idx="2566">
                  <c:v>1.0963175678318874E-2</c:v>
                </c:pt>
                <c:pt idx="2567">
                  <c:v>1.0973145237667129E-2</c:v>
                </c:pt>
                <c:pt idx="2568">
                  <c:v>1.0983099258445811E-2</c:v>
                </c:pt>
                <c:pt idx="2569">
                  <c:v>1.0993034042905647E-2</c:v>
                </c:pt>
                <c:pt idx="2570">
                  <c:v>1.1002949186790513E-2</c:v>
                </c:pt>
                <c:pt idx="2571">
                  <c:v>1.1012843665835241E-2</c:v>
                </c:pt>
                <c:pt idx="2572">
                  <c:v>1.102271700962427E-2</c:v>
                </c:pt>
                <c:pt idx="2573">
                  <c:v>1.1032568861600256E-2</c:v>
                </c:pt>
                <c:pt idx="2574">
                  <c:v>1.1042383830884942E-2</c:v>
                </c:pt>
                <c:pt idx="2575">
                  <c:v>1.1052177704740249E-2</c:v>
                </c:pt>
                <c:pt idx="2576">
                  <c:v>1.106195453068899E-2</c:v>
                </c:pt>
                <c:pt idx="2577">
                  <c:v>1.1071701757712523E-2</c:v>
                </c:pt>
                <c:pt idx="2578">
                  <c:v>1.1081427550390668E-2</c:v>
                </c:pt>
                <c:pt idx="2579">
                  <c:v>1.1091137862986771E-2</c:v>
                </c:pt>
                <c:pt idx="2580">
                  <c:v>1.1100827386800507E-2</c:v>
                </c:pt>
                <c:pt idx="2581">
                  <c:v>1.1110483998663706E-2</c:v>
                </c:pt>
                <c:pt idx="2582">
                  <c:v>1.1120120333561998E-2</c:v>
                </c:pt>
                <c:pt idx="2583">
                  <c:v>1.1129737993153055E-2</c:v>
                </c:pt>
                <c:pt idx="2584">
                  <c:v>1.1139324307094038E-2</c:v>
                </c:pt>
                <c:pt idx="2585">
                  <c:v>1.114888779519861E-2</c:v>
                </c:pt>
                <c:pt idx="2586">
                  <c:v>1.1158435778595415E-2</c:v>
                </c:pt>
                <c:pt idx="2587">
                  <c:v>1.1167962066687477E-2</c:v>
                </c:pt>
                <c:pt idx="2588">
                  <c:v>1.1177454490899737E-2</c:v>
                </c:pt>
                <c:pt idx="2589">
                  <c:v>1.1186921844610285E-2</c:v>
                </c:pt>
                <c:pt idx="2590">
                  <c:v>1.1196368556857366E-2</c:v>
                </c:pt>
                <c:pt idx="2591">
                  <c:v>1.1205788874972828E-2</c:v>
                </c:pt>
                <c:pt idx="2592">
                  <c:v>1.121518577960344E-2</c:v>
                </c:pt>
                <c:pt idx="2593">
                  <c:v>1.1224564750878508E-2</c:v>
                </c:pt>
                <c:pt idx="2594">
                  <c:v>1.123392184385185E-2</c:v>
                </c:pt>
                <c:pt idx="2595">
                  <c:v>1.1243244267366727E-2</c:v>
                </c:pt>
                <c:pt idx="2596">
                  <c:v>1.1252541237288858E-2</c:v>
                </c:pt>
                <c:pt idx="2597">
                  <c:v>1.1261823072215692E-2</c:v>
                </c:pt>
                <c:pt idx="2598">
                  <c:v>1.1271081666742504E-2</c:v>
                </c:pt>
                <c:pt idx="2599">
                  <c:v>1.1280304883663671E-2</c:v>
                </c:pt>
                <c:pt idx="2600">
                  <c:v>1.1289505452955487E-2</c:v>
                </c:pt>
                <c:pt idx="2601">
                  <c:v>1.1298685658805867E-2</c:v>
                </c:pt>
                <c:pt idx="2602">
                  <c:v>1.1307832133800058E-2</c:v>
                </c:pt>
                <c:pt idx="2603">
                  <c:v>1.1316953866901026E-2</c:v>
                </c:pt>
                <c:pt idx="2604">
                  <c:v>1.1326058331529601E-2</c:v>
                </c:pt>
                <c:pt idx="2605">
                  <c:v>1.1335139149032593E-2</c:v>
                </c:pt>
                <c:pt idx="2606">
                  <c:v>1.1344183555543265E-2</c:v>
                </c:pt>
                <c:pt idx="2607">
                  <c:v>1.1353204882523268E-2</c:v>
                </c:pt>
                <c:pt idx="2608">
                  <c:v>1.1362205013628642E-2</c:v>
                </c:pt>
                <c:pt idx="2609">
                  <c:v>1.137117041531553E-2</c:v>
                </c:pt>
                <c:pt idx="2610">
                  <c:v>1.1380110191235844E-2</c:v>
                </c:pt>
                <c:pt idx="2611">
                  <c:v>1.1389032094184647E-2</c:v>
                </c:pt>
                <c:pt idx="2612">
                  <c:v>1.1397929556352462E-2</c:v>
                </c:pt>
                <c:pt idx="2613">
                  <c:v>1.1406789600932781E-2</c:v>
                </c:pt>
                <c:pt idx="2614">
                  <c:v>1.1415621611484588E-2</c:v>
                </c:pt>
                <c:pt idx="2615">
                  <c:v>1.1424430305289748E-2</c:v>
                </c:pt>
                <c:pt idx="2616">
                  <c:v>1.1433209557498174E-2</c:v>
                </c:pt>
                <c:pt idx="2617">
                  <c:v>1.1441962546891173E-2</c:v>
                </c:pt>
                <c:pt idx="2618">
                  <c:v>1.1450695120955685E-2</c:v>
                </c:pt>
                <c:pt idx="2619">
                  <c:v>1.1459403076708235E-2</c:v>
                </c:pt>
                <c:pt idx="2620">
                  <c:v>1.1468072777363694E-2</c:v>
                </c:pt>
                <c:pt idx="2621">
                  <c:v>1.1476714053130294E-2</c:v>
                </c:pt>
                <c:pt idx="2622">
                  <c:v>1.14853379111117E-2</c:v>
                </c:pt>
                <c:pt idx="2623">
                  <c:v>1.1493935710880919E-2</c:v>
                </c:pt>
                <c:pt idx="2624">
                  <c:v>1.1502494513034105E-2</c:v>
                </c:pt>
                <c:pt idx="2625">
                  <c:v>1.151102789795445E-2</c:v>
                </c:pt>
                <c:pt idx="2626">
                  <c:v>1.1519538303766442E-2</c:v>
                </c:pt>
                <c:pt idx="2627">
                  <c:v>1.152801147748028E-2</c:v>
                </c:pt>
                <c:pt idx="2628">
                  <c:v>1.1536457008742167E-2</c:v>
                </c:pt>
                <c:pt idx="2629">
                  <c:v>1.1544882873433995E-2</c:v>
                </c:pt>
                <c:pt idx="2630">
                  <c:v>1.1553282271314512E-2</c:v>
                </c:pt>
                <c:pt idx="2631">
                  <c:v>1.1561641593186485E-2</c:v>
                </c:pt>
                <c:pt idx="2632">
                  <c:v>1.15699750624178E-2</c:v>
                </c:pt>
                <c:pt idx="2633">
                  <c:v>1.1578284690485639E-2</c:v>
                </c:pt>
                <c:pt idx="2634">
                  <c:v>1.158655604615879E-2</c:v>
                </c:pt>
                <c:pt idx="2635">
                  <c:v>1.1594798843415275E-2</c:v>
                </c:pt>
                <c:pt idx="2636">
                  <c:v>1.1603021356521961E-2</c:v>
                </c:pt>
                <c:pt idx="2637">
                  <c:v>1.1611216583642373E-2</c:v>
                </c:pt>
                <c:pt idx="2638">
                  <c:v>1.1619370686762887E-2</c:v>
                </c:pt>
                <c:pt idx="2639">
                  <c:v>1.1627493677856853E-2</c:v>
                </c:pt>
                <c:pt idx="2640">
                  <c:v>1.1635590593177477E-2</c:v>
                </c:pt>
                <c:pt idx="2641">
                  <c:v>1.1643662590099491E-2</c:v>
                </c:pt>
                <c:pt idx="2642">
                  <c:v>1.1651707846376471E-2</c:v>
                </c:pt>
                <c:pt idx="2643">
                  <c:v>1.1659724990525065E-2</c:v>
                </c:pt>
                <c:pt idx="2644">
                  <c:v>1.1667713454205527E-2</c:v>
                </c:pt>
                <c:pt idx="2645">
                  <c:v>1.1675655825161696E-2</c:v>
                </c:pt>
                <c:pt idx="2646">
                  <c:v>1.1683566324979555E-2</c:v>
                </c:pt>
                <c:pt idx="2647">
                  <c:v>1.1691458460033298E-2</c:v>
                </c:pt>
                <c:pt idx="2648">
                  <c:v>1.169932119899463E-2</c:v>
                </c:pt>
                <c:pt idx="2649">
                  <c:v>1.1707141068491687E-2</c:v>
                </c:pt>
                <c:pt idx="2650">
                  <c:v>1.1714932271260142E-2</c:v>
                </c:pt>
                <c:pt idx="2651">
                  <c:v>1.172269794654148E-2</c:v>
                </c:pt>
                <c:pt idx="2652">
                  <c:v>1.1730422811643342E-2</c:v>
                </c:pt>
                <c:pt idx="2653">
                  <c:v>1.1738117146849525E-2</c:v>
                </c:pt>
                <c:pt idx="2654">
                  <c:v>1.1745789281459484E-2</c:v>
                </c:pt>
                <c:pt idx="2655">
                  <c:v>1.175343206489691E-2</c:v>
                </c:pt>
                <c:pt idx="2656">
                  <c:v>1.176103096126265E-2</c:v>
                </c:pt>
                <c:pt idx="2657">
                  <c:v>1.1768601169213327E-2</c:v>
                </c:pt>
                <c:pt idx="2658">
                  <c:v>1.1776144818140861E-2</c:v>
                </c:pt>
                <c:pt idx="2659">
                  <c:v>1.1783646521733486E-2</c:v>
                </c:pt>
                <c:pt idx="2660">
                  <c:v>1.1791116643949743E-2</c:v>
                </c:pt>
                <c:pt idx="2661">
                  <c:v>1.1798564023929856E-2</c:v>
                </c:pt>
                <c:pt idx="2662">
                  <c:v>1.1805981193506999E-2</c:v>
                </c:pt>
                <c:pt idx="2663">
                  <c:v>1.181335339844501E-2</c:v>
                </c:pt>
                <c:pt idx="2664">
                  <c:v>1.1820691323180619E-2</c:v>
                </c:pt>
                <c:pt idx="2665">
                  <c:v>1.1828000344550324E-2</c:v>
                </c:pt>
                <c:pt idx="2666">
                  <c:v>1.1835273504577581E-2</c:v>
                </c:pt>
                <c:pt idx="2667">
                  <c:v>1.1842514429128388E-2</c:v>
                </c:pt>
                <c:pt idx="2668">
                  <c:v>1.1849729781266445E-2</c:v>
                </c:pt>
                <c:pt idx="2669">
                  <c:v>1.1856914787955398E-2</c:v>
                </c:pt>
                <c:pt idx="2670">
                  <c:v>1.1864053944710923E-2</c:v>
                </c:pt>
                <c:pt idx="2671">
                  <c:v>1.1871158444911009E-2</c:v>
                </c:pt>
                <c:pt idx="2672">
                  <c:v>1.1878240822666305E-2</c:v>
                </c:pt>
                <c:pt idx="2673">
                  <c:v>1.1885291258190687E-2</c:v>
                </c:pt>
                <c:pt idx="2674">
                  <c:v>1.1892295040374494E-2</c:v>
                </c:pt>
                <c:pt idx="2675">
                  <c:v>1.189926763004839E-2</c:v>
                </c:pt>
                <c:pt idx="2676">
                  <c:v>1.1906211810234537E-2</c:v>
                </c:pt>
                <c:pt idx="2677">
                  <c:v>1.1913123781919086E-2</c:v>
                </c:pt>
                <c:pt idx="2678">
                  <c:v>1.1920004125032729E-2</c:v>
                </c:pt>
                <c:pt idx="2679">
                  <c:v>1.192685107428104E-2</c:v>
                </c:pt>
                <c:pt idx="2680">
                  <c:v>1.1933664657355071E-2</c:v>
                </c:pt>
                <c:pt idx="2681">
                  <c:v>1.1940425136185364E-2</c:v>
                </c:pt>
                <c:pt idx="2682">
                  <c:v>1.1947152806472553E-2</c:v>
                </c:pt>
                <c:pt idx="2683">
                  <c:v>1.1953852002115229E-2</c:v>
                </c:pt>
                <c:pt idx="2684">
                  <c:v>1.1960506313338589E-2</c:v>
                </c:pt>
                <c:pt idx="2685">
                  <c:v>1.1967126513657122E-2</c:v>
                </c:pt>
                <c:pt idx="2686">
                  <c:v>1.1973720901631109E-2</c:v>
                </c:pt>
                <c:pt idx="2687">
                  <c:v>1.1980282248360908E-2</c:v>
                </c:pt>
                <c:pt idx="2688">
                  <c:v>1.198679467509473E-2</c:v>
                </c:pt>
                <c:pt idx="2689">
                  <c:v>1.1993269705497777E-2</c:v>
                </c:pt>
                <c:pt idx="2690">
                  <c:v>1.1999712872623497E-2</c:v>
                </c:pt>
                <c:pt idx="2691">
                  <c:v>1.2006116889050327E-2</c:v>
                </c:pt>
                <c:pt idx="2692">
                  <c:v>1.2012485584451097E-2</c:v>
                </c:pt>
                <c:pt idx="2693">
                  <c:v>1.2018826065524997E-2</c:v>
                </c:pt>
                <c:pt idx="2694">
                  <c:v>1.2025133261217399E-2</c:v>
                </c:pt>
                <c:pt idx="2695">
                  <c:v>1.2031406637892598E-2</c:v>
                </c:pt>
                <c:pt idx="2696">
                  <c:v>1.2037644808683329E-2</c:v>
                </c:pt>
                <c:pt idx="2697">
                  <c:v>1.2043847151517857E-2</c:v>
                </c:pt>
                <c:pt idx="2698">
                  <c:v>1.2050013200839324E-2</c:v>
                </c:pt>
                <c:pt idx="2699">
                  <c:v>1.2056121786132223E-2</c:v>
                </c:pt>
                <c:pt idx="2700">
                  <c:v>1.2062194680073518E-2</c:v>
                </c:pt>
                <c:pt idx="2701">
                  <c:v>1.2068237477939852E-2</c:v>
                </c:pt>
                <c:pt idx="2702">
                  <c:v>1.2074232912307345E-2</c:v>
                </c:pt>
                <c:pt idx="2703">
                  <c:v>1.2080192257260808E-2</c:v>
                </c:pt>
                <c:pt idx="2704">
                  <c:v>1.208612374969306E-2</c:v>
                </c:pt>
                <c:pt idx="2705">
                  <c:v>1.2092020098137486E-2</c:v>
                </c:pt>
                <c:pt idx="2706">
                  <c:v>1.2097864632776631E-2</c:v>
                </c:pt>
                <c:pt idx="2707">
                  <c:v>1.2103674786069151E-2</c:v>
                </c:pt>
                <c:pt idx="2708">
                  <c:v>1.2109452789399166E-2</c:v>
                </c:pt>
                <c:pt idx="2709">
                  <c:v>1.2115181216553285E-2</c:v>
                </c:pt>
                <c:pt idx="2710">
                  <c:v>1.2120871829678945E-2</c:v>
                </c:pt>
                <c:pt idx="2711">
                  <c:v>1.2126534744712718E-2</c:v>
                </c:pt>
                <c:pt idx="2712">
                  <c:v>1.2132161461734034E-2</c:v>
                </c:pt>
                <c:pt idx="2713">
                  <c:v>1.2137735254363067E-2</c:v>
                </c:pt>
                <c:pt idx="2714">
                  <c:v>1.2143268257656837E-2</c:v>
                </c:pt>
                <c:pt idx="2715">
                  <c:v>1.2148766599725556E-2</c:v>
                </c:pt>
                <c:pt idx="2716">
                  <c:v>1.2154222393908299E-2</c:v>
                </c:pt>
                <c:pt idx="2717">
                  <c:v>1.2159639770611975E-2</c:v>
                </c:pt>
                <c:pt idx="2718">
                  <c:v>1.2165026304189669E-2</c:v>
                </c:pt>
                <c:pt idx="2719">
                  <c:v>1.2170376593437001E-2</c:v>
                </c:pt>
                <c:pt idx="2720">
                  <c:v>1.2175673065033655E-2</c:v>
                </c:pt>
                <c:pt idx="2721">
                  <c:v>1.2180928432586523E-2</c:v>
                </c:pt>
                <c:pt idx="2722">
                  <c:v>1.2186156926957752E-2</c:v>
                </c:pt>
                <c:pt idx="2723">
                  <c:v>1.2191347425099952E-2</c:v>
                </c:pt>
                <c:pt idx="2724">
                  <c:v>1.2196483262690339E-2</c:v>
                </c:pt>
                <c:pt idx="2725">
                  <c:v>1.2201581985369648E-2</c:v>
                </c:pt>
                <c:pt idx="2726">
                  <c:v>1.2206646765307244E-2</c:v>
                </c:pt>
                <c:pt idx="2727">
                  <c:v>1.2211659247960588E-2</c:v>
                </c:pt>
                <c:pt idx="2728">
                  <c:v>1.2216631828922082E-2</c:v>
                </c:pt>
                <c:pt idx="2729">
                  <c:v>1.2221574819581374E-2</c:v>
                </c:pt>
                <c:pt idx="2730">
                  <c:v>1.2226479480361123E-2</c:v>
                </c:pt>
                <c:pt idx="2731">
                  <c:v>1.2231328301814337E-2</c:v>
                </c:pt>
                <c:pt idx="2732">
                  <c:v>1.2236139641394195E-2</c:v>
                </c:pt>
                <c:pt idx="2733">
                  <c:v>1.2240916121849372E-2</c:v>
                </c:pt>
                <c:pt idx="2734">
                  <c:v>1.224563918014372E-2</c:v>
                </c:pt>
                <c:pt idx="2735">
                  <c:v>1.2250321358443698E-2</c:v>
                </c:pt>
                <c:pt idx="2736">
                  <c:v>1.2254973342922115E-2</c:v>
                </c:pt>
                <c:pt idx="2737">
                  <c:v>1.2259586146134344E-2</c:v>
                </c:pt>
                <c:pt idx="2738">
                  <c:v>1.2264141985928421E-2</c:v>
                </c:pt>
                <c:pt idx="2739">
                  <c:v>1.2268653781213465E-2</c:v>
                </c:pt>
                <c:pt idx="2740">
                  <c:v>1.2273128046152918E-2</c:v>
                </c:pt>
                <c:pt idx="2741">
                  <c:v>1.2277556411013683E-2</c:v>
                </c:pt>
                <c:pt idx="2742">
                  <c:v>1.2281943274117741E-2</c:v>
                </c:pt>
                <c:pt idx="2743">
                  <c:v>1.2286296692918986E-2</c:v>
                </c:pt>
                <c:pt idx="2744">
                  <c:v>1.2290610938400975E-2</c:v>
                </c:pt>
                <c:pt idx="2745">
                  <c:v>1.2294867348520448E-2</c:v>
                </c:pt>
                <c:pt idx="2746">
                  <c:v>1.229907943994767E-2</c:v>
                </c:pt>
                <c:pt idx="2747">
                  <c:v>1.2303262340750859E-2</c:v>
                </c:pt>
                <c:pt idx="2748">
                  <c:v>1.2307404244424187E-2</c:v>
                </c:pt>
                <c:pt idx="2749">
                  <c:v>1.2311487461388467E-2</c:v>
                </c:pt>
                <c:pt idx="2750">
                  <c:v>1.2315530635575767E-2</c:v>
                </c:pt>
                <c:pt idx="2751">
                  <c:v>1.2319537147798038E-2</c:v>
                </c:pt>
                <c:pt idx="2752">
                  <c:v>1.2323487517278247E-2</c:v>
                </c:pt>
                <c:pt idx="2753">
                  <c:v>1.2327394916172872E-2</c:v>
                </c:pt>
                <c:pt idx="2754">
                  <c:v>1.2331270300403253E-2</c:v>
                </c:pt>
                <c:pt idx="2755">
                  <c:v>1.2335104402102032E-2</c:v>
                </c:pt>
                <c:pt idx="2756">
                  <c:v>1.2338878646573367E-2</c:v>
                </c:pt>
                <c:pt idx="2757">
                  <c:v>1.2342612528001503E-2</c:v>
                </c:pt>
                <c:pt idx="2758">
                  <c:v>1.2346308841921998E-2</c:v>
                </c:pt>
                <c:pt idx="2759">
                  <c:v>1.2349947899728854E-2</c:v>
                </c:pt>
                <c:pt idx="2760">
                  <c:v>1.2353543022301188E-2</c:v>
                </c:pt>
                <c:pt idx="2761">
                  <c:v>1.2357105555297697E-2</c:v>
                </c:pt>
                <c:pt idx="2762">
                  <c:v>1.2360625974515435E-2</c:v>
                </c:pt>
                <c:pt idx="2763">
                  <c:v>1.2364085429751804E-2</c:v>
                </c:pt>
                <c:pt idx="2764">
                  <c:v>1.2367497634258885E-2</c:v>
                </c:pt>
                <c:pt idx="2765">
                  <c:v>1.2370869509051721E-2</c:v>
                </c:pt>
                <c:pt idx="2766">
                  <c:v>1.2374202669401469E-2</c:v>
                </c:pt>
                <c:pt idx="2767">
                  <c:v>1.2377494676433058E-2</c:v>
                </c:pt>
                <c:pt idx="2768">
                  <c:v>1.238074369722585E-2</c:v>
                </c:pt>
                <c:pt idx="2769">
                  <c:v>1.2383949005452713E-2</c:v>
                </c:pt>
                <c:pt idx="2770">
                  <c:v>1.2387086921913886E-2</c:v>
                </c:pt>
                <c:pt idx="2771">
                  <c:v>1.2390176869271288E-2</c:v>
                </c:pt>
                <c:pt idx="2772">
                  <c:v>1.2393237289420607E-2</c:v>
                </c:pt>
                <c:pt idx="2773">
                  <c:v>1.2396253203480367E-2</c:v>
                </c:pt>
                <c:pt idx="2774">
                  <c:v>1.2399206325502538E-2</c:v>
                </c:pt>
                <c:pt idx="2775">
                  <c:v>1.2402116024634776E-2</c:v>
                </c:pt>
                <c:pt idx="2776">
                  <c:v>1.2404986623797815E-2</c:v>
                </c:pt>
                <c:pt idx="2777">
                  <c:v>1.2407797387987089E-2</c:v>
                </c:pt>
                <c:pt idx="2778">
                  <c:v>1.2410562343043267E-2</c:v>
                </c:pt>
                <c:pt idx="2779">
                  <c:v>1.2413292849556324E-2</c:v>
                </c:pt>
                <c:pt idx="2780">
                  <c:v>1.2415979241745447E-2</c:v>
                </c:pt>
                <c:pt idx="2781">
                  <c:v>1.2418601835198669E-2</c:v>
                </c:pt>
                <c:pt idx="2782">
                  <c:v>1.2421181305854338E-2</c:v>
                </c:pt>
                <c:pt idx="2783">
                  <c:v>1.2423720599059293E-2</c:v>
                </c:pt>
                <c:pt idx="2784">
                  <c:v>1.2426198894025735E-2</c:v>
                </c:pt>
                <c:pt idx="2785">
                  <c:v>1.2428630296774041E-2</c:v>
                </c:pt>
                <c:pt idx="2786">
                  <c:v>1.2431026832032486E-2</c:v>
                </c:pt>
                <c:pt idx="2787">
                  <c:v>1.2433378431666373E-2</c:v>
                </c:pt>
                <c:pt idx="2788">
                  <c:v>1.2435665169005726E-2</c:v>
                </c:pt>
                <c:pt idx="2789">
                  <c:v>1.2437901561254088E-2</c:v>
                </c:pt>
                <c:pt idx="2790">
                  <c:v>1.2440094944110431E-2</c:v>
                </c:pt>
                <c:pt idx="2791">
                  <c:v>1.2442235952780132E-2</c:v>
                </c:pt>
                <c:pt idx="2792">
                  <c:v>1.2444329545811835E-2</c:v>
                </c:pt>
                <c:pt idx="2793">
                  <c:v>1.2446384774053671E-2</c:v>
                </c:pt>
                <c:pt idx="2794">
                  <c:v>1.2448395242912766E-2</c:v>
                </c:pt>
                <c:pt idx="2795">
                  <c:v>1.2450340070684442E-2</c:v>
                </c:pt>
                <c:pt idx="2796">
                  <c:v>1.245223442549814E-2</c:v>
                </c:pt>
                <c:pt idx="2797">
                  <c:v>1.2454095271780461E-2</c:v>
                </c:pt>
                <c:pt idx="2798">
                  <c:v>1.2455909413849289E-2</c:v>
                </c:pt>
                <c:pt idx="2799">
                  <c:v>1.2457657080174434E-2</c:v>
                </c:pt>
                <c:pt idx="2800">
                  <c:v>1.2459359156792129E-2</c:v>
                </c:pt>
                <c:pt idx="2801">
                  <c:v>1.2461019458506943E-2</c:v>
                </c:pt>
                <c:pt idx="2802">
                  <c:v>1.2462632910603033E-2</c:v>
                </c:pt>
                <c:pt idx="2803">
                  <c:v>1.2464200358124395E-2</c:v>
                </c:pt>
                <c:pt idx="2804">
                  <c:v>1.2465719471865812E-2</c:v>
                </c:pt>
                <c:pt idx="2805">
                  <c:v>1.2467190354696124E-2</c:v>
                </c:pt>
                <c:pt idx="2806">
                  <c:v>1.2468586541139004E-2</c:v>
                </c:pt>
                <c:pt idx="2807">
                  <c:v>1.2469935352732754E-2</c:v>
                </c:pt>
                <c:pt idx="2808">
                  <c:v>1.247124268047472E-2</c:v>
                </c:pt>
                <c:pt idx="2809">
                  <c:v>1.2472486556229121E-2</c:v>
                </c:pt>
                <c:pt idx="2810">
                  <c:v>1.2473681495996283E-2</c:v>
                </c:pt>
                <c:pt idx="2811">
                  <c:v>1.2474838674246574E-2</c:v>
                </c:pt>
                <c:pt idx="2812">
                  <c:v>1.2475948463381081E-2</c:v>
                </c:pt>
                <c:pt idx="2813">
                  <c:v>1.247698965942929E-2</c:v>
                </c:pt>
                <c:pt idx="2814">
                  <c:v>1.2477977755038198E-2</c:v>
                </c:pt>
                <c:pt idx="2815">
                  <c:v>1.2478920223239038E-2</c:v>
                </c:pt>
                <c:pt idx="2816">
                  <c:v>1.247980736988958E-2</c:v>
                </c:pt>
                <c:pt idx="2817">
                  <c:v>1.2480644383265901E-2</c:v>
                </c:pt>
                <c:pt idx="2818">
                  <c:v>1.2481440808787568E-2</c:v>
                </c:pt>
                <c:pt idx="2819">
                  <c:v>1.2482189937766243E-2</c:v>
                </c:pt>
                <c:pt idx="2820">
                  <c:v>1.2482891109994119E-2</c:v>
                </c:pt>
                <c:pt idx="2821">
                  <c:v>1.2483542544552214E-2</c:v>
                </c:pt>
                <c:pt idx="2822">
                  <c:v>1.2484143464406619E-2</c:v>
                </c:pt>
                <c:pt idx="2823">
                  <c:v>1.2484693321460185E-2</c:v>
                </c:pt>
                <c:pt idx="2824">
                  <c:v>1.2485163988710539E-2</c:v>
                </c:pt>
                <c:pt idx="2825">
                  <c:v>1.248558451562783E-2</c:v>
                </c:pt>
                <c:pt idx="2826">
                  <c:v>1.2485962430888948E-2</c:v>
                </c:pt>
                <c:pt idx="2827">
                  <c:v>1.2486274833748966E-2</c:v>
                </c:pt>
                <c:pt idx="2828">
                  <c:v>1.2486536780008949E-2</c:v>
                </c:pt>
                <c:pt idx="2829">
                  <c:v>1.2486759260047921E-2</c:v>
                </c:pt>
                <c:pt idx="2830">
                  <c:v>1.2486932663106199E-2</c:v>
                </c:pt>
                <c:pt idx="2831">
                  <c:v>1.2487034943933611E-2</c:v>
                </c:pt>
                <c:pt idx="2832">
                  <c:v>1.2487089280563728E-2</c:v>
                </c:pt>
                <c:pt idx="2833">
                  <c:v>1.2487098711185477E-2</c:v>
                </c:pt>
                <c:pt idx="2834">
                  <c:v>1.2487040220691558E-2</c:v>
                </c:pt>
                <c:pt idx="2835">
                  <c:v>1.2486929453253392E-2</c:v>
                </c:pt>
                <c:pt idx="2836">
                  <c:v>1.248677984873625E-2</c:v>
                </c:pt>
                <c:pt idx="2837">
                  <c:v>1.2486580237413858E-2</c:v>
                </c:pt>
                <c:pt idx="2838">
                  <c:v>1.248630859302959E-2</c:v>
                </c:pt>
                <c:pt idx="2839">
                  <c:v>1.248598101588657E-2</c:v>
                </c:pt>
                <c:pt idx="2840">
                  <c:v>1.2485605676431708E-2</c:v>
                </c:pt>
                <c:pt idx="2841">
                  <c:v>1.248517223031881E-2</c:v>
                </c:pt>
                <c:pt idx="2842">
                  <c:v>1.2484686201875164E-2</c:v>
                </c:pt>
                <c:pt idx="2843">
                  <c:v>1.2484157626754484E-2</c:v>
                </c:pt>
                <c:pt idx="2844">
                  <c:v>1.2483579468255825E-2</c:v>
                </c:pt>
                <c:pt idx="2845">
                  <c:v>1.2482928680950963E-2</c:v>
                </c:pt>
                <c:pt idx="2846">
                  <c:v>1.2482222061206527E-2</c:v>
                </c:pt>
                <c:pt idx="2847">
                  <c:v>1.2481478380615304E-2</c:v>
                </c:pt>
                <c:pt idx="2848">
                  <c:v>1.2480683096832364E-2</c:v>
                </c:pt>
                <c:pt idx="2849">
                  <c:v>1.2479814421355652E-2</c:v>
                </c:pt>
                <c:pt idx="2850">
                  <c:v>1.2478895431613075E-2</c:v>
                </c:pt>
                <c:pt idx="2851">
                  <c:v>1.2477930380504192E-2</c:v>
                </c:pt>
                <c:pt idx="2852">
                  <c:v>1.2476895297652097E-2</c:v>
                </c:pt>
                <c:pt idx="2853">
                  <c:v>1.2475806492437938E-2</c:v>
                </c:pt>
                <c:pt idx="2854">
                  <c:v>1.2474677513772309E-2</c:v>
                </c:pt>
                <c:pt idx="2855">
                  <c:v>1.2473497012942652E-2</c:v>
                </c:pt>
                <c:pt idx="2856">
                  <c:v>1.2472242199017146E-2</c:v>
                </c:pt>
                <c:pt idx="2857">
                  <c:v>1.2470937107311727E-2</c:v>
                </c:pt>
                <c:pt idx="2858">
                  <c:v>1.2469585255792994E-2</c:v>
                </c:pt>
                <c:pt idx="2859">
                  <c:v>1.2468162518302539E-2</c:v>
                </c:pt>
                <c:pt idx="2860">
                  <c:v>1.2466685322342491E-2</c:v>
                </c:pt>
                <c:pt idx="2861">
                  <c:v>1.2465167643167071E-2</c:v>
                </c:pt>
                <c:pt idx="2862">
                  <c:v>1.2463597866578002E-2</c:v>
                </c:pt>
                <c:pt idx="2863">
                  <c:v>1.2461952960015689E-2</c:v>
                </c:pt>
                <c:pt idx="2864">
                  <c:v>1.2460249794474517E-2</c:v>
                </c:pt>
                <c:pt idx="2865">
                  <c:v>1.2458496922082956E-2</c:v>
                </c:pt>
                <c:pt idx="2866">
                  <c:v>1.2456683548740142E-2</c:v>
                </c:pt>
                <c:pt idx="2867">
                  <c:v>1.245481547073923E-2</c:v>
                </c:pt>
                <c:pt idx="2868">
                  <c:v>1.245290319016742E-2</c:v>
                </c:pt>
                <c:pt idx="2869">
                  <c:v>1.2450939375313526E-2</c:v>
                </c:pt>
                <c:pt idx="2870">
                  <c:v>1.2448899970636196E-2</c:v>
                </c:pt>
                <c:pt idx="2871">
                  <c:v>1.2446802541250985E-2</c:v>
                </c:pt>
                <c:pt idx="2872">
                  <c:v>1.2444666709209129E-2</c:v>
                </c:pt>
                <c:pt idx="2873">
                  <c:v>1.2442477307263543E-2</c:v>
                </c:pt>
                <c:pt idx="2874">
                  <c:v>1.2440211613008161E-2</c:v>
                </c:pt>
                <c:pt idx="2875">
                  <c:v>1.2437893729327831E-2</c:v>
                </c:pt>
                <c:pt idx="2876">
                  <c:v>1.2435528120400299E-2</c:v>
                </c:pt>
                <c:pt idx="2877">
                  <c:v>1.2433089796321828E-2</c:v>
                </c:pt>
                <c:pt idx="2878">
                  <c:v>1.2430595792078773E-2</c:v>
                </c:pt>
                <c:pt idx="2879">
                  <c:v>1.2428060253878779E-2</c:v>
                </c:pt>
                <c:pt idx="2880">
                  <c:v>1.2425471368592615E-2</c:v>
                </c:pt>
                <c:pt idx="2881">
                  <c:v>1.2422805398378296E-2</c:v>
                </c:pt>
                <c:pt idx="2882">
                  <c:v>1.2420087413382295E-2</c:v>
                </c:pt>
                <c:pt idx="2883">
                  <c:v>1.241732110584778E-2</c:v>
                </c:pt>
                <c:pt idx="2884">
                  <c:v>1.2414481358296231E-2</c:v>
                </c:pt>
                <c:pt idx="2885">
                  <c:v>1.2411585307242123E-2</c:v>
                </c:pt>
                <c:pt idx="2886">
                  <c:v>1.2408647523162621E-2</c:v>
                </c:pt>
                <c:pt idx="2887">
                  <c:v>1.2405655933006188E-2</c:v>
                </c:pt>
                <c:pt idx="2888">
                  <c:v>1.240258658074851E-2</c:v>
                </c:pt>
                <c:pt idx="2889">
                  <c:v>1.2399457049026195E-2</c:v>
                </c:pt>
                <c:pt idx="2890">
                  <c:v>1.239627626591398E-2</c:v>
                </c:pt>
                <c:pt idx="2891">
                  <c:v>1.2393046340039786E-2</c:v>
                </c:pt>
                <c:pt idx="2892">
                  <c:v>1.2389764276249552E-2</c:v>
                </c:pt>
                <c:pt idx="2893">
                  <c:v>1.2386427813279404E-2</c:v>
                </c:pt>
                <c:pt idx="2894">
                  <c:v>1.2383036136549506E-2</c:v>
                </c:pt>
                <c:pt idx="2895">
                  <c:v>1.2379559299738878E-2</c:v>
                </c:pt>
                <c:pt idx="2896">
                  <c:v>1.237602203900544E-2</c:v>
                </c:pt>
                <c:pt idx="2897">
                  <c:v>1.237244780995217E-2</c:v>
                </c:pt>
                <c:pt idx="2898">
                  <c:v>1.2368817727832843E-2</c:v>
                </c:pt>
                <c:pt idx="2899">
                  <c:v>1.2365108779751787E-2</c:v>
                </c:pt>
                <c:pt idx="2900">
                  <c:v>1.2361345516835926E-2</c:v>
                </c:pt>
                <c:pt idx="2901">
                  <c:v>1.2357533525750346E-2</c:v>
                </c:pt>
                <c:pt idx="2902">
                  <c:v>1.2353646744415395E-2</c:v>
                </c:pt>
                <c:pt idx="2903">
                  <c:v>1.2349702956707639E-2</c:v>
                </c:pt>
                <c:pt idx="2904">
                  <c:v>1.2345716539582019E-2</c:v>
                </c:pt>
                <c:pt idx="2905">
                  <c:v>1.234167543173836E-2</c:v>
                </c:pt>
                <c:pt idx="2906">
                  <c:v>1.2337554996604541E-2</c:v>
                </c:pt>
                <c:pt idx="2907">
                  <c:v>1.2333381288565396E-2</c:v>
                </c:pt>
                <c:pt idx="2908">
                  <c:v>1.2329158128344151E-2</c:v>
                </c:pt>
                <c:pt idx="2909">
                  <c:v>1.2324859509363562E-2</c:v>
                </c:pt>
                <c:pt idx="2910">
                  <c:v>1.2320503211730146E-2</c:v>
                </c:pt>
                <c:pt idx="2911">
                  <c:v>1.2316104360853595E-2</c:v>
                </c:pt>
                <c:pt idx="2912">
                  <c:v>1.231165046832236E-2</c:v>
                </c:pt>
                <c:pt idx="2913">
                  <c:v>1.2307116750445945E-2</c:v>
                </c:pt>
                <c:pt idx="2914">
                  <c:v>1.230252143867836E-2</c:v>
                </c:pt>
                <c:pt idx="2915">
                  <c:v>1.2297873803344952E-2</c:v>
                </c:pt>
                <c:pt idx="2916">
                  <c:v>1.2293162254901808E-2</c:v>
                </c:pt>
                <c:pt idx="2917">
                  <c:v>1.2288393086562661E-2</c:v>
                </c:pt>
                <c:pt idx="2918">
                  <c:v>1.2283577631289452E-2</c:v>
                </c:pt>
                <c:pt idx="2919">
                  <c:v>1.2278708052543616E-2</c:v>
                </c:pt>
                <c:pt idx="2920">
                  <c:v>1.2273758540323998E-2</c:v>
                </c:pt>
                <c:pt idx="2921">
                  <c:v>1.2268748021380362E-2</c:v>
                </c:pt>
                <c:pt idx="2922">
                  <c:v>1.2263697614673476E-2</c:v>
                </c:pt>
                <c:pt idx="2923">
                  <c:v>1.2258591077325399E-2</c:v>
                </c:pt>
                <c:pt idx="2924">
                  <c:v>1.2253404077972894E-2</c:v>
                </c:pt>
                <c:pt idx="2925">
                  <c:v>1.2248162510715858E-2</c:v>
                </c:pt>
                <c:pt idx="2926">
                  <c:v>1.2242871226186334E-2</c:v>
                </c:pt>
                <c:pt idx="2927">
                  <c:v>1.2237524032183063E-2</c:v>
                </c:pt>
                <c:pt idx="2928">
                  <c:v>1.2232122101607942E-2</c:v>
                </c:pt>
                <c:pt idx="2929">
                  <c:v>1.2226662644070567E-2</c:v>
                </c:pt>
                <c:pt idx="2930">
                  <c:v>1.2221145915820585E-2</c:v>
                </c:pt>
                <c:pt idx="2931">
                  <c:v>1.2215539520391859E-2</c:v>
                </c:pt>
                <c:pt idx="2932">
                  <c:v>1.2209877097488728E-2</c:v>
                </c:pt>
                <c:pt idx="2933">
                  <c:v>1.2204166018287705E-2</c:v>
                </c:pt>
                <c:pt idx="2934">
                  <c:v>1.2198379479800219E-2</c:v>
                </c:pt>
                <c:pt idx="2935">
                  <c:v>1.2192535368336237E-2</c:v>
                </c:pt>
                <c:pt idx="2936">
                  <c:v>1.2186647419567685E-2</c:v>
                </c:pt>
                <c:pt idx="2937">
                  <c:v>1.2180703994303856E-2</c:v>
                </c:pt>
                <c:pt idx="2938">
                  <c:v>1.2174679343076596E-2</c:v>
                </c:pt>
                <c:pt idx="2939">
                  <c:v>1.216859247377222E-2</c:v>
                </c:pt>
                <c:pt idx="2940">
                  <c:v>1.2162452621330189E-2</c:v>
                </c:pt>
                <c:pt idx="2941">
                  <c:v>1.215624808103063E-2</c:v>
                </c:pt>
                <c:pt idx="2942">
                  <c:v>1.2149985290724726E-2</c:v>
                </c:pt>
                <c:pt idx="2943">
                  <c:v>1.2143675922198749E-2</c:v>
                </c:pt>
                <c:pt idx="2944">
                  <c:v>1.2137311961778495E-2</c:v>
                </c:pt>
                <c:pt idx="2945">
                  <c:v>1.2130892697346185E-2</c:v>
                </c:pt>
                <c:pt idx="2946">
                  <c:v>1.2124416104384092E-2</c:v>
                </c:pt>
                <c:pt idx="2947">
                  <c:v>1.2117881335155329E-2</c:v>
                </c:pt>
                <c:pt idx="2948">
                  <c:v>1.2111287864011212E-2</c:v>
                </c:pt>
                <c:pt idx="2949">
                  <c:v>1.2104601878907452E-2</c:v>
                </c:pt>
                <c:pt idx="2950">
                  <c:v>1.209785851087156E-2</c:v>
                </c:pt>
                <c:pt idx="2951">
                  <c:v>1.2091066995983207E-2</c:v>
                </c:pt>
                <c:pt idx="2952">
                  <c:v>1.2084199904013996E-2</c:v>
                </c:pt>
                <c:pt idx="2953">
                  <c:v>1.2077275455027542E-2</c:v>
                </c:pt>
                <c:pt idx="2954">
                  <c:v>1.2070306912389472E-2</c:v>
                </c:pt>
                <c:pt idx="2955">
                  <c:v>1.206328288608269E-2</c:v>
                </c:pt>
                <c:pt idx="2956">
                  <c:v>1.2056177103259293E-2</c:v>
                </c:pt>
                <c:pt idx="2957">
                  <c:v>1.204901739845533E-2</c:v>
                </c:pt>
                <c:pt idx="2958">
                  <c:v>1.2041807556721677E-2</c:v>
                </c:pt>
                <c:pt idx="2959">
                  <c:v>1.2034520224657843E-2</c:v>
                </c:pt>
                <c:pt idx="2960">
                  <c:v>1.2027174192924659E-2</c:v>
                </c:pt>
                <c:pt idx="2961">
                  <c:v>1.2019785560713708E-2</c:v>
                </c:pt>
                <c:pt idx="2962">
                  <c:v>1.2012341161655391E-2</c:v>
                </c:pt>
                <c:pt idx="2963">
                  <c:v>1.2004814951403091E-2</c:v>
                </c:pt>
                <c:pt idx="2964">
                  <c:v>1.1997226182375776E-2</c:v>
                </c:pt>
                <c:pt idx="2965">
                  <c:v>1.1989584696051773E-2</c:v>
                </c:pt>
                <c:pt idx="2966">
                  <c:v>1.1981878330508058E-2</c:v>
                </c:pt>
                <c:pt idx="2967">
                  <c:v>1.1974113772024597E-2</c:v>
                </c:pt>
                <c:pt idx="2968">
                  <c:v>1.1966302974265713E-2</c:v>
                </c:pt>
                <c:pt idx="2969">
                  <c:v>1.1958437762441456E-2</c:v>
                </c:pt>
                <c:pt idx="2970">
                  <c:v>1.1950491092949643E-2</c:v>
                </c:pt>
                <c:pt idx="2971">
                  <c:v>1.194248289369209E-2</c:v>
                </c:pt>
                <c:pt idx="2972">
                  <c:v>1.1934435372879646E-2</c:v>
                </c:pt>
                <c:pt idx="2973">
                  <c:v>1.1926331548117734E-2</c:v>
                </c:pt>
                <c:pt idx="2974">
                  <c:v>1.1918145986056207E-2</c:v>
                </c:pt>
                <c:pt idx="2975">
                  <c:v>1.1909905855247899E-2</c:v>
                </c:pt>
                <c:pt idx="2976">
                  <c:v>1.1901616312416093E-2</c:v>
                </c:pt>
                <c:pt idx="2977">
                  <c:v>1.1893249438364506E-2</c:v>
                </c:pt>
                <c:pt idx="2978">
                  <c:v>1.1884824437801885E-2</c:v>
                </c:pt>
                <c:pt idx="2979">
                  <c:v>1.1876357219520229E-2</c:v>
                </c:pt>
                <c:pt idx="2980">
                  <c:v>1.1867834687062239E-2</c:v>
                </c:pt>
                <c:pt idx="2981">
                  <c:v>1.1859230442056411E-2</c:v>
                </c:pt>
                <c:pt idx="2982">
                  <c:v>1.1850572556644397E-2</c:v>
                </c:pt>
                <c:pt idx="2983">
                  <c:v>1.1841865289959541E-2</c:v>
                </c:pt>
                <c:pt idx="2984">
                  <c:v>1.1833080774990529E-2</c:v>
                </c:pt>
                <c:pt idx="2985">
                  <c:v>1.1824238202105004E-2</c:v>
                </c:pt>
                <c:pt idx="2986">
                  <c:v>1.1815353847893735E-2</c:v>
                </c:pt>
                <c:pt idx="2987">
                  <c:v>1.1806414418664453E-2</c:v>
                </c:pt>
                <c:pt idx="2988">
                  <c:v>1.1797393460331226E-2</c:v>
                </c:pt>
                <c:pt idx="2989">
                  <c:v>1.1788310583795534E-2</c:v>
                </c:pt>
                <c:pt idx="2990">
                  <c:v>1.1779175808570869E-2</c:v>
                </c:pt>
                <c:pt idx="2991">
                  <c:v>1.1769976815153634E-2</c:v>
                </c:pt>
                <c:pt idx="2992">
                  <c:v>1.1760720427339387E-2</c:v>
                </c:pt>
                <c:pt idx="2993">
                  <c:v>1.1751418799465198E-2</c:v>
                </c:pt>
                <c:pt idx="2994">
                  <c:v>1.1742063670648476E-2</c:v>
                </c:pt>
                <c:pt idx="2995">
                  <c:v>1.1732627640448913E-2</c:v>
                </c:pt>
                <c:pt idx="2996">
                  <c:v>1.1723130954502087E-2</c:v>
                </c:pt>
                <c:pt idx="2997">
                  <c:v>1.1713596158003957E-2</c:v>
                </c:pt>
                <c:pt idx="2998">
                  <c:v>1.1704006065549555E-2</c:v>
                </c:pt>
                <c:pt idx="2999">
                  <c:v>1.1694334942544704E-2</c:v>
                </c:pt>
                <c:pt idx="3000">
                  <c:v>1.168461033618713E-2</c:v>
                </c:pt>
                <c:pt idx="3001">
                  <c:v>1.167483751254339E-2</c:v>
                </c:pt>
                <c:pt idx="3002">
                  <c:v>1.1664988237588334E-2</c:v>
                </c:pt>
                <c:pt idx="3003">
                  <c:v>1.1655081985584454E-2</c:v>
                </c:pt>
                <c:pt idx="3004">
                  <c:v>1.1645134875261193E-2</c:v>
                </c:pt>
                <c:pt idx="3005">
                  <c:v>1.1635133692974206E-2</c:v>
                </c:pt>
                <c:pt idx="3006">
                  <c:v>1.1625051780022893E-2</c:v>
                </c:pt>
                <c:pt idx="3007">
                  <c:v>1.161491754220513E-2</c:v>
                </c:pt>
                <c:pt idx="3008">
                  <c:v>1.1604735327565868E-2</c:v>
                </c:pt>
                <c:pt idx="3009">
                  <c:v>1.1594477013972865E-2</c:v>
                </c:pt>
                <c:pt idx="3010">
                  <c:v>1.1584162020816453E-2</c:v>
                </c:pt>
                <c:pt idx="3011">
                  <c:v>1.1573806806464004E-2</c:v>
                </c:pt>
                <c:pt idx="3012">
                  <c:v>1.1563397986277648E-2</c:v>
                </c:pt>
                <c:pt idx="3013">
                  <c:v>1.1552908901969292E-2</c:v>
                </c:pt>
                <c:pt idx="3014">
                  <c:v>1.1542359372985605E-2</c:v>
                </c:pt>
                <c:pt idx="3015">
                  <c:v>1.1531759546174206E-2</c:v>
                </c:pt>
                <c:pt idx="3016">
                  <c:v>1.1521111847558736E-2</c:v>
                </c:pt>
                <c:pt idx="3017">
                  <c:v>1.151041312144808E-2</c:v>
                </c:pt>
                <c:pt idx="3018">
                  <c:v>1.1499660954612766E-2</c:v>
                </c:pt>
                <c:pt idx="3019">
                  <c:v>1.1488854619740158E-2</c:v>
                </c:pt>
                <c:pt idx="3020">
                  <c:v>1.147796105628314E-2</c:v>
                </c:pt>
                <c:pt idx="3021">
                  <c:v>1.146700784857854E-2</c:v>
                </c:pt>
                <c:pt idx="3022">
                  <c:v>1.145602109563317E-2</c:v>
                </c:pt>
                <c:pt idx="3023">
                  <c:v>1.1444980048410712E-2</c:v>
                </c:pt>
                <c:pt idx="3024">
                  <c:v>1.1433859493095539E-2</c:v>
                </c:pt>
                <c:pt idx="3025">
                  <c:v>1.1422686598922292E-2</c:v>
                </c:pt>
                <c:pt idx="3026">
                  <c:v>1.1411467727888282E-2</c:v>
                </c:pt>
                <c:pt idx="3027">
                  <c:v>1.1400174388355087E-2</c:v>
                </c:pt>
                <c:pt idx="3028">
                  <c:v>1.1388826267513488E-2</c:v>
                </c:pt>
                <c:pt idx="3029">
                  <c:v>1.1377439221214185E-2</c:v>
                </c:pt>
                <c:pt idx="3030">
                  <c:v>1.1366000211120711E-2</c:v>
                </c:pt>
                <c:pt idx="3031">
                  <c:v>1.1354482481622376E-2</c:v>
                </c:pt>
                <c:pt idx="3032">
                  <c:v>1.1342914597799353E-2</c:v>
                </c:pt>
                <c:pt idx="3033">
                  <c:v>1.1331300925882247E-2</c:v>
                </c:pt>
                <c:pt idx="3034">
                  <c:v>1.1319613315898801E-2</c:v>
                </c:pt>
                <c:pt idx="3035">
                  <c:v>1.130787126376933E-2</c:v>
                </c:pt>
                <c:pt idx="3036">
                  <c:v>1.1296091295189468E-2</c:v>
                </c:pt>
                <c:pt idx="3037">
                  <c:v>1.1284260035674168E-2</c:v>
                </c:pt>
                <c:pt idx="3038">
                  <c:v>1.1272350835930761E-2</c:v>
                </c:pt>
                <c:pt idx="3039">
                  <c:v>1.1260383571693301E-2</c:v>
                </c:pt>
                <c:pt idx="3040">
                  <c:v>1.1248368440693785E-2</c:v>
                </c:pt>
                <c:pt idx="3041">
                  <c:v>1.1236293069559125E-2</c:v>
                </c:pt>
                <c:pt idx="3042">
                  <c:v>1.1224164418466031E-2</c:v>
                </c:pt>
                <c:pt idx="3043">
                  <c:v>1.1211994777393599E-2</c:v>
                </c:pt>
                <c:pt idx="3044">
                  <c:v>1.1199775907157141E-2</c:v>
                </c:pt>
                <c:pt idx="3045">
                  <c:v>1.1187480324289057E-2</c:v>
                </c:pt>
                <c:pt idx="3046">
                  <c:v>1.1175128457032276E-2</c:v>
                </c:pt>
                <c:pt idx="3047">
                  <c:v>1.1162743017594253E-2</c:v>
                </c:pt>
                <c:pt idx="3048">
                  <c:v>1.1150306816141028E-2</c:v>
                </c:pt>
                <c:pt idx="3049">
                  <c:v>1.1137794117579976E-2</c:v>
                </c:pt>
                <c:pt idx="3050">
                  <c:v>1.1125232595612156E-2</c:v>
                </c:pt>
                <c:pt idx="3051">
                  <c:v>1.1112627624518673E-2</c:v>
                </c:pt>
                <c:pt idx="3052">
                  <c:v>1.1099972729928012E-2</c:v>
                </c:pt>
                <c:pt idx="3053">
                  <c:v>1.1087269357458502E-2</c:v>
                </c:pt>
                <c:pt idx="3054">
                  <c:v>1.1074514667135998E-2</c:v>
                </c:pt>
                <c:pt idx="3055">
                  <c:v>1.1061709128081141E-2</c:v>
                </c:pt>
                <c:pt idx="3056">
                  <c:v>1.1048818756740436E-2</c:v>
                </c:pt>
                <c:pt idx="3057">
                  <c:v>1.1035879127868584E-2</c:v>
                </c:pt>
                <c:pt idx="3058">
                  <c:v>1.1022898219215323E-2</c:v>
                </c:pt>
                <c:pt idx="3059">
                  <c:v>1.1009848057548708E-2</c:v>
                </c:pt>
                <c:pt idx="3060">
                  <c:v>1.0996747570672732E-2</c:v>
                </c:pt>
                <c:pt idx="3061">
                  <c:v>1.0983611236617823E-2</c:v>
                </c:pt>
                <c:pt idx="3062">
                  <c:v>1.0970427073948401E-2</c:v>
                </c:pt>
                <c:pt idx="3063">
                  <c:v>1.0957168399212068E-2</c:v>
                </c:pt>
                <c:pt idx="3064">
                  <c:v>1.0943855199015915E-2</c:v>
                </c:pt>
                <c:pt idx="3065">
                  <c:v>1.0930497279882117E-2</c:v>
                </c:pt>
                <c:pt idx="3066">
                  <c:v>1.0917082612074733E-2</c:v>
                </c:pt>
                <c:pt idx="3067">
                  <c:v>1.0903618071814976E-2</c:v>
                </c:pt>
                <c:pt idx="3068">
                  <c:v>1.0890115861385018E-2</c:v>
                </c:pt>
                <c:pt idx="3069">
                  <c:v>1.0876567877047398E-2</c:v>
                </c:pt>
                <c:pt idx="3070">
                  <c:v>1.0862973510080321E-2</c:v>
                </c:pt>
                <c:pt idx="3071">
                  <c:v>1.0849330868210424E-2</c:v>
                </c:pt>
                <c:pt idx="3072">
                  <c:v>1.0835639209526151E-2</c:v>
                </c:pt>
                <c:pt idx="3073">
                  <c:v>1.0821898194870831E-2</c:v>
                </c:pt>
                <c:pt idx="3074">
                  <c:v>1.0808073321493829E-2</c:v>
                </c:pt>
                <c:pt idx="3075">
                  <c:v>1.0794200739617184E-2</c:v>
                </c:pt>
                <c:pt idx="3076">
                  <c:v>1.0780290150757082E-2</c:v>
                </c:pt>
                <c:pt idx="3077">
                  <c:v>1.07663137166246E-2</c:v>
                </c:pt>
                <c:pt idx="3078">
                  <c:v>1.0752290196877803E-2</c:v>
                </c:pt>
                <c:pt idx="3079">
                  <c:v>1.0738233185553458E-2</c:v>
                </c:pt>
                <c:pt idx="3080">
                  <c:v>1.072413130557185E-2</c:v>
                </c:pt>
                <c:pt idx="3081">
                  <c:v>1.0709958094321471E-2</c:v>
                </c:pt>
                <c:pt idx="3082">
                  <c:v>1.0695741888948382E-2</c:v>
                </c:pt>
                <c:pt idx="3083">
                  <c:v>1.0681486740974694E-2</c:v>
                </c:pt>
                <c:pt idx="3084">
                  <c:v>1.0667165213422543E-2</c:v>
                </c:pt>
                <c:pt idx="3085">
                  <c:v>1.0652796437289704E-2</c:v>
                </c:pt>
                <c:pt idx="3086">
                  <c:v>1.0638396735244207E-2</c:v>
                </c:pt>
                <c:pt idx="3087">
                  <c:v>1.0623953060911023E-2</c:v>
                </c:pt>
                <c:pt idx="3088">
                  <c:v>1.060943949005265E-2</c:v>
                </c:pt>
                <c:pt idx="3089">
                  <c:v>1.0594875491769264E-2</c:v>
                </c:pt>
                <c:pt idx="3090">
                  <c:v>1.0580271118725677E-2</c:v>
                </c:pt>
                <c:pt idx="3091">
                  <c:v>1.0565614364425151E-2</c:v>
                </c:pt>
                <c:pt idx="3092">
                  <c:v>1.0550912102006368E-2</c:v>
                </c:pt>
                <c:pt idx="3093">
                  <c:v>1.0536176344801463E-2</c:v>
                </c:pt>
                <c:pt idx="3094">
                  <c:v>1.052139916522315E-2</c:v>
                </c:pt>
                <c:pt idx="3095">
                  <c:v>1.0506553948493761E-2</c:v>
                </c:pt>
                <c:pt idx="3096">
                  <c:v>1.0491660614424964E-2</c:v>
                </c:pt>
                <c:pt idx="3097">
                  <c:v>1.047672745356136E-2</c:v>
                </c:pt>
                <c:pt idx="3098">
                  <c:v>1.0461743689426237E-2</c:v>
                </c:pt>
                <c:pt idx="3099">
                  <c:v>1.0446715734540353E-2</c:v>
                </c:pt>
                <c:pt idx="3100">
                  <c:v>1.0431655543645153E-2</c:v>
                </c:pt>
                <c:pt idx="3101">
                  <c:v>1.0416555337182734E-2</c:v>
                </c:pt>
                <c:pt idx="3102">
                  <c:v>1.0401388693490872E-2</c:v>
                </c:pt>
                <c:pt idx="3103">
                  <c:v>1.0386175402984411E-2</c:v>
                </c:pt>
                <c:pt idx="3104">
                  <c:v>1.0370937387853687E-2</c:v>
                </c:pt>
                <c:pt idx="3105">
                  <c:v>1.0355658206243946E-2</c:v>
                </c:pt>
                <c:pt idx="3106">
                  <c:v>1.0340313220540314E-2</c:v>
                </c:pt>
                <c:pt idx="3107">
                  <c:v>1.0324929085690496E-2</c:v>
                </c:pt>
                <c:pt idx="3108">
                  <c:v>1.0309511080383341E-2</c:v>
                </c:pt>
                <c:pt idx="3109">
                  <c:v>1.029403225970287E-2</c:v>
                </c:pt>
                <c:pt idx="3110">
                  <c:v>1.0278511468838306E-2</c:v>
                </c:pt>
                <c:pt idx="3111">
                  <c:v>1.0262964241804205E-2</c:v>
                </c:pt>
                <c:pt idx="3112">
                  <c:v>1.0247378119656246E-2</c:v>
                </c:pt>
                <c:pt idx="3113">
                  <c:v>1.0231727847457579E-2</c:v>
                </c:pt>
                <c:pt idx="3114">
                  <c:v>1.0216032471900971E-2</c:v>
                </c:pt>
                <c:pt idx="3115">
                  <c:v>1.0200301776653273E-2</c:v>
                </c:pt>
                <c:pt idx="3116">
                  <c:v>1.0184524140274044E-2</c:v>
                </c:pt>
                <c:pt idx="3117">
                  <c:v>1.0168706289671663E-2</c:v>
                </c:pt>
                <c:pt idx="3118">
                  <c:v>1.0152859930918219E-2</c:v>
                </c:pt>
                <c:pt idx="3119">
                  <c:v>1.0136977409062621E-2</c:v>
                </c:pt>
                <c:pt idx="3120">
                  <c:v>1.0121032920904764E-2</c:v>
                </c:pt>
                <c:pt idx="3121">
                  <c:v>1.0105045852803928E-2</c:v>
                </c:pt>
                <c:pt idx="3122">
                  <c:v>1.0089024300086567E-2</c:v>
                </c:pt>
                <c:pt idx="3123">
                  <c:v>1.0072957843360437E-2</c:v>
                </c:pt>
                <c:pt idx="3124">
                  <c:v>1.005685275034268E-2</c:v>
                </c:pt>
                <c:pt idx="3125">
                  <c:v>1.0040720637821309E-2</c:v>
                </c:pt>
                <c:pt idx="3126">
                  <c:v>1.0024554015943075E-2</c:v>
                </c:pt>
                <c:pt idx="3127">
                  <c:v>1.0008327345217409E-2</c:v>
                </c:pt>
                <c:pt idx="3128">
                  <c:v>9.9920598307770506E-3</c:v>
                </c:pt>
                <c:pt idx="3129">
                  <c:v>9.9757727225380094E-3</c:v>
                </c:pt>
                <c:pt idx="3130">
                  <c:v>9.959450156765708E-3</c:v>
                </c:pt>
                <c:pt idx="3131">
                  <c:v>9.9430683665233648E-3</c:v>
                </c:pt>
                <c:pt idx="3132">
                  <c:v>9.926653142428965E-3</c:v>
                </c:pt>
                <c:pt idx="3133">
                  <c:v>9.9102096440648567E-3</c:v>
                </c:pt>
                <c:pt idx="3134">
                  <c:v>9.8937119004860463E-3</c:v>
                </c:pt>
                <c:pt idx="3135">
                  <c:v>9.8771781459368463E-3</c:v>
                </c:pt>
                <c:pt idx="3136">
                  <c:v>9.8606233941574938E-3</c:v>
                </c:pt>
                <c:pt idx="3137">
                  <c:v>9.8440356788442353E-3</c:v>
                </c:pt>
                <c:pt idx="3138">
                  <c:v>9.8273907096690406E-3</c:v>
                </c:pt>
                <c:pt idx="3139">
                  <c:v>9.8107068829832098E-3</c:v>
                </c:pt>
                <c:pt idx="3140">
                  <c:v>9.7939936731194152E-3</c:v>
                </c:pt>
                <c:pt idx="3141">
                  <c:v>9.7772399278437915E-3</c:v>
                </c:pt>
                <c:pt idx="3142">
                  <c:v>9.7604521708996306E-3</c:v>
                </c:pt>
                <c:pt idx="3143">
                  <c:v>9.7436416895727088E-3</c:v>
                </c:pt>
                <c:pt idx="3144">
                  <c:v>9.7268011744513182E-3</c:v>
                </c:pt>
                <c:pt idx="3145">
                  <c:v>9.7099058836881084E-3</c:v>
                </c:pt>
                <c:pt idx="3146">
                  <c:v>9.6929744831536543E-3</c:v>
                </c:pt>
                <c:pt idx="3147">
                  <c:v>9.6760147962429103E-3</c:v>
                </c:pt>
                <c:pt idx="3148">
                  <c:v>9.659016860176629E-3</c:v>
                </c:pt>
                <c:pt idx="3149">
                  <c:v>9.6419867390771102E-3</c:v>
                </c:pt>
                <c:pt idx="3150">
                  <c:v>9.6249355990609825E-3</c:v>
                </c:pt>
                <c:pt idx="3151">
                  <c:v>9.6078563118228086E-3</c:v>
                </c:pt>
                <c:pt idx="3152">
                  <c:v>9.5907244684265928E-3</c:v>
                </c:pt>
                <c:pt idx="3153">
                  <c:v>9.5735585018929086E-3</c:v>
                </c:pt>
                <c:pt idx="3154">
                  <c:v>9.5563787849794728E-3</c:v>
                </c:pt>
                <c:pt idx="3155">
                  <c:v>9.5391701859568571E-3</c:v>
                </c:pt>
                <c:pt idx="3156">
                  <c:v>9.5219100390730761E-3</c:v>
                </c:pt>
                <c:pt idx="3157">
                  <c:v>9.5046230207895405E-3</c:v>
                </c:pt>
                <c:pt idx="3158">
                  <c:v>9.4873141202279614E-3</c:v>
                </c:pt>
                <c:pt idx="3159">
                  <c:v>9.4699585928308249E-3</c:v>
                </c:pt>
                <c:pt idx="3160">
                  <c:v>9.4525738865037373E-3</c:v>
                </c:pt>
                <c:pt idx="3161">
                  <c:v>9.4351743481327893E-3</c:v>
                </c:pt>
                <c:pt idx="3162">
                  <c:v>9.4177486193854788E-3</c:v>
                </c:pt>
                <c:pt idx="3163">
                  <c:v>9.4002736096615823E-3</c:v>
                </c:pt>
                <c:pt idx="3164">
                  <c:v>9.3827668864888258E-3</c:v>
                </c:pt>
                <c:pt idx="3165">
                  <c:v>9.3652375231122274E-3</c:v>
                </c:pt>
                <c:pt idx="3166">
                  <c:v>9.3476749438424593E-3</c:v>
                </c:pt>
                <c:pt idx="3167">
                  <c:v>9.3300854066276692E-3</c:v>
                </c:pt>
                <c:pt idx="3168">
                  <c:v>9.3124796708417799E-3</c:v>
                </c:pt>
                <c:pt idx="3169">
                  <c:v>9.2948508416367225E-3</c:v>
                </c:pt>
                <c:pt idx="3170">
                  <c:v>9.2771754778194077E-3</c:v>
                </c:pt>
                <c:pt idx="3171">
                  <c:v>9.2594713440379527E-3</c:v>
                </c:pt>
                <c:pt idx="3172">
                  <c:v>9.2417459154034137E-3</c:v>
                </c:pt>
                <c:pt idx="3173">
                  <c:v>9.2239897825507813E-3</c:v>
                </c:pt>
                <c:pt idx="3174">
                  <c:v>9.2062087450906355E-3</c:v>
                </c:pt>
                <c:pt idx="3175">
                  <c:v>9.188413410935483E-3</c:v>
                </c:pt>
                <c:pt idx="3176">
                  <c:v>9.1705970821170206E-3</c:v>
                </c:pt>
                <c:pt idx="3177">
                  <c:v>9.1527367141982664E-3</c:v>
                </c:pt>
                <c:pt idx="3178">
                  <c:v>9.1348497901096795E-3</c:v>
                </c:pt>
                <c:pt idx="3179">
                  <c:v>9.1169556081183468E-3</c:v>
                </c:pt>
                <c:pt idx="3180">
                  <c:v>9.0990399131374231E-3</c:v>
                </c:pt>
                <c:pt idx="3181">
                  <c:v>9.0810813575902885E-3</c:v>
                </c:pt>
                <c:pt idx="3182">
                  <c:v>9.0631032668236546E-3</c:v>
                </c:pt>
                <c:pt idx="3183">
                  <c:v>9.0451104109289301E-3</c:v>
                </c:pt>
                <c:pt idx="3184">
                  <c:v>9.0270795071358163E-3</c:v>
                </c:pt>
                <c:pt idx="3185">
                  <c:v>9.0090270482980402E-3</c:v>
                </c:pt>
                <c:pt idx="3186">
                  <c:v>8.9909665771324993E-3</c:v>
                </c:pt>
                <c:pt idx="3187">
                  <c:v>8.9728874508221337E-3</c:v>
                </c:pt>
                <c:pt idx="3188">
                  <c:v>8.9547679971466315E-3</c:v>
                </c:pt>
                <c:pt idx="3189">
                  <c:v>8.9366247866642552E-3</c:v>
                </c:pt>
                <c:pt idx="3190">
                  <c:v>8.9184664041563125E-3</c:v>
                </c:pt>
                <c:pt idx="3191">
                  <c:v>8.900282949846041E-3</c:v>
                </c:pt>
                <c:pt idx="3192">
                  <c:v>8.8820803548836907E-3</c:v>
                </c:pt>
                <c:pt idx="3193">
                  <c:v>8.8638687473926239E-3</c:v>
                </c:pt>
                <c:pt idx="3194">
                  <c:v>8.8456417115175042E-3</c:v>
                </c:pt>
                <c:pt idx="3195">
                  <c:v>8.8273773261451985E-3</c:v>
                </c:pt>
                <c:pt idx="3196">
                  <c:v>8.8090922861428309E-3</c:v>
                </c:pt>
                <c:pt idx="3197">
                  <c:v>8.7907936461335129E-3</c:v>
                </c:pt>
                <c:pt idx="3198">
                  <c:v>8.7724726364137254E-3</c:v>
                </c:pt>
                <c:pt idx="3199">
                  <c:v>8.7541347376514089E-3</c:v>
                </c:pt>
                <c:pt idx="3200">
                  <c:v>8.7357898984450361E-3</c:v>
                </c:pt>
                <c:pt idx="3201">
                  <c:v>8.7174276434531153E-3</c:v>
                </c:pt>
                <c:pt idx="3202">
                  <c:v>8.6990472339267301E-3</c:v>
                </c:pt>
                <c:pt idx="3203">
                  <c:v>8.6806627613389194E-3</c:v>
                </c:pt>
                <c:pt idx="3204">
                  <c:v>8.6622459433756301E-3</c:v>
                </c:pt>
                <c:pt idx="3205">
                  <c:v>8.6438016040721825E-3</c:v>
                </c:pt>
                <c:pt idx="3206">
                  <c:v>8.6253487421533246E-3</c:v>
                </c:pt>
                <c:pt idx="3207">
                  <c:v>8.6068897391926111E-3</c:v>
                </c:pt>
                <c:pt idx="3208">
                  <c:v>8.5884130450656158E-3</c:v>
                </c:pt>
                <c:pt idx="3209">
                  <c:v>8.5699201507689355E-3</c:v>
                </c:pt>
                <c:pt idx="3210">
                  <c:v>8.5514263461111059E-3</c:v>
                </c:pt>
                <c:pt idx="3211">
                  <c:v>8.5329023483994588E-3</c:v>
                </c:pt>
                <c:pt idx="3212">
                  <c:v>8.5143538476950831E-3</c:v>
                </c:pt>
                <c:pt idx="3213">
                  <c:v>8.4957991676637909E-3</c:v>
                </c:pt>
                <c:pt idx="3214">
                  <c:v>8.4772404342884269E-3</c:v>
                </c:pt>
                <c:pt idx="3215">
                  <c:v>8.4586666085802002E-3</c:v>
                </c:pt>
                <c:pt idx="3216">
                  <c:v>8.4400790533077901E-3</c:v>
                </c:pt>
                <c:pt idx="3217">
                  <c:v>8.4214927178854378E-3</c:v>
                </c:pt>
                <c:pt idx="3218">
                  <c:v>8.4028789977332891E-3</c:v>
                </c:pt>
                <c:pt idx="3219">
                  <c:v>8.3842434831489579E-3</c:v>
                </c:pt>
                <c:pt idx="3220">
                  <c:v>8.3656041027095219E-3</c:v>
                </c:pt>
                <c:pt idx="3221">
                  <c:v>8.346962933260928E-3</c:v>
                </c:pt>
                <c:pt idx="3222">
                  <c:v>8.3283092240523087E-3</c:v>
                </c:pt>
                <c:pt idx="3223">
                  <c:v>8.3096443098977131E-3</c:v>
                </c:pt>
                <c:pt idx="3224">
                  <c:v>8.2909827912800577E-3</c:v>
                </c:pt>
                <c:pt idx="3225">
                  <c:v>8.2722967685753355E-3</c:v>
                </c:pt>
                <c:pt idx="3226">
                  <c:v>8.2535917135648281E-3</c:v>
                </c:pt>
                <c:pt idx="3227">
                  <c:v>8.2348851354835263E-3</c:v>
                </c:pt>
                <c:pt idx="3228">
                  <c:v>8.2161790677071026E-3</c:v>
                </c:pt>
                <c:pt idx="3229">
                  <c:v>8.1974630444108174E-3</c:v>
                </c:pt>
                <c:pt idx="3230">
                  <c:v>8.1787292287352712E-3</c:v>
                </c:pt>
                <c:pt idx="3231">
                  <c:v>8.1599928695396465E-3</c:v>
                </c:pt>
                <c:pt idx="3232">
                  <c:v>8.1412602071765754E-3</c:v>
                </c:pt>
                <c:pt idx="3233">
                  <c:v>8.122515474300188E-3</c:v>
                </c:pt>
                <c:pt idx="3234">
                  <c:v>8.1037634957994934E-3</c:v>
                </c:pt>
                <c:pt idx="3235">
                  <c:v>8.0850193556250144E-3</c:v>
                </c:pt>
                <c:pt idx="3236">
                  <c:v>8.0662553506256288E-3</c:v>
                </c:pt>
                <c:pt idx="3237">
                  <c:v>8.0474771236449336E-3</c:v>
                </c:pt>
                <c:pt idx="3238">
                  <c:v>8.0287010642495198E-3</c:v>
                </c:pt>
                <c:pt idx="3239">
                  <c:v>8.0099291300814758E-3</c:v>
                </c:pt>
                <c:pt idx="3240">
                  <c:v>7.9911512757869074E-3</c:v>
                </c:pt>
                <c:pt idx="3241">
                  <c:v>7.9723688557692875E-3</c:v>
                </c:pt>
                <c:pt idx="3242">
                  <c:v>7.9535955953127999E-3</c:v>
                </c:pt>
                <c:pt idx="3243">
                  <c:v>7.9348054138771041E-3</c:v>
                </c:pt>
                <c:pt idx="3244">
                  <c:v>7.9160035012279684E-3</c:v>
                </c:pt>
                <c:pt idx="3245">
                  <c:v>7.897206227520142E-3</c:v>
                </c:pt>
                <c:pt idx="3246">
                  <c:v>7.8784154996488689E-3</c:v>
                </c:pt>
                <c:pt idx="3247">
                  <c:v>7.8596216192320257E-3</c:v>
                </c:pt>
                <c:pt idx="3248">
                  <c:v>7.8408258344467227E-3</c:v>
                </c:pt>
                <c:pt idx="3249">
                  <c:v>7.8220414383664023E-3</c:v>
                </c:pt>
                <c:pt idx="3250">
                  <c:v>7.8032431680787225E-3</c:v>
                </c:pt>
                <c:pt idx="3251">
                  <c:v>7.7844360479479568E-3</c:v>
                </c:pt>
                <c:pt idx="3252">
                  <c:v>7.7656360021671833E-3</c:v>
                </c:pt>
                <c:pt idx="3253">
                  <c:v>7.7468448973584359E-3</c:v>
                </c:pt>
                <c:pt idx="3254">
                  <c:v>7.7280533296055281E-3</c:v>
                </c:pt>
                <c:pt idx="3255">
                  <c:v>7.7092542553377236E-3</c:v>
                </c:pt>
                <c:pt idx="3256">
                  <c:v>7.6904615065927322E-3</c:v>
                </c:pt>
                <c:pt idx="3257">
                  <c:v>7.6716807553433462E-3</c:v>
                </c:pt>
                <c:pt idx="3258">
                  <c:v>7.6528978245854256E-3</c:v>
                </c:pt>
                <c:pt idx="3259">
                  <c:v>7.6341171164625446E-3</c:v>
                </c:pt>
                <c:pt idx="3260">
                  <c:v>7.6153522655024427E-3</c:v>
                </c:pt>
                <c:pt idx="3261">
                  <c:v>7.5965783709592829E-3</c:v>
                </c:pt>
                <c:pt idx="3262">
                  <c:v>7.5778005748829745E-3</c:v>
                </c:pt>
                <c:pt idx="3263">
                  <c:v>7.5590336723500547E-3</c:v>
                </c:pt>
                <c:pt idx="3264">
                  <c:v>7.5402794481756984E-3</c:v>
                </c:pt>
                <c:pt idx="3265">
                  <c:v>7.5215289476883909E-3</c:v>
                </c:pt>
                <c:pt idx="3266">
                  <c:v>7.5027834265366774E-3</c:v>
                </c:pt>
                <c:pt idx="3267">
                  <c:v>7.4840552302707399E-3</c:v>
                </c:pt>
                <c:pt idx="3268">
                  <c:v>7.465321039485457E-3</c:v>
                </c:pt>
                <c:pt idx="3269">
                  <c:v>7.4465855638022292E-3</c:v>
                </c:pt>
                <c:pt idx="3270">
                  <c:v>7.4278635091110058E-3</c:v>
                </c:pt>
                <c:pt idx="3271">
                  <c:v>7.4091566061741006E-3</c:v>
                </c:pt>
                <c:pt idx="3272">
                  <c:v>7.3904562562357133E-3</c:v>
                </c:pt>
                <c:pt idx="3273">
                  <c:v>7.3717636130265878E-3</c:v>
                </c:pt>
                <c:pt idx="3274">
                  <c:v>7.3530905735110872E-3</c:v>
                </c:pt>
                <c:pt idx="3275">
                  <c:v>7.3344146674534086E-3</c:v>
                </c:pt>
                <c:pt idx="3276">
                  <c:v>7.3157404327766256E-3</c:v>
                </c:pt>
                <c:pt idx="3277">
                  <c:v>7.2970821028696337E-3</c:v>
                </c:pt>
                <c:pt idx="3278">
                  <c:v>7.2784413633571396E-3</c:v>
                </c:pt>
                <c:pt idx="3279">
                  <c:v>7.2598099222334423E-3</c:v>
                </c:pt>
                <c:pt idx="3280">
                  <c:v>7.2411815677307905E-3</c:v>
                </c:pt>
                <c:pt idx="3281">
                  <c:v>7.222568626554844E-3</c:v>
                </c:pt>
                <c:pt idx="3282">
                  <c:v>7.2039761649130736E-3</c:v>
                </c:pt>
                <c:pt idx="3283">
                  <c:v>7.1853916728277355E-3</c:v>
                </c:pt>
                <c:pt idx="3284">
                  <c:v>7.1668190985280768E-3</c:v>
                </c:pt>
                <c:pt idx="3285">
                  <c:v>7.1482705455527531E-3</c:v>
                </c:pt>
                <c:pt idx="3286">
                  <c:v>7.1297240487682581E-3</c:v>
                </c:pt>
                <c:pt idx="3287">
                  <c:v>7.1111842139302056E-3</c:v>
                </c:pt>
                <c:pt idx="3288">
                  <c:v>7.0926641549825522E-3</c:v>
                </c:pt>
                <c:pt idx="3289">
                  <c:v>7.0741654714573049E-3</c:v>
                </c:pt>
                <c:pt idx="3290">
                  <c:v>7.0556803383609963E-3</c:v>
                </c:pt>
                <c:pt idx="3291">
                  <c:v>7.0372099012196015E-3</c:v>
                </c:pt>
                <c:pt idx="3292">
                  <c:v>7.0187650588190943E-3</c:v>
                </c:pt>
                <c:pt idx="3293">
                  <c:v>7.000325363069315E-3</c:v>
                </c:pt>
                <c:pt idx="3294">
                  <c:v>6.9818950128111949E-3</c:v>
                </c:pt>
                <c:pt idx="3295">
                  <c:v>6.9634869717248001E-3</c:v>
                </c:pt>
                <c:pt idx="3296">
                  <c:v>6.9451027827568072E-3</c:v>
                </c:pt>
                <c:pt idx="3297">
                  <c:v>6.926734977849308E-3</c:v>
                </c:pt>
                <c:pt idx="3298">
                  <c:v>6.9083846065750047E-3</c:v>
                </c:pt>
                <c:pt idx="3299">
                  <c:v>6.8900621119835272E-3</c:v>
                </c:pt>
                <c:pt idx="3300">
                  <c:v>6.8717479072548451E-3</c:v>
                </c:pt>
                <c:pt idx="3301">
                  <c:v>6.8534460168616727E-3</c:v>
                </c:pt>
                <c:pt idx="3302">
                  <c:v>6.8351689165130911E-3</c:v>
                </c:pt>
                <c:pt idx="3303">
                  <c:v>6.8169181006835864E-3</c:v>
                </c:pt>
                <c:pt idx="3304">
                  <c:v>6.798686412935487E-3</c:v>
                </c:pt>
                <c:pt idx="3305">
                  <c:v>6.7804684911286521E-3</c:v>
                </c:pt>
                <c:pt idx="3306">
                  <c:v>6.7622751038558995E-3</c:v>
                </c:pt>
                <c:pt idx="3307">
                  <c:v>6.7441106879706034E-3</c:v>
                </c:pt>
                <c:pt idx="3308">
                  <c:v>6.7259644373569762E-3</c:v>
                </c:pt>
                <c:pt idx="3309">
                  <c:v>6.7078398256976762E-3</c:v>
                </c:pt>
                <c:pt idx="3310">
                  <c:v>6.6897473799348321E-3</c:v>
                </c:pt>
                <c:pt idx="3311">
                  <c:v>6.6716681342945368E-3</c:v>
                </c:pt>
                <c:pt idx="3312">
                  <c:v>6.6536061344546907E-3</c:v>
                </c:pt>
                <c:pt idx="3313">
                  <c:v>6.6355727664961627E-3</c:v>
                </c:pt>
                <c:pt idx="3314">
                  <c:v>6.6175694361307923E-3</c:v>
                </c:pt>
                <c:pt idx="3315">
                  <c:v>6.5995894596970403E-3</c:v>
                </c:pt>
                <c:pt idx="3316">
                  <c:v>6.5816338642561275E-3</c:v>
                </c:pt>
                <c:pt idx="3317">
                  <c:v>6.5637120684721674E-3</c:v>
                </c:pt>
                <c:pt idx="3318">
                  <c:v>6.5458065360436656E-3</c:v>
                </c:pt>
                <c:pt idx="3319">
                  <c:v>6.527920936811136E-3</c:v>
                </c:pt>
                <c:pt idx="3320">
                  <c:v>6.5100664557586887E-3</c:v>
                </c:pt>
                <c:pt idx="3321">
                  <c:v>6.4922444407924853E-3</c:v>
                </c:pt>
                <c:pt idx="3322">
                  <c:v>6.474448558557366E-3</c:v>
                </c:pt>
                <c:pt idx="3323">
                  <c:v>6.456679746102899E-3</c:v>
                </c:pt>
                <c:pt idx="3324">
                  <c:v>6.4389469700409235E-3</c:v>
                </c:pt>
                <c:pt idx="3325">
                  <c:v>6.4212335482984806E-3</c:v>
                </c:pt>
                <c:pt idx="3326">
                  <c:v>6.4035429761587631E-3</c:v>
                </c:pt>
                <c:pt idx="3327">
                  <c:v>6.3858859470653515E-3</c:v>
                </c:pt>
                <c:pt idx="3328">
                  <c:v>6.3682637587849237E-3</c:v>
                </c:pt>
                <c:pt idx="3329">
                  <c:v>6.3506703864026574E-3</c:v>
                </c:pt>
                <c:pt idx="3330">
                  <c:v>6.3331013145642304E-3</c:v>
                </c:pt>
                <c:pt idx="3331">
                  <c:v>6.3155657377582915E-3</c:v>
                </c:pt>
                <c:pt idx="3332">
                  <c:v>6.2980674555372712E-3</c:v>
                </c:pt>
                <c:pt idx="3333">
                  <c:v>6.2805973611781939E-3</c:v>
                </c:pt>
                <c:pt idx="3334">
                  <c:v>6.2631584443690966E-3</c:v>
                </c:pt>
                <c:pt idx="3335">
                  <c:v>6.2457596472852315E-3</c:v>
                </c:pt>
                <c:pt idx="3336">
                  <c:v>6.228384993473994E-3</c:v>
                </c:pt>
                <c:pt idx="3337">
                  <c:v>6.2110379591964375E-3</c:v>
                </c:pt>
                <c:pt idx="3338">
                  <c:v>6.1937281971584119E-3</c:v>
                </c:pt>
                <c:pt idx="3339">
                  <c:v>6.176456915722244E-3</c:v>
                </c:pt>
                <c:pt idx="3340">
                  <c:v>6.159218556555544E-3</c:v>
                </c:pt>
                <c:pt idx="3341">
                  <c:v>6.1420140209496365E-3</c:v>
                </c:pt>
                <c:pt idx="3342">
                  <c:v>6.1248512513256241E-3</c:v>
                </c:pt>
                <c:pt idx="3343">
                  <c:v>6.1077155937379083E-3</c:v>
                </c:pt>
                <c:pt idx="3344">
                  <c:v>6.0906101813660686E-3</c:v>
                </c:pt>
                <c:pt idx="3345">
                  <c:v>6.07354442761447E-3</c:v>
                </c:pt>
                <c:pt idx="3346">
                  <c:v>6.0565194832172767E-3</c:v>
                </c:pt>
                <c:pt idx="3347">
                  <c:v>6.0395301251886316E-3</c:v>
                </c:pt>
                <c:pt idx="3348">
                  <c:v>6.0225771731503988E-3</c:v>
                </c:pt>
                <c:pt idx="3349">
                  <c:v>6.0056681298416249E-3</c:v>
                </c:pt>
                <c:pt idx="3350">
                  <c:v>5.9887891670864285E-3</c:v>
                </c:pt>
                <c:pt idx="3351">
                  <c:v>5.9719432492251409E-3</c:v>
                </c:pt>
                <c:pt idx="3352">
                  <c:v>5.955139306131587E-3</c:v>
                </c:pt>
                <c:pt idx="3353">
                  <c:v>5.9383784379649805E-3</c:v>
                </c:pt>
                <c:pt idx="3354">
                  <c:v>5.9216557198608641E-3</c:v>
                </c:pt>
                <c:pt idx="3355">
                  <c:v>5.9049674584358558E-3</c:v>
                </c:pt>
                <c:pt idx="3356">
                  <c:v>5.8883212976975135E-3</c:v>
                </c:pt>
                <c:pt idx="3357">
                  <c:v>5.8717204068473418E-3</c:v>
                </c:pt>
                <c:pt idx="3358">
                  <c:v>5.8551573313605932E-3</c:v>
                </c:pt>
                <c:pt idx="3359">
                  <c:v>5.8386345799501865E-3</c:v>
                </c:pt>
                <c:pt idx="3360">
                  <c:v>5.8221595412277557E-3</c:v>
                </c:pt>
                <c:pt idx="3361">
                  <c:v>5.8057191446050493E-3</c:v>
                </c:pt>
                <c:pt idx="3362">
                  <c:v>5.7893163006790191E-3</c:v>
                </c:pt>
                <c:pt idx="3363">
                  <c:v>5.772958966171862E-3</c:v>
                </c:pt>
                <c:pt idx="3364">
                  <c:v>5.7566481532307107E-3</c:v>
                </c:pt>
                <c:pt idx="3365">
                  <c:v>5.7403793846430348E-3</c:v>
                </c:pt>
                <c:pt idx="3366">
                  <c:v>5.7241534330137707E-3</c:v>
                </c:pt>
                <c:pt idx="3367">
                  <c:v>5.707976803424962E-3</c:v>
                </c:pt>
                <c:pt idx="3368">
                  <c:v>5.6918376221857872E-3</c:v>
                </c:pt>
                <c:pt idx="3369">
                  <c:v>5.6757384936586665E-3</c:v>
                </c:pt>
                <c:pt idx="3370">
                  <c:v>5.6596871098363952E-3</c:v>
                </c:pt>
                <c:pt idx="3371">
                  <c:v>5.6436844266302836E-3</c:v>
                </c:pt>
                <c:pt idx="3372">
                  <c:v>5.627726280000838E-3</c:v>
                </c:pt>
                <c:pt idx="3373">
                  <c:v>5.6118133688018417E-3</c:v>
                </c:pt>
                <c:pt idx="3374">
                  <c:v>5.5959517818729683E-3</c:v>
                </c:pt>
                <c:pt idx="3375">
                  <c:v>5.5801304243792774E-3</c:v>
                </c:pt>
                <c:pt idx="3376">
                  <c:v>5.5643517393383227E-3</c:v>
                </c:pt>
                <c:pt idx="3377">
                  <c:v>5.5486229561940281E-3</c:v>
                </c:pt>
                <c:pt idx="3378">
                  <c:v>5.532944981033335E-3</c:v>
                </c:pt>
                <c:pt idx="3379">
                  <c:v>5.517313929345632E-3</c:v>
                </c:pt>
                <c:pt idx="3380">
                  <c:v>5.5017268864430233E-3</c:v>
                </c:pt>
                <c:pt idx="3381">
                  <c:v>5.4861900064251054E-3</c:v>
                </c:pt>
                <c:pt idx="3382">
                  <c:v>5.4707058509346051E-3</c:v>
                </c:pt>
                <c:pt idx="3383">
                  <c:v>5.4552685305784615E-3</c:v>
                </c:pt>
                <c:pt idx="3384">
                  <c:v>5.4398800869083922E-3</c:v>
                </c:pt>
                <c:pt idx="3385">
                  <c:v>5.4245464245410166E-3</c:v>
                </c:pt>
                <c:pt idx="3386">
                  <c:v>5.4092572235839454E-3</c:v>
                </c:pt>
                <c:pt idx="3387">
                  <c:v>5.39401484704691E-3</c:v>
                </c:pt>
                <c:pt idx="3388">
                  <c:v>5.378825634891264E-3</c:v>
                </c:pt>
                <c:pt idx="3389">
                  <c:v>5.3636904085494061E-3</c:v>
                </c:pt>
                <c:pt idx="3390">
                  <c:v>5.3486057012141494E-3</c:v>
                </c:pt>
                <c:pt idx="3391">
                  <c:v>5.3335721568671338E-3</c:v>
                </c:pt>
                <c:pt idx="3392">
                  <c:v>5.3185949178102968E-3</c:v>
                </c:pt>
                <c:pt idx="3393">
                  <c:v>5.3036647209089242E-3</c:v>
                </c:pt>
                <c:pt idx="3394">
                  <c:v>5.2887836618478292E-3</c:v>
                </c:pt>
                <c:pt idx="3395">
                  <c:v>5.2739578037752375E-3</c:v>
                </c:pt>
                <c:pt idx="3396">
                  <c:v>5.2591879148155786E-3</c:v>
                </c:pt>
                <c:pt idx="3397">
                  <c:v>5.2444708123257988E-3</c:v>
                </c:pt>
                <c:pt idx="3398">
                  <c:v>5.2298070749875704E-3</c:v>
                </c:pt>
                <c:pt idx="3399">
                  <c:v>5.2152014613184609E-3</c:v>
                </c:pt>
                <c:pt idx="3400">
                  <c:v>5.2006454222324437E-3</c:v>
                </c:pt>
                <c:pt idx="3401">
                  <c:v>5.1861409032076984E-3</c:v>
                </c:pt>
                <c:pt idx="3402">
                  <c:v>5.1716935370610525E-3</c:v>
                </c:pt>
                <c:pt idx="3403">
                  <c:v>5.1573040439661039E-3</c:v>
                </c:pt>
                <c:pt idx="3404">
                  <c:v>5.1429694957933671E-3</c:v>
                </c:pt>
                <c:pt idx="3405">
                  <c:v>5.1286876935308333E-3</c:v>
                </c:pt>
                <c:pt idx="3406">
                  <c:v>5.1144633988817615E-3</c:v>
                </c:pt>
                <c:pt idx="3407">
                  <c:v>5.1002986030234806E-3</c:v>
                </c:pt>
                <c:pt idx="3408">
                  <c:v>5.0861888561766566E-3</c:v>
                </c:pt>
                <c:pt idx="3409">
                  <c:v>5.0721357587441901E-3</c:v>
                </c:pt>
                <c:pt idx="3410">
                  <c:v>5.0581438367832861E-3</c:v>
                </c:pt>
                <c:pt idx="3411">
                  <c:v>5.0442053002795143E-3</c:v>
                </c:pt>
                <c:pt idx="3412">
                  <c:v>5.0303219952685619E-3</c:v>
                </c:pt>
                <c:pt idx="3413">
                  <c:v>5.0164987633124977E-3</c:v>
                </c:pt>
                <c:pt idx="3414">
                  <c:v>5.0027362455053129E-3</c:v>
                </c:pt>
                <c:pt idx="3415">
                  <c:v>4.9890318904486997E-3</c:v>
                </c:pt>
                <c:pt idx="3416">
                  <c:v>4.9753862168872435E-3</c:v>
                </c:pt>
                <c:pt idx="3417">
                  <c:v>4.961803111686358E-3</c:v>
                </c:pt>
                <c:pt idx="3418">
                  <c:v>4.9482756904143986E-3</c:v>
                </c:pt>
                <c:pt idx="3419">
                  <c:v>4.9348055721985182E-3</c:v>
                </c:pt>
                <c:pt idx="3420">
                  <c:v>4.9213973231055416E-3</c:v>
                </c:pt>
                <c:pt idx="3421">
                  <c:v>4.9080515349435765E-3</c:v>
                </c:pt>
                <c:pt idx="3422">
                  <c:v>4.8947659061583468E-3</c:v>
                </c:pt>
                <c:pt idx="3423">
                  <c:v>4.8815408986512404E-3</c:v>
                </c:pt>
                <c:pt idx="3424">
                  <c:v>4.8683800557937822E-3</c:v>
                </c:pt>
                <c:pt idx="3425">
                  <c:v>4.8552771267711672E-3</c:v>
                </c:pt>
                <c:pt idx="3426">
                  <c:v>4.8422335948564953E-3</c:v>
                </c:pt>
                <c:pt idx="3427">
                  <c:v>4.8292536380694666E-3</c:v>
                </c:pt>
                <c:pt idx="3428">
                  <c:v>4.8163378036879378E-3</c:v>
                </c:pt>
                <c:pt idx="3429">
                  <c:v>4.8034840137715987E-3</c:v>
                </c:pt>
                <c:pt idx="3430">
                  <c:v>4.7906926994940703E-3</c:v>
                </c:pt>
                <c:pt idx="3431">
                  <c:v>4.7779670885844854E-3</c:v>
                </c:pt>
                <c:pt idx="3432">
                  <c:v>4.7653015223340254E-3</c:v>
                </c:pt>
                <c:pt idx="3433">
                  <c:v>4.7526973623024148E-3</c:v>
                </c:pt>
                <c:pt idx="3434">
                  <c:v>4.7401584090447403E-3</c:v>
                </c:pt>
                <c:pt idx="3435">
                  <c:v>4.7276851642371357E-3</c:v>
                </c:pt>
                <c:pt idx="3436">
                  <c:v>4.7152757662824235E-3</c:v>
                </c:pt>
                <c:pt idx="3437">
                  <c:v>4.7029288139492894E-3</c:v>
                </c:pt>
                <c:pt idx="3438">
                  <c:v>4.6906474801920598E-3</c:v>
                </c:pt>
                <c:pt idx="3439">
                  <c:v>4.6784331021796364E-3</c:v>
                </c:pt>
                <c:pt idx="3440">
                  <c:v>4.6662828379153056E-3</c:v>
                </c:pt>
                <c:pt idx="3441">
                  <c:v>4.654197777502837E-3</c:v>
                </c:pt>
                <c:pt idx="3442">
                  <c:v>4.6421808860045407E-3</c:v>
                </c:pt>
                <c:pt idx="3443">
                  <c:v>4.6302271964264053E-3</c:v>
                </c:pt>
                <c:pt idx="3444">
                  <c:v>4.6183379594149426E-3</c:v>
                </c:pt>
                <c:pt idx="3445">
                  <c:v>4.6065163253384955E-3</c:v>
                </c:pt>
                <c:pt idx="3446">
                  <c:v>4.5947627259723123E-3</c:v>
                </c:pt>
                <c:pt idx="3447">
                  <c:v>4.58307561187812E-3</c:v>
                </c:pt>
                <c:pt idx="3448">
                  <c:v>4.5714553504994596E-3</c:v>
                </c:pt>
                <c:pt idx="3449">
                  <c:v>4.5599044233165381E-3</c:v>
                </c:pt>
                <c:pt idx="3450">
                  <c:v>4.5484185677525553E-3</c:v>
                </c:pt>
                <c:pt idx="3451">
                  <c:v>4.5369988581606758E-3</c:v>
                </c:pt>
                <c:pt idx="3452">
                  <c:v>4.5256481902180099E-3</c:v>
                </c:pt>
                <c:pt idx="3453">
                  <c:v>4.5143669531519945E-3</c:v>
                </c:pt>
                <c:pt idx="3454">
                  <c:v>4.5031537963464031E-3</c:v>
                </c:pt>
                <c:pt idx="3455">
                  <c:v>4.4920090417748682E-3</c:v>
                </c:pt>
                <c:pt idx="3456">
                  <c:v>4.4809348884837829E-3</c:v>
                </c:pt>
                <c:pt idx="3457">
                  <c:v>4.4699275864357336E-3</c:v>
                </c:pt>
                <c:pt idx="3458">
                  <c:v>4.4589880962517614E-3</c:v>
                </c:pt>
                <c:pt idx="3459">
                  <c:v>4.4481189920306807E-3</c:v>
                </c:pt>
                <c:pt idx="3460">
                  <c:v>4.4373206241820617E-3</c:v>
                </c:pt>
                <c:pt idx="3461">
                  <c:v>4.4265918193857117E-3</c:v>
                </c:pt>
                <c:pt idx="3462">
                  <c:v>4.4159316910754058E-3</c:v>
                </c:pt>
                <c:pt idx="3463">
                  <c:v>4.405342356192667E-3</c:v>
                </c:pt>
                <c:pt idx="3464">
                  <c:v>4.3948247140062346E-3</c:v>
                </c:pt>
                <c:pt idx="3465">
                  <c:v>4.3843769620424368E-3</c:v>
                </c:pt>
                <c:pt idx="3466">
                  <c:v>4.3739998450891141E-3</c:v>
                </c:pt>
                <c:pt idx="3467">
                  <c:v>4.3636953010041191E-3</c:v>
                </c:pt>
                <c:pt idx="3468">
                  <c:v>4.3534601868618523E-3</c:v>
                </c:pt>
                <c:pt idx="3469">
                  <c:v>4.3432953515966906E-3</c:v>
                </c:pt>
                <c:pt idx="3470">
                  <c:v>4.3332028371614456E-3</c:v>
                </c:pt>
                <c:pt idx="3471">
                  <c:v>4.3231829333066196E-3</c:v>
                </c:pt>
                <c:pt idx="3472">
                  <c:v>4.3132347205208843E-3</c:v>
                </c:pt>
                <c:pt idx="3473">
                  <c:v>4.3033584589672056E-3</c:v>
                </c:pt>
                <c:pt idx="3474">
                  <c:v>4.2935557184123983E-3</c:v>
                </c:pt>
                <c:pt idx="3475">
                  <c:v>4.2838239022060355E-3</c:v>
                </c:pt>
                <c:pt idx="3476">
                  <c:v>4.2741637215835343E-3</c:v>
                </c:pt>
                <c:pt idx="3477">
                  <c:v>4.2645769930273669E-3</c:v>
                </c:pt>
                <c:pt idx="3478">
                  <c:v>4.2550639698937564E-3</c:v>
                </c:pt>
                <c:pt idx="3479">
                  <c:v>4.245623888808097E-3</c:v>
                </c:pt>
                <c:pt idx="3480">
                  <c:v>4.2362569727140038E-3</c:v>
                </c:pt>
                <c:pt idx="3481">
                  <c:v>4.2269645617998598E-3</c:v>
                </c:pt>
                <c:pt idx="3482">
                  <c:v>4.217744467756513E-3</c:v>
                </c:pt>
                <c:pt idx="3483">
                  <c:v>4.2085973072985327E-3</c:v>
                </c:pt>
                <c:pt idx="3484">
                  <c:v>4.1995246345624786E-3</c:v>
                </c:pt>
                <c:pt idx="3485">
                  <c:v>4.1905266695813365E-3</c:v>
                </c:pt>
                <c:pt idx="3486">
                  <c:v>4.1816027863528843E-3</c:v>
                </c:pt>
                <c:pt idx="3487">
                  <c:v>4.1727525072251222E-3</c:v>
                </c:pt>
                <c:pt idx="3488">
                  <c:v>4.1639770784901147E-3</c:v>
                </c:pt>
                <c:pt idx="3489">
                  <c:v>4.1552770349524079E-3</c:v>
                </c:pt>
                <c:pt idx="3490">
                  <c:v>4.1466514024977794E-3</c:v>
                </c:pt>
                <c:pt idx="3491">
                  <c:v>4.1381006357052502E-3</c:v>
                </c:pt>
                <c:pt idx="3492">
                  <c:v>4.1296258350777349E-3</c:v>
                </c:pt>
                <c:pt idx="3493">
                  <c:v>4.1212253105101003E-3</c:v>
                </c:pt>
                <c:pt idx="3494">
                  <c:v>4.1128995743870194E-3</c:v>
                </c:pt>
                <c:pt idx="3495">
                  <c:v>4.1046497694040649E-3</c:v>
                </c:pt>
                <c:pt idx="3496">
                  <c:v>4.0964760651624682E-3</c:v>
                </c:pt>
                <c:pt idx="3497">
                  <c:v>4.0883780270794881E-3</c:v>
                </c:pt>
                <c:pt idx="3498">
                  <c:v>4.0803558198919329E-3</c:v>
                </c:pt>
                <c:pt idx="3499">
                  <c:v>4.0724102828970264E-3</c:v>
                </c:pt>
                <c:pt idx="3500">
                  <c:v>4.0645401187808334E-3</c:v>
                </c:pt>
                <c:pt idx="3501">
                  <c:v>4.0567457383999094E-3</c:v>
                </c:pt>
                <c:pt idx="3502">
                  <c:v>4.0490280984333401E-3</c:v>
                </c:pt>
                <c:pt idx="3503">
                  <c:v>4.0413873385854423E-3</c:v>
                </c:pt>
                <c:pt idx="3504">
                  <c:v>4.0338231360002282E-3</c:v>
                </c:pt>
                <c:pt idx="3505">
                  <c:v>4.0263356262452178E-3</c:v>
                </c:pt>
                <c:pt idx="3506">
                  <c:v>4.0189254748624796E-3</c:v>
                </c:pt>
                <c:pt idx="3507">
                  <c:v>4.0115916839027661E-3</c:v>
                </c:pt>
                <c:pt idx="3508">
                  <c:v>4.004334589824088E-3</c:v>
                </c:pt>
                <c:pt idx="3509">
                  <c:v>3.9971549502370671E-3</c:v>
                </c:pt>
                <c:pt idx="3510">
                  <c:v>3.9900528777508373E-3</c:v>
                </c:pt>
                <c:pt idx="3511">
                  <c:v>3.9830281454110855E-3</c:v>
                </c:pt>
                <c:pt idx="3512">
                  <c:v>3.9760805733147931E-3</c:v>
                </c:pt>
                <c:pt idx="3513">
                  <c:v>3.9692107357833942E-3</c:v>
                </c:pt>
                <c:pt idx="3514">
                  <c:v>3.9624188830046396E-3</c:v>
                </c:pt>
                <c:pt idx="3515">
                  <c:v>3.9557046472771347E-3</c:v>
                </c:pt>
                <c:pt idx="3516">
                  <c:v>3.9490682523810059E-3</c:v>
                </c:pt>
                <c:pt idx="3517">
                  <c:v>3.9425101637413223E-3</c:v>
                </c:pt>
                <c:pt idx="3518">
                  <c:v>3.9360297534536499E-3</c:v>
                </c:pt>
                <c:pt idx="3519">
                  <c:v>3.9296272681648607E-3</c:v>
                </c:pt>
                <c:pt idx="3520">
                  <c:v>3.9233031738787009E-3</c:v>
                </c:pt>
                <c:pt idx="3521">
                  <c:v>3.9170575435498976E-3</c:v>
                </c:pt>
                <c:pt idx="3522">
                  <c:v>3.9108902769566765E-3</c:v>
                </c:pt>
                <c:pt idx="3523">
                  <c:v>3.9048014576076313E-3</c:v>
                </c:pt>
                <c:pt idx="3524">
                  <c:v>3.8987913855378373E-3</c:v>
                </c:pt>
                <c:pt idx="3525">
                  <c:v>3.8928596809908764E-3</c:v>
                </c:pt>
                <c:pt idx="3526">
                  <c:v>3.8870065217211738E-3</c:v>
                </c:pt>
                <c:pt idx="3527">
                  <c:v>3.881232235168364E-3</c:v>
                </c:pt>
                <c:pt idx="3528">
                  <c:v>3.8755368715579562E-3</c:v>
                </c:pt>
                <c:pt idx="3529">
                  <c:v>3.8699203983115489E-3</c:v>
                </c:pt>
                <c:pt idx="3530">
                  <c:v>3.8643828770106507E-3</c:v>
                </c:pt>
                <c:pt idx="3531">
                  <c:v>3.8589244902225337E-3</c:v>
                </c:pt>
                <c:pt idx="3532">
                  <c:v>3.8535450473241402E-3</c:v>
                </c:pt>
                <c:pt idx="3533">
                  <c:v>3.8482446726587675E-3</c:v>
                </c:pt>
                <c:pt idx="3534">
                  <c:v>3.8430235596512408E-3</c:v>
                </c:pt>
                <c:pt idx="3535">
                  <c:v>3.8378817380266164E-3</c:v>
                </c:pt>
                <c:pt idx="3536">
                  <c:v>3.8328192294827946E-3</c:v>
                </c:pt>
                <c:pt idx="3537">
                  <c:v>3.8278360386664726E-3</c:v>
                </c:pt>
                <c:pt idx="3538">
                  <c:v>3.8229322737921806E-3</c:v>
                </c:pt>
                <c:pt idx="3539">
                  <c:v>3.8181079830170309E-3</c:v>
                </c:pt>
                <c:pt idx="3540">
                  <c:v>3.8133631790664064E-3</c:v>
                </c:pt>
                <c:pt idx="3541">
                  <c:v>3.8086979177005685E-3</c:v>
                </c:pt>
                <c:pt idx="3542">
                  <c:v>3.8041122370842278E-3</c:v>
                </c:pt>
                <c:pt idx="3543">
                  <c:v>3.7996061745398605E-3</c:v>
                </c:pt>
                <c:pt idx="3544">
                  <c:v>3.795179784968284E-3</c:v>
                </c:pt>
                <c:pt idx="3545">
                  <c:v>3.7908330854722807E-3</c:v>
                </c:pt>
                <c:pt idx="3546">
                  <c:v>3.7865660772665264E-3</c:v>
                </c:pt>
                <c:pt idx="3547">
                  <c:v>3.7823788439914009E-3</c:v>
                </c:pt>
                <c:pt idx="3548">
                  <c:v>3.7782714032195235E-3</c:v>
                </c:pt>
                <c:pt idx="3549">
                  <c:v>3.7742437100596357E-3</c:v>
                </c:pt>
                <c:pt idx="3550">
                  <c:v>3.7702959180300672E-3</c:v>
                </c:pt>
                <c:pt idx="3551">
                  <c:v>3.7664280418329048E-3</c:v>
                </c:pt>
                <c:pt idx="3552">
                  <c:v>3.7626400136356762E-3</c:v>
                </c:pt>
                <c:pt idx="3553">
                  <c:v>3.7589318190743336E-3</c:v>
                </c:pt>
                <c:pt idx="3554">
                  <c:v>3.7553035667874011E-3</c:v>
                </c:pt>
                <c:pt idx="3555">
                  <c:v>3.7517552587745017E-3</c:v>
                </c:pt>
                <c:pt idx="3556">
                  <c:v>3.7482867881274387E-3</c:v>
                </c:pt>
                <c:pt idx="3557">
                  <c:v>3.7448983897990207E-3</c:v>
                </c:pt>
                <c:pt idx="3558">
                  <c:v>3.7415900455577246E-3</c:v>
                </c:pt>
                <c:pt idx="3559">
                  <c:v>3.7383616184150713E-3</c:v>
                </c:pt>
                <c:pt idx="3560">
                  <c:v>3.7352130803706197E-3</c:v>
                </c:pt>
                <c:pt idx="3561">
                  <c:v>3.7321445535904263E-3</c:v>
                </c:pt>
                <c:pt idx="3562">
                  <c:v>3.7291561161629091E-3</c:v>
                </c:pt>
                <c:pt idx="3563">
                  <c:v>3.7262476160193404E-3</c:v>
                </c:pt>
                <c:pt idx="3564">
                  <c:v>3.7234189824051629E-3</c:v>
                </c:pt>
                <c:pt idx="3565">
                  <c:v>3.7206703861763892E-3</c:v>
                </c:pt>
                <c:pt idx="3566">
                  <c:v>3.7180017783508585E-3</c:v>
                </c:pt>
                <c:pt idx="3567">
                  <c:v>3.7154129763326497E-3</c:v>
                </c:pt>
                <c:pt idx="3568">
                  <c:v>3.7129042921087443E-3</c:v>
                </c:pt>
                <c:pt idx="3569">
                  <c:v>3.7104756636335409E-3</c:v>
                </c:pt>
                <c:pt idx="3570">
                  <c:v>3.708126884991737E-3</c:v>
                </c:pt>
                <c:pt idx="3571">
                  <c:v>3.7058579107535085E-3</c:v>
                </c:pt>
                <c:pt idx="3572">
                  <c:v>3.7036688623286159E-3</c:v>
                </c:pt>
                <c:pt idx="3573">
                  <c:v>3.7015597074996375E-3</c:v>
                </c:pt>
                <c:pt idx="3574">
                  <c:v>3.6995302479658817E-3</c:v>
                </c:pt>
                <c:pt idx="3575">
                  <c:v>3.6975807958976765E-3</c:v>
                </c:pt>
                <c:pt idx="3576">
                  <c:v>3.6957112729545018E-3</c:v>
                </c:pt>
                <c:pt idx="3577">
                  <c:v>3.6939214460342041E-3</c:v>
                </c:pt>
                <c:pt idx="3578">
                  <c:v>3.6922112611641631E-3</c:v>
                </c:pt>
                <c:pt idx="3579">
                  <c:v>3.6905808247712909E-3</c:v>
                </c:pt>
                <c:pt idx="3580">
                  <c:v>3.6890300944280563E-3</c:v>
                </c:pt>
                <c:pt idx="3581">
                  <c:v>3.6875588626836355E-3</c:v>
                </c:pt>
                <c:pt idx="3582">
                  <c:v>3.6861674208870667E-3</c:v>
                </c:pt>
                <c:pt idx="3583">
                  <c:v>3.6848556773822908E-3</c:v>
                </c:pt>
                <c:pt idx="3584">
                  <c:v>3.6836233926041927E-3</c:v>
                </c:pt>
                <c:pt idx="3585">
                  <c:v>3.6824705057676831E-3</c:v>
                </c:pt>
                <c:pt idx="3586">
                  <c:v>3.6813970982843332E-3</c:v>
                </c:pt>
                <c:pt idx="3587">
                  <c:v>3.6804032155725087E-3</c:v>
                </c:pt>
                <c:pt idx="3588">
                  <c:v>3.6794886449560034E-3</c:v>
                </c:pt>
                <c:pt idx="3589">
                  <c:v>3.678653277601487E-3</c:v>
                </c:pt>
                <c:pt idx="3590">
                  <c:v>3.6778972301688938E-3</c:v>
                </c:pt>
                <c:pt idx="3591">
                  <c:v>3.677220411099569E-3</c:v>
                </c:pt>
                <c:pt idx="3592">
                  <c:v>3.67662261611114E-3</c:v>
                </c:pt>
                <c:pt idx="3593">
                  <c:v>3.6761040591231299E-3</c:v>
                </c:pt>
                <c:pt idx="3594">
                  <c:v>3.6756646342128315E-3</c:v>
                </c:pt>
                <c:pt idx="3595">
                  <c:v>3.6753041296952557E-3</c:v>
                </c:pt>
                <c:pt idx="3596">
                  <c:v>3.6750224781103538E-3</c:v>
                </c:pt>
                <c:pt idx="3597">
                  <c:v>3.6748197010815524E-3</c:v>
                </c:pt>
                <c:pt idx="3598">
                  <c:v>3.6746957330338315E-3</c:v>
                </c:pt>
                <c:pt idx="3599">
                  <c:v>3.6746504052540385E-3</c:v>
                </c:pt>
                <c:pt idx="3600">
                  <c:v>3.6746838341671986E-3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1-4C01-AC6B-4C0732B5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469695"/>
        <c:axId val="1057166463"/>
      </c:scatterChart>
      <c:scatterChart>
        <c:scatterStyle val="lineMarker"/>
        <c:varyColors val="0"/>
        <c:ser>
          <c:idx val="1"/>
          <c:order val="1"/>
          <c:tx>
            <c:v>inertiavariation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'1.Properties'!$J$8:$J$3608</c:f>
              <c:numCache>
                <c:formatCode>General</c:formatCode>
                <c:ptCount val="3601"/>
                <c:pt idx="0">
                  <c:v>0</c:v>
                </c:pt>
                <c:pt idx="1">
                  <c:v>1.7453292519943296E-3</c:v>
                </c:pt>
                <c:pt idx="2">
                  <c:v>3.4906585039886592E-3</c:v>
                </c:pt>
                <c:pt idx="3">
                  <c:v>5.2359877559829881E-3</c:v>
                </c:pt>
                <c:pt idx="4">
                  <c:v>6.9813170079773184E-3</c:v>
                </c:pt>
                <c:pt idx="5">
                  <c:v>8.7266462599716477E-3</c:v>
                </c:pt>
                <c:pt idx="6">
                  <c:v>1.0471975511965976E-2</c:v>
                </c:pt>
                <c:pt idx="7">
                  <c:v>1.2217304763960306E-2</c:v>
                </c:pt>
                <c:pt idx="8">
                  <c:v>1.3962634015954637E-2</c:v>
                </c:pt>
                <c:pt idx="9">
                  <c:v>1.5707963267948963E-2</c:v>
                </c:pt>
                <c:pt idx="10">
                  <c:v>1.7453292519943295E-2</c:v>
                </c:pt>
                <c:pt idx="11">
                  <c:v>1.9198621771937627E-2</c:v>
                </c:pt>
                <c:pt idx="12">
                  <c:v>2.0943951023931952E-2</c:v>
                </c:pt>
                <c:pt idx="13">
                  <c:v>2.2689280275926284E-2</c:v>
                </c:pt>
                <c:pt idx="14">
                  <c:v>2.4434609527920613E-2</c:v>
                </c:pt>
                <c:pt idx="15">
                  <c:v>2.6179938779914941E-2</c:v>
                </c:pt>
                <c:pt idx="16">
                  <c:v>2.7925268031909273E-2</c:v>
                </c:pt>
                <c:pt idx="17">
                  <c:v>2.9670597283903605E-2</c:v>
                </c:pt>
                <c:pt idx="18">
                  <c:v>3.1415926535897927E-2</c:v>
                </c:pt>
                <c:pt idx="19">
                  <c:v>3.3161255787892259E-2</c:v>
                </c:pt>
                <c:pt idx="20">
                  <c:v>3.4906585039886591E-2</c:v>
                </c:pt>
                <c:pt idx="21">
                  <c:v>3.6651914291880923E-2</c:v>
                </c:pt>
                <c:pt idx="22">
                  <c:v>3.8397243543875255E-2</c:v>
                </c:pt>
                <c:pt idx="23">
                  <c:v>4.0142572795869587E-2</c:v>
                </c:pt>
                <c:pt idx="24">
                  <c:v>4.1887902047863905E-2</c:v>
                </c:pt>
                <c:pt idx="25">
                  <c:v>4.3633231299858237E-2</c:v>
                </c:pt>
                <c:pt idx="26">
                  <c:v>4.5378560551852569E-2</c:v>
                </c:pt>
                <c:pt idx="27">
                  <c:v>4.7123889803846894E-2</c:v>
                </c:pt>
                <c:pt idx="28">
                  <c:v>4.8869219055841226E-2</c:v>
                </c:pt>
                <c:pt idx="29">
                  <c:v>5.0614548307835558E-2</c:v>
                </c:pt>
                <c:pt idx="30">
                  <c:v>5.2359877559829883E-2</c:v>
                </c:pt>
                <c:pt idx="31">
                  <c:v>5.4105206811824215E-2</c:v>
                </c:pt>
                <c:pt idx="32">
                  <c:v>5.5850536063818547E-2</c:v>
                </c:pt>
                <c:pt idx="33">
                  <c:v>5.7595865315812872E-2</c:v>
                </c:pt>
                <c:pt idx="34">
                  <c:v>5.9341194567807211E-2</c:v>
                </c:pt>
                <c:pt idx="35">
                  <c:v>6.1086523819801536E-2</c:v>
                </c:pt>
                <c:pt idx="36">
                  <c:v>6.2831853071795854E-2</c:v>
                </c:pt>
                <c:pt idx="37">
                  <c:v>6.4577182323790186E-2</c:v>
                </c:pt>
                <c:pt idx="38">
                  <c:v>6.6322511575784518E-2</c:v>
                </c:pt>
                <c:pt idx="39">
                  <c:v>6.8067840827778864E-2</c:v>
                </c:pt>
                <c:pt idx="40">
                  <c:v>6.9813170079773182E-2</c:v>
                </c:pt>
                <c:pt idx="41">
                  <c:v>7.15584993317675E-2</c:v>
                </c:pt>
                <c:pt idx="42">
                  <c:v>7.3303828583761846E-2</c:v>
                </c:pt>
                <c:pt idx="43">
                  <c:v>7.5049157835756164E-2</c:v>
                </c:pt>
                <c:pt idx="44">
                  <c:v>7.679448708775051E-2</c:v>
                </c:pt>
                <c:pt idx="45">
                  <c:v>7.8539816339744828E-2</c:v>
                </c:pt>
                <c:pt idx="46">
                  <c:v>8.0285145591739174E-2</c:v>
                </c:pt>
                <c:pt idx="47">
                  <c:v>8.2030474843733478E-2</c:v>
                </c:pt>
                <c:pt idx="48">
                  <c:v>8.377580409572781E-2</c:v>
                </c:pt>
                <c:pt idx="49">
                  <c:v>8.5521133347722156E-2</c:v>
                </c:pt>
                <c:pt idx="50">
                  <c:v>8.7266462599716474E-2</c:v>
                </c:pt>
                <c:pt idx="51">
                  <c:v>8.9011791851710792E-2</c:v>
                </c:pt>
                <c:pt idx="52">
                  <c:v>9.0757121103705138E-2</c:v>
                </c:pt>
                <c:pt idx="53">
                  <c:v>9.250245035569947E-2</c:v>
                </c:pt>
                <c:pt idx="54">
                  <c:v>9.4247779607693788E-2</c:v>
                </c:pt>
                <c:pt idx="55">
                  <c:v>9.599310885968812E-2</c:v>
                </c:pt>
                <c:pt idx="56">
                  <c:v>9.7738438111682452E-2</c:v>
                </c:pt>
                <c:pt idx="57">
                  <c:v>9.948376736367677E-2</c:v>
                </c:pt>
                <c:pt idx="58">
                  <c:v>0.10122909661567112</c:v>
                </c:pt>
                <c:pt idx="59">
                  <c:v>0.10297442586766543</c:v>
                </c:pt>
                <c:pt idx="60">
                  <c:v>0.10471975511965977</c:v>
                </c:pt>
                <c:pt idx="61">
                  <c:v>0.10646508437165408</c:v>
                </c:pt>
                <c:pt idx="62">
                  <c:v>0.10821041362364843</c:v>
                </c:pt>
                <c:pt idx="63">
                  <c:v>0.10995574287564275</c:v>
                </c:pt>
                <c:pt idx="64">
                  <c:v>0.11170107212763709</c:v>
                </c:pt>
                <c:pt idx="65">
                  <c:v>0.11344640137963143</c:v>
                </c:pt>
                <c:pt idx="66">
                  <c:v>0.11519173063162574</c:v>
                </c:pt>
                <c:pt idx="67">
                  <c:v>0.11693705988362009</c:v>
                </c:pt>
                <c:pt idx="68">
                  <c:v>0.11868238913561442</c:v>
                </c:pt>
                <c:pt idx="69">
                  <c:v>0.12042771838760873</c:v>
                </c:pt>
                <c:pt idx="70">
                  <c:v>0.12217304763960307</c:v>
                </c:pt>
                <c:pt idx="71">
                  <c:v>0.12391837689159739</c:v>
                </c:pt>
                <c:pt idx="72">
                  <c:v>0.12566370614359171</c:v>
                </c:pt>
                <c:pt idx="73">
                  <c:v>0.12740903539558604</c:v>
                </c:pt>
                <c:pt idx="74">
                  <c:v>0.12915436464758037</c:v>
                </c:pt>
                <c:pt idx="75">
                  <c:v>0.1308996938995747</c:v>
                </c:pt>
                <c:pt idx="76">
                  <c:v>0.13264502315156904</c:v>
                </c:pt>
                <c:pt idx="77">
                  <c:v>0.1343903524035634</c:v>
                </c:pt>
                <c:pt idx="78">
                  <c:v>0.13613568165555773</c:v>
                </c:pt>
                <c:pt idx="79">
                  <c:v>0.13788101090755203</c:v>
                </c:pt>
                <c:pt idx="80">
                  <c:v>0.13962634015954636</c:v>
                </c:pt>
                <c:pt idx="81">
                  <c:v>0.14137166941154072</c:v>
                </c:pt>
                <c:pt idx="82">
                  <c:v>0.143116998663535</c:v>
                </c:pt>
                <c:pt idx="83">
                  <c:v>0.14486232791552933</c:v>
                </c:pt>
                <c:pt idx="84">
                  <c:v>0.14660765716752369</c:v>
                </c:pt>
                <c:pt idx="85">
                  <c:v>0.14835298641951802</c:v>
                </c:pt>
                <c:pt idx="86">
                  <c:v>0.15009831567151233</c:v>
                </c:pt>
                <c:pt idx="87">
                  <c:v>0.15184364492350666</c:v>
                </c:pt>
                <c:pt idx="88">
                  <c:v>0.15358897417550102</c:v>
                </c:pt>
                <c:pt idx="89">
                  <c:v>0.15533430342749532</c:v>
                </c:pt>
                <c:pt idx="90">
                  <c:v>0.15707963267948966</c:v>
                </c:pt>
                <c:pt idx="91">
                  <c:v>0.15882496193148399</c:v>
                </c:pt>
                <c:pt idx="92">
                  <c:v>0.16057029118347835</c:v>
                </c:pt>
                <c:pt idx="93">
                  <c:v>0.16231562043547265</c:v>
                </c:pt>
                <c:pt idx="94">
                  <c:v>0.16406094968746696</c:v>
                </c:pt>
                <c:pt idx="95">
                  <c:v>0.16580627893946129</c:v>
                </c:pt>
                <c:pt idx="96">
                  <c:v>0.16755160819145562</c:v>
                </c:pt>
                <c:pt idx="97">
                  <c:v>0.16929693744344995</c:v>
                </c:pt>
                <c:pt idx="98">
                  <c:v>0.17104226669544431</c:v>
                </c:pt>
                <c:pt idx="99">
                  <c:v>0.17278759594743864</c:v>
                </c:pt>
                <c:pt idx="100">
                  <c:v>0.17453292519943295</c:v>
                </c:pt>
                <c:pt idx="101">
                  <c:v>0.17627825445142728</c:v>
                </c:pt>
                <c:pt idx="102">
                  <c:v>0.17802358370342158</c:v>
                </c:pt>
                <c:pt idx="103">
                  <c:v>0.17976891295541597</c:v>
                </c:pt>
                <c:pt idx="104">
                  <c:v>0.18151424220741028</c:v>
                </c:pt>
                <c:pt idx="105">
                  <c:v>0.18325957145940461</c:v>
                </c:pt>
                <c:pt idx="106">
                  <c:v>0.18500490071139894</c:v>
                </c:pt>
                <c:pt idx="107">
                  <c:v>0.1867502299633933</c:v>
                </c:pt>
                <c:pt idx="108">
                  <c:v>0.18849555921538758</c:v>
                </c:pt>
                <c:pt idx="109">
                  <c:v>0.19024088846738194</c:v>
                </c:pt>
                <c:pt idx="110">
                  <c:v>0.19198621771937624</c:v>
                </c:pt>
                <c:pt idx="111">
                  <c:v>0.1937315469713706</c:v>
                </c:pt>
                <c:pt idx="112">
                  <c:v>0.1954768762233649</c:v>
                </c:pt>
                <c:pt idx="113">
                  <c:v>0.19722220547535921</c:v>
                </c:pt>
                <c:pt idx="114">
                  <c:v>0.19896753472735354</c:v>
                </c:pt>
                <c:pt idx="115">
                  <c:v>0.20071286397934787</c:v>
                </c:pt>
                <c:pt idx="116">
                  <c:v>0.20245819323134223</c:v>
                </c:pt>
                <c:pt idx="117">
                  <c:v>0.20420352248333654</c:v>
                </c:pt>
                <c:pt idx="118">
                  <c:v>0.20594885173533087</c:v>
                </c:pt>
                <c:pt idx="119">
                  <c:v>0.2076941809873252</c:v>
                </c:pt>
                <c:pt idx="120">
                  <c:v>0.20943951023931953</c:v>
                </c:pt>
                <c:pt idx="121">
                  <c:v>0.21118483949131389</c:v>
                </c:pt>
                <c:pt idx="122">
                  <c:v>0.21293016874330817</c:v>
                </c:pt>
                <c:pt idx="123">
                  <c:v>0.21467549799530256</c:v>
                </c:pt>
                <c:pt idx="124">
                  <c:v>0.21642082724729686</c:v>
                </c:pt>
                <c:pt idx="125">
                  <c:v>0.21816615649929119</c:v>
                </c:pt>
                <c:pt idx="126">
                  <c:v>0.2199114857512855</c:v>
                </c:pt>
                <c:pt idx="127">
                  <c:v>0.22165681500327983</c:v>
                </c:pt>
                <c:pt idx="128">
                  <c:v>0.22340214425527419</c:v>
                </c:pt>
                <c:pt idx="129">
                  <c:v>0.22514747350726852</c:v>
                </c:pt>
                <c:pt idx="130">
                  <c:v>0.22689280275926285</c:v>
                </c:pt>
                <c:pt idx="131">
                  <c:v>0.22863813201125718</c:v>
                </c:pt>
                <c:pt idx="132">
                  <c:v>0.23038346126325149</c:v>
                </c:pt>
                <c:pt idx="133">
                  <c:v>0.23212879051524585</c:v>
                </c:pt>
                <c:pt idx="134">
                  <c:v>0.23387411976724018</c:v>
                </c:pt>
                <c:pt idx="135">
                  <c:v>0.23561944901923448</c:v>
                </c:pt>
                <c:pt idx="136">
                  <c:v>0.23736477827122884</c:v>
                </c:pt>
                <c:pt idx="137">
                  <c:v>0.23911010752322315</c:v>
                </c:pt>
                <c:pt idx="138">
                  <c:v>0.24085543677521745</c:v>
                </c:pt>
                <c:pt idx="139">
                  <c:v>0.24260076602721178</c:v>
                </c:pt>
                <c:pt idx="140">
                  <c:v>0.24434609527920614</c:v>
                </c:pt>
                <c:pt idx="141">
                  <c:v>0.24609142453120048</c:v>
                </c:pt>
                <c:pt idx="142">
                  <c:v>0.24783675378319478</c:v>
                </c:pt>
                <c:pt idx="143">
                  <c:v>0.24958208303518911</c:v>
                </c:pt>
                <c:pt idx="144">
                  <c:v>0.25132741228718342</c:v>
                </c:pt>
                <c:pt idx="145">
                  <c:v>0.2530727415391778</c:v>
                </c:pt>
                <c:pt idx="146">
                  <c:v>0.25481807079117208</c:v>
                </c:pt>
                <c:pt idx="147">
                  <c:v>0.25656340004316641</c:v>
                </c:pt>
                <c:pt idx="148">
                  <c:v>0.25830872929516074</c:v>
                </c:pt>
                <c:pt idx="149">
                  <c:v>0.26005405854715513</c:v>
                </c:pt>
                <c:pt idx="150">
                  <c:v>0.26179938779914941</c:v>
                </c:pt>
                <c:pt idx="151">
                  <c:v>0.26354471705114374</c:v>
                </c:pt>
                <c:pt idx="152">
                  <c:v>0.26529004630313807</c:v>
                </c:pt>
                <c:pt idx="153">
                  <c:v>0.2670353755551324</c:v>
                </c:pt>
                <c:pt idx="154">
                  <c:v>0.26878070480712679</c:v>
                </c:pt>
                <c:pt idx="155">
                  <c:v>0.27052603405912107</c:v>
                </c:pt>
                <c:pt idx="156">
                  <c:v>0.27227136331111546</c:v>
                </c:pt>
                <c:pt idx="157">
                  <c:v>0.27401669256310973</c:v>
                </c:pt>
                <c:pt idx="158">
                  <c:v>0.27576202181510406</c:v>
                </c:pt>
                <c:pt idx="159">
                  <c:v>0.2775073510670984</c:v>
                </c:pt>
                <c:pt idx="160">
                  <c:v>0.27925268031909273</c:v>
                </c:pt>
                <c:pt idx="161">
                  <c:v>0.28099800957108706</c:v>
                </c:pt>
                <c:pt idx="162">
                  <c:v>0.28274333882308145</c:v>
                </c:pt>
                <c:pt idx="163">
                  <c:v>0.28448866807507567</c:v>
                </c:pt>
                <c:pt idx="164">
                  <c:v>0.28623399732707</c:v>
                </c:pt>
                <c:pt idx="165">
                  <c:v>0.28797932657906439</c:v>
                </c:pt>
                <c:pt idx="166">
                  <c:v>0.28972465583105866</c:v>
                </c:pt>
                <c:pt idx="167">
                  <c:v>0.291469985083053</c:v>
                </c:pt>
                <c:pt idx="168">
                  <c:v>0.29321531433504738</c:v>
                </c:pt>
                <c:pt idx="169">
                  <c:v>0.29496064358704166</c:v>
                </c:pt>
                <c:pt idx="170">
                  <c:v>0.29670597283903605</c:v>
                </c:pt>
                <c:pt idx="171">
                  <c:v>0.29845130209103038</c:v>
                </c:pt>
                <c:pt idx="172">
                  <c:v>0.30019663134302466</c:v>
                </c:pt>
                <c:pt idx="173">
                  <c:v>0.30194196059501899</c:v>
                </c:pt>
                <c:pt idx="174">
                  <c:v>0.30368728984701332</c:v>
                </c:pt>
                <c:pt idx="175">
                  <c:v>0.30543261909900765</c:v>
                </c:pt>
                <c:pt idx="176">
                  <c:v>0.30717794835100204</c:v>
                </c:pt>
                <c:pt idx="177">
                  <c:v>0.30892327760299632</c:v>
                </c:pt>
                <c:pt idx="178">
                  <c:v>0.31066860685499065</c:v>
                </c:pt>
                <c:pt idx="179">
                  <c:v>0.31241393610698498</c:v>
                </c:pt>
                <c:pt idx="180">
                  <c:v>0.31415926535897931</c:v>
                </c:pt>
                <c:pt idx="181">
                  <c:v>0.31590459461097364</c:v>
                </c:pt>
                <c:pt idx="182">
                  <c:v>0.31764992386296798</c:v>
                </c:pt>
                <c:pt idx="183">
                  <c:v>0.31939525311496231</c:v>
                </c:pt>
                <c:pt idx="184">
                  <c:v>0.3211405823669567</c:v>
                </c:pt>
                <c:pt idx="185">
                  <c:v>0.32288591161895097</c:v>
                </c:pt>
                <c:pt idx="186">
                  <c:v>0.3246312408709453</c:v>
                </c:pt>
                <c:pt idx="187">
                  <c:v>0.32637657012293969</c:v>
                </c:pt>
                <c:pt idx="188">
                  <c:v>0.32812189937493391</c:v>
                </c:pt>
                <c:pt idx="189">
                  <c:v>0.32986722862692824</c:v>
                </c:pt>
                <c:pt idx="190">
                  <c:v>0.33161255787892258</c:v>
                </c:pt>
                <c:pt idx="191">
                  <c:v>0.33335788713091691</c:v>
                </c:pt>
                <c:pt idx="192">
                  <c:v>0.33510321638291124</c:v>
                </c:pt>
                <c:pt idx="193">
                  <c:v>0.33684854563490563</c:v>
                </c:pt>
                <c:pt idx="194">
                  <c:v>0.3385938748868999</c:v>
                </c:pt>
                <c:pt idx="195">
                  <c:v>0.34033920413889424</c:v>
                </c:pt>
                <c:pt idx="196">
                  <c:v>0.34208453339088862</c:v>
                </c:pt>
                <c:pt idx="197">
                  <c:v>0.3438298626428829</c:v>
                </c:pt>
                <c:pt idx="198">
                  <c:v>0.34557519189487729</c:v>
                </c:pt>
                <c:pt idx="199">
                  <c:v>0.34732052114687156</c:v>
                </c:pt>
                <c:pt idx="200">
                  <c:v>0.3490658503988659</c:v>
                </c:pt>
                <c:pt idx="201">
                  <c:v>0.35081117965086023</c:v>
                </c:pt>
                <c:pt idx="202">
                  <c:v>0.35255650890285456</c:v>
                </c:pt>
                <c:pt idx="203">
                  <c:v>0.35430183815484884</c:v>
                </c:pt>
                <c:pt idx="204">
                  <c:v>0.35604716740684317</c:v>
                </c:pt>
                <c:pt idx="205">
                  <c:v>0.3577924966588375</c:v>
                </c:pt>
                <c:pt idx="206">
                  <c:v>0.35953782591083194</c:v>
                </c:pt>
                <c:pt idx="207">
                  <c:v>0.36128315516282622</c:v>
                </c:pt>
                <c:pt idx="208">
                  <c:v>0.36302848441482055</c:v>
                </c:pt>
                <c:pt idx="209">
                  <c:v>0.36477381366681488</c:v>
                </c:pt>
                <c:pt idx="210">
                  <c:v>0.36651914291880922</c:v>
                </c:pt>
                <c:pt idx="211">
                  <c:v>0.36826447217080349</c:v>
                </c:pt>
                <c:pt idx="212">
                  <c:v>0.37000980142279788</c:v>
                </c:pt>
                <c:pt idx="213">
                  <c:v>0.37175513067479216</c:v>
                </c:pt>
                <c:pt idx="214">
                  <c:v>0.3735004599267866</c:v>
                </c:pt>
                <c:pt idx="215">
                  <c:v>0.37524578917878082</c:v>
                </c:pt>
                <c:pt idx="216">
                  <c:v>0.37699111843077515</c:v>
                </c:pt>
                <c:pt idx="217">
                  <c:v>0.37873644768276954</c:v>
                </c:pt>
                <c:pt idx="218">
                  <c:v>0.38048177693476387</c:v>
                </c:pt>
                <c:pt idx="219">
                  <c:v>0.38222710618675809</c:v>
                </c:pt>
                <c:pt idx="220">
                  <c:v>0.38397243543875248</c:v>
                </c:pt>
                <c:pt idx="221">
                  <c:v>0.38571776469074687</c:v>
                </c:pt>
                <c:pt idx="222">
                  <c:v>0.3874630939427412</c:v>
                </c:pt>
                <c:pt idx="223">
                  <c:v>0.38920842319473548</c:v>
                </c:pt>
                <c:pt idx="224">
                  <c:v>0.39095375244672981</c:v>
                </c:pt>
                <c:pt idx="225">
                  <c:v>0.39269908169872414</c:v>
                </c:pt>
                <c:pt idx="226">
                  <c:v>0.39444441095071842</c:v>
                </c:pt>
                <c:pt idx="227">
                  <c:v>0.39618974020271275</c:v>
                </c:pt>
                <c:pt idx="228">
                  <c:v>0.39793506945470708</c:v>
                </c:pt>
                <c:pt idx="229">
                  <c:v>0.39968039870670141</c:v>
                </c:pt>
                <c:pt idx="230">
                  <c:v>0.40142572795869574</c:v>
                </c:pt>
                <c:pt idx="231">
                  <c:v>0.40317105721069013</c:v>
                </c:pt>
                <c:pt idx="232">
                  <c:v>0.40491638646268446</c:v>
                </c:pt>
                <c:pt idx="233">
                  <c:v>0.4066617157146788</c:v>
                </c:pt>
                <c:pt idx="234">
                  <c:v>0.40840704496667307</c:v>
                </c:pt>
                <c:pt idx="235">
                  <c:v>0.41015237421866746</c:v>
                </c:pt>
                <c:pt idx="236">
                  <c:v>0.41189770347066174</c:v>
                </c:pt>
                <c:pt idx="237">
                  <c:v>0.41364303272265612</c:v>
                </c:pt>
                <c:pt idx="238">
                  <c:v>0.4153883619746504</c:v>
                </c:pt>
                <c:pt idx="239">
                  <c:v>0.41713369122664484</c:v>
                </c:pt>
                <c:pt idx="240">
                  <c:v>0.41887902047863906</c:v>
                </c:pt>
                <c:pt idx="241">
                  <c:v>0.4206243497306334</c:v>
                </c:pt>
                <c:pt idx="242">
                  <c:v>0.42236967898262778</c:v>
                </c:pt>
                <c:pt idx="243">
                  <c:v>0.42411500823462212</c:v>
                </c:pt>
                <c:pt idx="244">
                  <c:v>0.42586033748661634</c:v>
                </c:pt>
                <c:pt idx="245">
                  <c:v>0.42760566673861072</c:v>
                </c:pt>
                <c:pt idx="246">
                  <c:v>0.42935099599060511</c:v>
                </c:pt>
                <c:pt idx="247">
                  <c:v>0.43109632524259944</c:v>
                </c:pt>
                <c:pt idx="248">
                  <c:v>0.43284165449459372</c:v>
                </c:pt>
                <c:pt idx="249">
                  <c:v>0.43458698374658805</c:v>
                </c:pt>
                <c:pt idx="250">
                  <c:v>0.43633231299858238</c:v>
                </c:pt>
                <c:pt idx="251">
                  <c:v>0.43807764225057666</c:v>
                </c:pt>
                <c:pt idx="252">
                  <c:v>0.43982297150257099</c:v>
                </c:pt>
                <c:pt idx="253">
                  <c:v>0.44156830075456532</c:v>
                </c:pt>
                <c:pt idx="254">
                  <c:v>0.44331363000655966</c:v>
                </c:pt>
                <c:pt idx="255">
                  <c:v>0.44505895925855399</c:v>
                </c:pt>
                <c:pt idx="256">
                  <c:v>0.44680428851054838</c:v>
                </c:pt>
                <c:pt idx="257">
                  <c:v>0.44854961776254271</c:v>
                </c:pt>
                <c:pt idx="258">
                  <c:v>0.45029494701453704</c:v>
                </c:pt>
                <c:pt idx="259">
                  <c:v>0.45204027626653132</c:v>
                </c:pt>
                <c:pt idx="260">
                  <c:v>0.4537856055185257</c:v>
                </c:pt>
                <c:pt idx="261">
                  <c:v>0.45553093477051998</c:v>
                </c:pt>
                <c:pt idx="262">
                  <c:v>0.45727626402251437</c:v>
                </c:pt>
                <c:pt idx="263">
                  <c:v>0.45902159327450859</c:v>
                </c:pt>
                <c:pt idx="264">
                  <c:v>0.46076692252650298</c:v>
                </c:pt>
                <c:pt idx="265">
                  <c:v>0.46251225177849731</c:v>
                </c:pt>
                <c:pt idx="266">
                  <c:v>0.4642575810304917</c:v>
                </c:pt>
                <c:pt idx="267">
                  <c:v>0.46600291028248592</c:v>
                </c:pt>
                <c:pt idx="268">
                  <c:v>0.46774823953448036</c:v>
                </c:pt>
                <c:pt idx="269">
                  <c:v>0.46949356878647464</c:v>
                </c:pt>
                <c:pt idx="270">
                  <c:v>0.47123889803846897</c:v>
                </c:pt>
                <c:pt idx="271">
                  <c:v>0.4729842272904633</c:v>
                </c:pt>
                <c:pt idx="272">
                  <c:v>0.47472955654245769</c:v>
                </c:pt>
                <c:pt idx="273">
                  <c:v>0.47647488579445196</c:v>
                </c:pt>
                <c:pt idx="274">
                  <c:v>0.4782202150464463</c:v>
                </c:pt>
                <c:pt idx="275">
                  <c:v>0.47996554429844063</c:v>
                </c:pt>
                <c:pt idx="276">
                  <c:v>0.4817108735504349</c:v>
                </c:pt>
                <c:pt idx="277">
                  <c:v>0.48345620280242924</c:v>
                </c:pt>
                <c:pt idx="278">
                  <c:v>0.48520153205442357</c:v>
                </c:pt>
                <c:pt idx="279">
                  <c:v>0.4869468613064179</c:v>
                </c:pt>
                <c:pt idx="280">
                  <c:v>0.48869219055841229</c:v>
                </c:pt>
                <c:pt idx="281">
                  <c:v>0.49043751981040662</c:v>
                </c:pt>
                <c:pt idx="282">
                  <c:v>0.49218284906240095</c:v>
                </c:pt>
                <c:pt idx="283">
                  <c:v>0.49392817831439528</c:v>
                </c:pt>
                <c:pt idx="284">
                  <c:v>0.49567350756638956</c:v>
                </c:pt>
                <c:pt idx="285">
                  <c:v>0.49741883681838389</c:v>
                </c:pt>
                <c:pt idx="286">
                  <c:v>0.49916416607037822</c:v>
                </c:pt>
                <c:pt idx="287">
                  <c:v>0.50090949532237261</c:v>
                </c:pt>
                <c:pt idx="288">
                  <c:v>0.50265482457436683</c:v>
                </c:pt>
                <c:pt idx="289">
                  <c:v>0.50440015382636127</c:v>
                </c:pt>
                <c:pt idx="290">
                  <c:v>0.50614548307835561</c:v>
                </c:pt>
                <c:pt idx="291">
                  <c:v>0.50789081233034994</c:v>
                </c:pt>
                <c:pt idx="292">
                  <c:v>0.50963614158234416</c:v>
                </c:pt>
                <c:pt idx="293">
                  <c:v>0.5113814708343386</c:v>
                </c:pt>
                <c:pt idx="294">
                  <c:v>0.51312680008633282</c:v>
                </c:pt>
                <c:pt idx="295">
                  <c:v>0.51487212933832716</c:v>
                </c:pt>
                <c:pt idx="296">
                  <c:v>0.51661745859032149</c:v>
                </c:pt>
                <c:pt idx="297">
                  <c:v>0.51836278784231593</c:v>
                </c:pt>
                <c:pt idx="298">
                  <c:v>0.52010811709431026</c:v>
                </c:pt>
                <c:pt idx="299">
                  <c:v>0.52185344634630459</c:v>
                </c:pt>
                <c:pt idx="300">
                  <c:v>0.52359877559829882</c:v>
                </c:pt>
                <c:pt idx="301">
                  <c:v>0.52534410485029315</c:v>
                </c:pt>
                <c:pt idx="302">
                  <c:v>0.52708943410228748</c:v>
                </c:pt>
                <c:pt idx="303">
                  <c:v>0.5288347633542817</c:v>
                </c:pt>
                <c:pt idx="304">
                  <c:v>0.53058009260627614</c:v>
                </c:pt>
                <c:pt idx="305">
                  <c:v>0.53232542185827048</c:v>
                </c:pt>
                <c:pt idx="306">
                  <c:v>0.53407075111026481</c:v>
                </c:pt>
                <c:pt idx="307">
                  <c:v>0.53581608036225914</c:v>
                </c:pt>
                <c:pt idx="308">
                  <c:v>0.53756140961425358</c:v>
                </c:pt>
                <c:pt idx="309">
                  <c:v>0.5393067388662478</c:v>
                </c:pt>
                <c:pt idx="310">
                  <c:v>0.54105206811824214</c:v>
                </c:pt>
                <c:pt idx="311">
                  <c:v>0.54279739737023647</c:v>
                </c:pt>
                <c:pt idx="312">
                  <c:v>0.54454272662223091</c:v>
                </c:pt>
                <c:pt idx="313">
                  <c:v>0.54628805587422502</c:v>
                </c:pt>
                <c:pt idx="314">
                  <c:v>0.54803338512621946</c:v>
                </c:pt>
                <c:pt idx="315">
                  <c:v>0.5497787143782138</c:v>
                </c:pt>
                <c:pt idx="316">
                  <c:v>0.55152404363020813</c:v>
                </c:pt>
                <c:pt idx="317">
                  <c:v>0.55326937288220246</c:v>
                </c:pt>
                <c:pt idx="318">
                  <c:v>0.55501470213419679</c:v>
                </c:pt>
                <c:pt idx="319">
                  <c:v>0.55676003138619112</c:v>
                </c:pt>
                <c:pt idx="320">
                  <c:v>0.55850536063818546</c:v>
                </c:pt>
                <c:pt idx="321">
                  <c:v>0.56025068989017979</c:v>
                </c:pt>
                <c:pt idx="322">
                  <c:v>0.56199601914217412</c:v>
                </c:pt>
                <c:pt idx="323">
                  <c:v>0.56374134839416834</c:v>
                </c:pt>
                <c:pt idx="324">
                  <c:v>0.56548667764616289</c:v>
                </c:pt>
                <c:pt idx="325">
                  <c:v>0.56723200689815712</c:v>
                </c:pt>
                <c:pt idx="326">
                  <c:v>0.56897733615015134</c:v>
                </c:pt>
                <c:pt idx="327">
                  <c:v>0.57072266540214578</c:v>
                </c:pt>
                <c:pt idx="328">
                  <c:v>0.57246799465414</c:v>
                </c:pt>
                <c:pt idx="329">
                  <c:v>0.57421332390613444</c:v>
                </c:pt>
                <c:pt idx="330">
                  <c:v>0.57595865315812877</c:v>
                </c:pt>
                <c:pt idx="331">
                  <c:v>0.57770398241012311</c:v>
                </c:pt>
                <c:pt idx="332">
                  <c:v>0.57944931166211733</c:v>
                </c:pt>
                <c:pt idx="333">
                  <c:v>0.58119464091411166</c:v>
                </c:pt>
                <c:pt idx="334">
                  <c:v>0.58293997016610599</c:v>
                </c:pt>
                <c:pt idx="335">
                  <c:v>0.58468529941810032</c:v>
                </c:pt>
                <c:pt idx="336">
                  <c:v>0.58643062867009477</c:v>
                </c:pt>
                <c:pt idx="337">
                  <c:v>0.5881759579220891</c:v>
                </c:pt>
                <c:pt idx="338">
                  <c:v>0.58992128717408332</c:v>
                </c:pt>
                <c:pt idx="339">
                  <c:v>0.59166661642607765</c:v>
                </c:pt>
                <c:pt idx="340">
                  <c:v>0.59341194567807209</c:v>
                </c:pt>
                <c:pt idx="341">
                  <c:v>0.59515727493006643</c:v>
                </c:pt>
                <c:pt idx="342">
                  <c:v>0.59690260418206076</c:v>
                </c:pt>
                <c:pt idx="343">
                  <c:v>0.59864793343405509</c:v>
                </c:pt>
                <c:pt idx="344">
                  <c:v>0.60039326268604931</c:v>
                </c:pt>
                <c:pt idx="345">
                  <c:v>0.60213859193804364</c:v>
                </c:pt>
                <c:pt idx="346">
                  <c:v>0.60388392119003798</c:v>
                </c:pt>
                <c:pt idx="347">
                  <c:v>0.60562925044203242</c:v>
                </c:pt>
                <c:pt idx="348">
                  <c:v>0.60737457969402664</c:v>
                </c:pt>
                <c:pt idx="349">
                  <c:v>0.60911990894602108</c:v>
                </c:pt>
                <c:pt idx="350">
                  <c:v>0.6108652381980153</c:v>
                </c:pt>
                <c:pt idx="351">
                  <c:v>0.61261056745000952</c:v>
                </c:pt>
                <c:pt idx="352">
                  <c:v>0.61435589670200408</c:v>
                </c:pt>
                <c:pt idx="353">
                  <c:v>0.6161012259539983</c:v>
                </c:pt>
                <c:pt idx="354">
                  <c:v>0.61784655520599263</c:v>
                </c:pt>
                <c:pt idx="355">
                  <c:v>0.61959188445798696</c:v>
                </c:pt>
                <c:pt idx="356">
                  <c:v>0.6213372137099813</c:v>
                </c:pt>
                <c:pt idx="357">
                  <c:v>0.62308254296197552</c:v>
                </c:pt>
                <c:pt idx="358">
                  <c:v>0.62482787221396996</c:v>
                </c:pt>
                <c:pt idx="359">
                  <c:v>0.62657320146596429</c:v>
                </c:pt>
                <c:pt idx="360">
                  <c:v>0.62831853071795862</c:v>
                </c:pt>
                <c:pt idx="361">
                  <c:v>0.63006385996995296</c:v>
                </c:pt>
                <c:pt idx="362">
                  <c:v>0.63180918922194729</c:v>
                </c:pt>
                <c:pt idx="363">
                  <c:v>0.63355451847394151</c:v>
                </c:pt>
                <c:pt idx="364">
                  <c:v>0.63529984772593595</c:v>
                </c:pt>
                <c:pt idx="365">
                  <c:v>0.63704517697793028</c:v>
                </c:pt>
                <c:pt idx="366">
                  <c:v>0.63879050622992462</c:v>
                </c:pt>
                <c:pt idx="367">
                  <c:v>0.64053583548191895</c:v>
                </c:pt>
                <c:pt idx="368">
                  <c:v>0.64228116473391339</c:v>
                </c:pt>
                <c:pt idx="369">
                  <c:v>0.64402649398590761</c:v>
                </c:pt>
                <c:pt idx="370">
                  <c:v>0.64577182323790194</c:v>
                </c:pt>
                <c:pt idx="371">
                  <c:v>0.64751715248989627</c:v>
                </c:pt>
                <c:pt idx="372">
                  <c:v>0.64926248174189061</c:v>
                </c:pt>
                <c:pt idx="373">
                  <c:v>0.65100781099388483</c:v>
                </c:pt>
                <c:pt idx="374">
                  <c:v>0.65275314024587938</c:v>
                </c:pt>
                <c:pt idx="375">
                  <c:v>0.6544984694978736</c:v>
                </c:pt>
                <c:pt idx="376">
                  <c:v>0.65624379874986782</c:v>
                </c:pt>
                <c:pt idx="377">
                  <c:v>0.65798912800186227</c:v>
                </c:pt>
                <c:pt idx="378">
                  <c:v>0.65973445725385649</c:v>
                </c:pt>
                <c:pt idx="379">
                  <c:v>0.66147978650585082</c:v>
                </c:pt>
                <c:pt idx="380">
                  <c:v>0.66322511575784515</c:v>
                </c:pt>
                <c:pt idx="381">
                  <c:v>0.66497044500983959</c:v>
                </c:pt>
                <c:pt idx="382">
                  <c:v>0.66671577426183382</c:v>
                </c:pt>
                <c:pt idx="383">
                  <c:v>0.66846110351382815</c:v>
                </c:pt>
                <c:pt idx="384">
                  <c:v>0.67020643276582248</c:v>
                </c:pt>
                <c:pt idx="385">
                  <c:v>0.67195176201781692</c:v>
                </c:pt>
                <c:pt idx="386">
                  <c:v>0.67369709126981125</c:v>
                </c:pt>
                <c:pt idx="387">
                  <c:v>0.67544242052180559</c:v>
                </c:pt>
                <c:pt idx="388">
                  <c:v>0.67718774977379981</c:v>
                </c:pt>
                <c:pt idx="389">
                  <c:v>0.67893307902579414</c:v>
                </c:pt>
                <c:pt idx="390">
                  <c:v>0.68067840827778847</c:v>
                </c:pt>
                <c:pt idx="391">
                  <c:v>0.6824237375297828</c:v>
                </c:pt>
                <c:pt idx="392">
                  <c:v>0.68416906678177725</c:v>
                </c:pt>
                <c:pt idx="393">
                  <c:v>0.68591439603377158</c:v>
                </c:pt>
                <c:pt idx="394">
                  <c:v>0.6876597252857658</c:v>
                </c:pt>
                <c:pt idx="395">
                  <c:v>0.68940505453776013</c:v>
                </c:pt>
                <c:pt idx="396">
                  <c:v>0.69115038378975457</c:v>
                </c:pt>
                <c:pt idx="397">
                  <c:v>0.69289571304174891</c:v>
                </c:pt>
                <c:pt idx="398">
                  <c:v>0.69464104229374313</c:v>
                </c:pt>
                <c:pt idx="399">
                  <c:v>0.69638637154573757</c:v>
                </c:pt>
                <c:pt idx="400">
                  <c:v>0.69813170079773179</c:v>
                </c:pt>
                <c:pt idx="401">
                  <c:v>0.69987703004972601</c:v>
                </c:pt>
                <c:pt idx="402">
                  <c:v>0.70162235930172046</c:v>
                </c:pt>
                <c:pt idx="403">
                  <c:v>0.7033676885537149</c:v>
                </c:pt>
                <c:pt idx="404">
                  <c:v>0.70511301780570912</c:v>
                </c:pt>
                <c:pt idx="405">
                  <c:v>0.70685834705770345</c:v>
                </c:pt>
                <c:pt idx="406">
                  <c:v>0.70860367630969767</c:v>
                </c:pt>
                <c:pt idx="407">
                  <c:v>0.71034900556169223</c:v>
                </c:pt>
                <c:pt idx="408">
                  <c:v>0.71209433481368634</c:v>
                </c:pt>
                <c:pt idx="409">
                  <c:v>0.71383966406568078</c:v>
                </c:pt>
                <c:pt idx="410">
                  <c:v>0.715584993317675</c:v>
                </c:pt>
                <c:pt idx="411">
                  <c:v>0.71733032256966944</c:v>
                </c:pt>
                <c:pt idx="412">
                  <c:v>0.71907565182166389</c:v>
                </c:pt>
                <c:pt idx="413">
                  <c:v>0.720820981073658</c:v>
                </c:pt>
                <c:pt idx="414">
                  <c:v>0.72256631032565244</c:v>
                </c:pt>
                <c:pt idx="415">
                  <c:v>0.72431163957764677</c:v>
                </c:pt>
                <c:pt idx="416">
                  <c:v>0.7260569688296411</c:v>
                </c:pt>
                <c:pt idx="417">
                  <c:v>0.72780229808163555</c:v>
                </c:pt>
                <c:pt idx="418">
                  <c:v>0.72954762733362977</c:v>
                </c:pt>
                <c:pt idx="419">
                  <c:v>0.73129295658562421</c:v>
                </c:pt>
                <c:pt idx="420">
                  <c:v>0.73303828583761843</c:v>
                </c:pt>
                <c:pt idx="421">
                  <c:v>0.73478361508961265</c:v>
                </c:pt>
                <c:pt idx="422">
                  <c:v>0.73652894434160698</c:v>
                </c:pt>
                <c:pt idx="423">
                  <c:v>0.73827427359360154</c:v>
                </c:pt>
                <c:pt idx="424">
                  <c:v>0.74001960284559576</c:v>
                </c:pt>
                <c:pt idx="425">
                  <c:v>0.74176493209759009</c:v>
                </c:pt>
                <c:pt idx="426">
                  <c:v>0.74351026134958431</c:v>
                </c:pt>
                <c:pt idx="427">
                  <c:v>0.74525559060157853</c:v>
                </c:pt>
                <c:pt idx="428">
                  <c:v>0.7470009198535732</c:v>
                </c:pt>
                <c:pt idx="429">
                  <c:v>0.74874624910556742</c:v>
                </c:pt>
                <c:pt idx="430">
                  <c:v>0.75049157835756164</c:v>
                </c:pt>
                <c:pt idx="431">
                  <c:v>0.75223690760955597</c:v>
                </c:pt>
                <c:pt idx="432">
                  <c:v>0.7539822368615503</c:v>
                </c:pt>
                <c:pt idx="433">
                  <c:v>0.75572756611354464</c:v>
                </c:pt>
                <c:pt idx="434">
                  <c:v>0.75747289536553908</c:v>
                </c:pt>
                <c:pt idx="435">
                  <c:v>0.7592182246175333</c:v>
                </c:pt>
                <c:pt idx="436">
                  <c:v>0.76096355386952774</c:v>
                </c:pt>
                <c:pt idx="437">
                  <c:v>0.76270888312152207</c:v>
                </c:pt>
                <c:pt idx="438">
                  <c:v>0.76445421237351618</c:v>
                </c:pt>
                <c:pt idx="439">
                  <c:v>0.76619954162551063</c:v>
                </c:pt>
                <c:pt idx="440">
                  <c:v>0.76794487087750496</c:v>
                </c:pt>
                <c:pt idx="441">
                  <c:v>0.76969020012949929</c:v>
                </c:pt>
                <c:pt idx="442">
                  <c:v>0.77143552938149373</c:v>
                </c:pt>
                <c:pt idx="443">
                  <c:v>0.77318085863348784</c:v>
                </c:pt>
                <c:pt idx="444">
                  <c:v>0.7749261878854824</c:v>
                </c:pt>
                <c:pt idx="445">
                  <c:v>0.77667151713747673</c:v>
                </c:pt>
                <c:pt idx="446">
                  <c:v>0.77841684638947095</c:v>
                </c:pt>
                <c:pt idx="447">
                  <c:v>0.78016217564146517</c:v>
                </c:pt>
                <c:pt idx="448">
                  <c:v>0.78190750489345962</c:v>
                </c:pt>
                <c:pt idx="449">
                  <c:v>0.78365283414545406</c:v>
                </c:pt>
                <c:pt idx="450">
                  <c:v>0.78539816339744828</c:v>
                </c:pt>
                <c:pt idx="451">
                  <c:v>0.78714349264944261</c:v>
                </c:pt>
                <c:pt idx="452">
                  <c:v>0.78888882190143683</c:v>
                </c:pt>
                <c:pt idx="453">
                  <c:v>0.79063415115343139</c:v>
                </c:pt>
                <c:pt idx="454">
                  <c:v>0.7923794804054255</c:v>
                </c:pt>
                <c:pt idx="455">
                  <c:v>0.79412480965741994</c:v>
                </c:pt>
                <c:pt idx="456">
                  <c:v>0.79587013890941416</c:v>
                </c:pt>
                <c:pt idx="457">
                  <c:v>0.7976154681614086</c:v>
                </c:pt>
                <c:pt idx="458">
                  <c:v>0.79936079741340282</c:v>
                </c:pt>
                <c:pt idx="459">
                  <c:v>0.80110612666539727</c:v>
                </c:pt>
                <c:pt idx="460">
                  <c:v>0.80285145591739149</c:v>
                </c:pt>
                <c:pt idx="461">
                  <c:v>0.80459678516938593</c:v>
                </c:pt>
                <c:pt idx="462">
                  <c:v>0.80634211442138026</c:v>
                </c:pt>
                <c:pt idx="463">
                  <c:v>0.80808744367337448</c:v>
                </c:pt>
                <c:pt idx="464">
                  <c:v>0.80983277292536893</c:v>
                </c:pt>
                <c:pt idx="465">
                  <c:v>0.81157810217736315</c:v>
                </c:pt>
                <c:pt idx="466">
                  <c:v>0.81332343142935759</c:v>
                </c:pt>
                <c:pt idx="467">
                  <c:v>0.81506876068135203</c:v>
                </c:pt>
                <c:pt idx="468">
                  <c:v>0.81681408993334614</c:v>
                </c:pt>
                <c:pt idx="469">
                  <c:v>0.8185594191853407</c:v>
                </c:pt>
                <c:pt idx="470">
                  <c:v>0.82030474843733492</c:v>
                </c:pt>
                <c:pt idx="471">
                  <c:v>0.82205007768932914</c:v>
                </c:pt>
                <c:pt idx="472">
                  <c:v>0.82379540694132347</c:v>
                </c:pt>
                <c:pt idx="473">
                  <c:v>0.82554073619331791</c:v>
                </c:pt>
                <c:pt idx="474">
                  <c:v>0.82728606544531225</c:v>
                </c:pt>
                <c:pt idx="475">
                  <c:v>0.82903139469730658</c:v>
                </c:pt>
                <c:pt idx="476">
                  <c:v>0.8307767239493008</c:v>
                </c:pt>
                <c:pt idx="477">
                  <c:v>0.83252205320129502</c:v>
                </c:pt>
                <c:pt idx="478">
                  <c:v>0.83426738245328969</c:v>
                </c:pt>
                <c:pt idx="479">
                  <c:v>0.8360127117052838</c:v>
                </c:pt>
                <c:pt idx="480">
                  <c:v>0.83775804095727813</c:v>
                </c:pt>
                <c:pt idx="481">
                  <c:v>0.83950337020927246</c:v>
                </c:pt>
                <c:pt idx="482">
                  <c:v>0.84124869946126679</c:v>
                </c:pt>
                <c:pt idx="483">
                  <c:v>0.84299402871326112</c:v>
                </c:pt>
                <c:pt idx="484">
                  <c:v>0.84473935796525557</c:v>
                </c:pt>
                <c:pt idx="485">
                  <c:v>0.84648468721724979</c:v>
                </c:pt>
                <c:pt idx="486">
                  <c:v>0.84823001646924423</c:v>
                </c:pt>
                <c:pt idx="487">
                  <c:v>0.84997534572123845</c:v>
                </c:pt>
                <c:pt idx="488">
                  <c:v>0.85172067497323267</c:v>
                </c:pt>
                <c:pt idx="489">
                  <c:v>0.85346600422522712</c:v>
                </c:pt>
                <c:pt idx="490">
                  <c:v>0.85521133347722145</c:v>
                </c:pt>
                <c:pt idx="491">
                  <c:v>0.85695666272921578</c:v>
                </c:pt>
                <c:pt idx="492">
                  <c:v>0.85870199198121022</c:v>
                </c:pt>
                <c:pt idx="493">
                  <c:v>0.86044732123320433</c:v>
                </c:pt>
                <c:pt idx="494">
                  <c:v>0.86219265048519889</c:v>
                </c:pt>
                <c:pt idx="495">
                  <c:v>0.86393797973719322</c:v>
                </c:pt>
                <c:pt idx="496">
                  <c:v>0.86568330898918744</c:v>
                </c:pt>
                <c:pt idx="497">
                  <c:v>0.86742863824118166</c:v>
                </c:pt>
                <c:pt idx="498">
                  <c:v>0.8691739674931761</c:v>
                </c:pt>
                <c:pt idx="499">
                  <c:v>0.87091929674517055</c:v>
                </c:pt>
                <c:pt idx="500">
                  <c:v>0.87266462599716477</c:v>
                </c:pt>
                <c:pt idx="501">
                  <c:v>0.8744099552491591</c:v>
                </c:pt>
                <c:pt idx="502">
                  <c:v>0.87615528450115332</c:v>
                </c:pt>
                <c:pt idx="503">
                  <c:v>0.87790061375314787</c:v>
                </c:pt>
                <c:pt idx="504">
                  <c:v>0.87964594300514198</c:v>
                </c:pt>
                <c:pt idx="505">
                  <c:v>0.88139127225713643</c:v>
                </c:pt>
                <c:pt idx="506">
                  <c:v>0.88313660150913065</c:v>
                </c:pt>
                <c:pt idx="507">
                  <c:v>0.88488193076112509</c:v>
                </c:pt>
                <c:pt idx="508">
                  <c:v>0.88662726001311931</c:v>
                </c:pt>
                <c:pt idx="509">
                  <c:v>0.88837258926511375</c:v>
                </c:pt>
                <c:pt idx="510">
                  <c:v>0.89011791851710798</c:v>
                </c:pt>
                <c:pt idx="511">
                  <c:v>0.89186324776910242</c:v>
                </c:pt>
                <c:pt idx="512">
                  <c:v>0.89360857702109675</c:v>
                </c:pt>
                <c:pt idx="513">
                  <c:v>0.89535390627309097</c:v>
                </c:pt>
                <c:pt idx="514">
                  <c:v>0.89709923552508541</c:v>
                </c:pt>
                <c:pt idx="515">
                  <c:v>0.89884456477707964</c:v>
                </c:pt>
                <c:pt idx="516">
                  <c:v>0.90058989402907408</c:v>
                </c:pt>
                <c:pt idx="517">
                  <c:v>0.90233522328106852</c:v>
                </c:pt>
                <c:pt idx="518">
                  <c:v>0.90408055253306263</c:v>
                </c:pt>
                <c:pt idx="519">
                  <c:v>0.90582588178505719</c:v>
                </c:pt>
                <c:pt idx="520">
                  <c:v>0.90757121103705141</c:v>
                </c:pt>
                <c:pt idx="521">
                  <c:v>0.90931654028904574</c:v>
                </c:pt>
                <c:pt idx="522">
                  <c:v>0.91106186954103996</c:v>
                </c:pt>
                <c:pt idx="523">
                  <c:v>0.9128071987930344</c:v>
                </c:pt>
                <c:pt idx="524">
                  <c:v>0.91455252804502873</c:v>
                </c:pt>
                <c:pt idx="525">
                  <c:v>0.91629785729702307</c:v>
                </c:pt>
                <c:pt idx="526">
                  <c:v>0.91804318654901718</c:v>
                </c:pt>
                <c:pt idx="527">
                  <c:v>0.91978851580101151</c:v>
                </c:pt>
                <c:pt idx="528">
                  <c:v>0.92153384505300595</c:v>
                </c:pt>
                <c:pt idx="529">
                  <c:v>0.92327917430500028</c:v>
                </c:pt>
                <c:pt idx="530">
                  <c:v>0.92502450355699462</c:v>
                </c:pt>
                <c:pt idx="531">
                  <c:v>0.92676983280898895</c:v>
                </c:pt>
                <c:pt idx="532">
                  <c:v>0.92851516206098339</c:v>
                </c:pt>
                <c:pt idx="533">
                  <c:v>0.93026049131297761</c:v>
                </c:pt>
                <c:pt idx="534">
                  <c:v>0.93200582056497183</c:v>
                </c:pt>
                <c:pt idx="535">
                  <c:v>0.93375114981696627</c:v>
                </c:pt>
                <c:pt idx="536">
                  <c:v>0.93549647906896072</c:v>
                </c:pt>
                <c:pt idx="537">
                  <c:v>0.93724180832095494</c:v>
                </c:pt>
                <c:pt idx="538">
                  <c:v>0.93898713757294927</c:v>
                </c:pt>
                <c:pt idx="539">
                  <c:v>0.9407324668249436</c:v>
                </c:pt>
                <c:pt idx="540">
                  <c:v>0.94247779607693793</c:v>
                </c:pt>
                <c:pt idx="541">
                  <c:v>0.94422312532893227</c:v>
                </c:pt>
                <c:pt idx="542">
                  <c:v>0.9459684545809266</c:v>
                </c:pt>
                <c:pt idx="543">
                  <c:v>0.94771378383292082</c:v>
                </c:pt>
                <c:pt idx="544">
                  <c:v>0.94945911308491537</c:v>
                </c:pt>
                <c:pt idx="545">
                  <c:v>0.95120444233690948</c:v>
                </c:pt>
                <c:pt idx="546">
                  <c:v>0.95294977158890393</c:v>
                </c:pt>
                <c:pt idx="547">
                  <c:v>0.95469510084089815</c:v>
                </c:pt>
                <c:pt idx="548">
                  <c:v>0.95644043009289259</c:v>
                </c:pt>
                <c:pt idx="549">
                  <c:v>0.95818575934488703</c:v>
                </c:pt>
                <c:pt idx="550">
                  <c:v>0.95993108859688125</c:v>
                </c:pt>
                <c:pt idx="551">
                  <c:v>0.96167641784887536</c:v>
                </c:pt>
                <c:pt idx="552">
                  <c:v>0.96342174710086981</c:v>
                </c:pt>
                <c:pt idx="553">
                  <c:v>0.96516707635286425</c:v>
                </c:pt>
                <c:pt idx="554">
                  <c:v>0.96691240560485847</c:v>
                </c:pt>
                <c:pt idx="555">
                  <c:v>0.96865773485685291</c:v>
                </c:pt>
                <c:pt idx="556">
                  <c:v>0.97040306410884714</c:v>
                </c:pt>
                <c:pt idx="557">
                  <c:v>0.97214839336084158</c:v>
                </c:pt>
                <c:pt idx="558">
                  <c:v>0.9738937226128358</c:v>
                </c:pt>
                <c:pt idx="559">
                  <c:v>0.97563905186483013</c:v>
                </c:pt>
                <c:pt idx="560">
                  <c:v>0.97738438111682457</c:v>
                </c:pt>
                <c:pt idx="561">
                  <c:v>0.97912971036881891</c:v>
                </c:pt>
                <c:pt idx="562">
                  <c:v>0.98087503962081324</c:v>
                </c:pt>
                <c:pt idx="563">
                  <c:v>0.98262036887280746</c:v>
                </c:pt>
                <c:pt idx="564">
                  <c:v>0.9843656981248019</c:v>
                </c:pt>
                <c:pt idx="565">
                  <c:v>0.98611102737679612</c:v>
                </c:pt>
                <c:pt idx="566">
                  <c:v>0.98785635662879057</c:v>
                </c:pt>
                <c:pt idx="567">
                  <c:v>0.98960168588078479</c:v>
                </c:pt>
                <c:pt idx="568">
                  <c:v>0.99134701513277912</c:v>
                </c:pt>
                <c:pt idx="569">
                  <c:v>0.99309234438477367</c:v>
                </c:pt>
                <c:pt idx="570">
                  <c:v>0.99483767363676778</c:v>
                </c:pt>
                <c:pt idx="571">
                  <c:v>0.99658300288876223</c:v>
                </c:pt>
                <c:pt idx="572">
                  <c:v>0.99832833214075645</c:v>
                </c:pt>
                <c:pt idx="573">
                  <c:v>1.0000736613927508</c:v>
                </c:pt>
                <c:pt idx="574">
                  <c:v>1.0018189906447452</c:v>
                </c:pt>
                <c:pt idx="575">
                  <c:v>1.0035643198967394</c:v>
                </c:pt>
                <c:pt idx="576">
                  <c:v>1.0053096491487337</c:v>
                </c:pt>
                <c:pt idx="577">
                  <c:v>1.0070549784007281</c:v>
                </c:pt>
                <c:pt idx="578">
                  <c:v>1.0088003076527225</c:v>
                </c:pt>
                <c:pt idx="579">
                  <c:v>1.0105456369047168</c:v>
                </c:pt>
                <c:pt idx="580">
                  <c:v>1.0122909661567112</c:v>
                </c:pt>
                <c:pt idx="581">
                  <c:v>1.0140362954087054</c:v>
                </c:pt>
                <c:pt idx="582">
                  <c:v>1.0157816246606999</c:v>
                </c:pt>
                <c:pt idx="583">
                  <c:v>1.0175269539126941</c:v>
                </c:pt>
                <c:pt idx="584">
                  <c:v>1.0192722831646883</c:v>
                </c:pt>
                <c:pt idx="585">
                  <c:v>1.0210176124166828</c:v>
                </c:pt>
                <c:pt idx="586">
                  <c:v>1.0227629416686772</c:v>
                </c:pt>
                <c:pt idx="587">
                  <c:v>1.0245082709206714</c:v>
                </c:pt>
                <c:pt idx="588">
                  <c:v>1.0262536001726656</c:v>
                </c:pt>
                <c:pt idx="589">
                  <c:v>1.0279989294246601</c:v>
                </c:pt>
                <c:pt idx="590">
                  <c:v>1.0297442586766543</c:v>
                </c:pt>
                <c:pt idx="591">
                  <c:v>1.0314895879286488</c:v>
                </c:pt>
                <c:pt idx="592">
                  <c:v>1.033234917180643</c:v>
                </c:pt>
                <c:pt idx="593">
                  <c:v>1.0349802464326374</c:v>
                </c:pt>
                <c:pt idx="594">
                  <c:v>1.0367255756846319</c:v>
                </c:pt>
                <c:pt idx="595">
                  <c:v>1.0384709049366261</c:v>
                </c:pt>
                <c:pt idx="596">
                  <c:v>1.0402162341886205</c:v>
                </c:pt>
                <c:pt idx="597">
                  <c:v>1.0419615634406147</c:v>
                </c:pt>
                <c:pt idx="598">
                  <c:v>1.0437068926926092</c:v>
                </c:pt>
                <c:pt idx="599">
                  <c:v>1.0454522219446036</c:v>
                </c:pt>
                <c:pt idx="600">
                  <c:v>1.0471975511965976</c:v>
                </c:pt>
                <c:pt idx="601">
                  <c:v>1.0489428804485919</c:v>
                </c:pt>
                <c:pt idx="602">
                  <c:v>1.0506882097005863</c:v>
                </c:pt>
                <c:pt idx="603">
                  <c:v>1.0524335389525807</c:v>
                </c:pt>
                <c:pt idx="604">
                  <c:v>1.054178868204575</c:v>
                </c:pt>
                <c:pt idx="605">
                  <c:v>1.0559241974565694</c:v>
                </c:pt>
                <c:pt idx="606">
                  <c:v>1.0576695267085634</c:v>
                </c:pt>
                <c:pt idx="607">
                  <c:v>1.0594148559605581</c:v>
                </c:pt>
                <c:pt idx="608">
                  <c:v>1.0611601852125523</c:v>
                </c:pt>
                <c:pt idx="609">
                  <c:v>1.0629055144645465</c:v>
                </c:pt>
                <c:pt idx="610">
                  <c:v>1.064650843716541</c:v>
                </c:pt>
                <c:pt idx="611">
                  <c:v>1.0663961729685352</c:v>
                </c:pt>
                <c:pt idx="612">
                  <c:v>1.0681415022205296</c:v>
                </c:pt>
                <c:pt idx="613">
                  <c:v>1.0698868314725241</c:v>
                </c:pt>
                <c:pt idx="614">
                  <c:v>1.0716321607245183</c:v>
                </c:pt>
                <c:pt idx="615">
                  <c:v>1.0733774899765127</c:v>
                </c:pt>
                <c:pt idx="616">
                  <c:v>1.0751228192285072</c:v>
                </c:pt>
                <c:pt idx="617">
                  <c:v>1.0768681484805014</c:v>
                </c:pt>
                <c:pt idx="618">
                  <c:v>1.0786134777324956</c:v>
                </c:pt>
                <c:pt idx="619">
                  <c:v>1.08035880698449</c:v>
                </c:pt>
                <c:pt idx="620">
                  <c:v>1.0821041362364843</c:v>
                </c:pt>
                <c:pt idx="621">
                  <c:v>1.0838494654884787</c:v>
                </c:pt>
                <c:pt idx="622">
                  <c:v>1.0855947947404729</c:v>
                </c:pt>
                <c:pt idx="623">
                  <c:v>1.0873401239924674</c:v>
                </c:pt>
                <c:pt idx="624">
                  <c:v>1.0890854532444618</c:v>
                </c:pt>
                <c:pt idx="625">
                  <c:v>1.0908307824964558</c:v>
                </c:pt>
                <c:pt idx="626">
                  <c:v>1.09257611174845</c:v>
                </c:pt>
                <c:pt idx="627">
                  <c:v>1.0943214410004445</c:v>
                </c:pt>
                <c:pt idx="628">
                  <c:v>1.0960667702524389</c:v>
                </c:pt>
                <c:pt idx="629">
                  <c:v>1.0978120995044331</c:v>
                </c:pt>
                <c:pt idx="630">
                  <c:v>1.0995574287564276</c:v>
                </c:pt>
                <c:pt idx="631">
                  <c:v>1.1013027580084218</c:v>
                </c:pt>
                <c:pt idx="632">
                  <c:v>1.1030480872604163</c:v>
                </c:pt>
                <c:pt idx="633">
                  <c:v>1.1047934165124107</c:v>
                </c:pt>
                <c:pt idx="634">
                  <c:v>1.1065387457644049</c:v>
                </c:pt>
                <c:pt idx="635">
                  <c:v>1.1082840750163994</c:v>
                </c:pt>
                <c:pt idx="636">
                  <c:v>1.1100294042683936</c:v>
                </c:pt>
                <c:pt idx="637">
                  <c:v>1.111774733520388</c:v>
                </c:pt>
                <c:pt idx="638">
                  <c:v>1.1135200627723822</c:v>
                </c:pt>
                <c:pt idx="639">
                  <c:v>1.1152653920243765</c:v>
                </c:pt>
                <c:pt idx="640">
                  <c:v>1.1170107212763709</c:v>
                </c:pt>
                <c:pt idx="641">
                  <c:v>1.1187560505283651</c:v>
                </c:pt>
                <c:pt idx="642">
                  <c:v>1.1205013797803596</c:v>
                </c:pt>
                <c:pt idx="643">
                  <c:v>1.1222467090323538</c:v>
                </c:pt>
                <c:pt idx="644">
                  <c:v>1.1239920382843482</c:v>
                </c:pt>
                <c:pt idx="645">
                  <c:v>1.1257373675363425</c:v>
                </c:pt>
                <c:pt idx="646">
                  <c:v>1.1274826967883367</c:v>
                </c:pt>
                <c:pt idx="647">
                  <c:v>1.1292280260403311</c:v>
                </c:pt>
                <c:pt idx="648">
                  <c:v>1.1309733552923258</c:v>
                </c:pt>
                <c:pt idx="649">
                  <c:v>1.13271868454432</c:v>
                </c:pt>
                <c:pt idx="650">
                  <c:v>1.1344640137963142</c:v>
                </c:pt>
                <c:pt idx="651">
                  <c:v>1.1362093430483085</c:v>
                </c:pt>
                <c:pt idx="652">
                  <c:v>1.1379546723003027</c:v>
                </c:pt>
                <c:pt idx="653">
                  <c:v>1.1397000015522971</c:v>
                </c:pt>
                <c:pt idx="654">
                  <c:v>1.1414453308042916</c:v>
                </c:pt>
                <c:pt idx="655">
                  <c:v>1.143190660056286</c:v>
                </c:pt>
                <c:pt idx="656">
                  <c:v>1.14493598930828</c:v>
                </c:pt>
                <c:pt idx="657">
                  <c:v>1.1466813185602747</c:v>
                </c:pt>
                <c:pt idx="658">
                  <c:v>1.1484266478122689</c:v>
                </c:pt>
                <c:pt idx="659">
                  <c:v>1.1501719770642633</c:v>
                </c:pt>
                <c:pt idx="660">
                  <c:v>1.1519173063162575</c:v>
                </c:pt>
                <c:pt idx="661">
                  <c:v>1.153662635568252</c:v>
                </c:pt>
                <c:pt idx="662">
                  <c:v>1.1554079648202462</c:v>
                </c:pt>
                <c:pt idx="663">
                  <c:v>1.1571532940722404</c:v>
                </c:pt>
                <c:pt idx="664">
                  <c:v>1.1588986233242347</c:v>
                </c:pt>
                <c:pt idx="665">
                  <c:v>1.1606439525762291</c:v>
                </c:pt>
                <c:pt idx="666">
                  <c:v>1.1623892818282233</c:v>
                </c:pt>
                <c:pt idx="667">
                  <c:v>1.1641346110802178</c:v>
                </c:pt>
                <c:pt idx="668">
                  <c:v>1.165879940332212</c:v>
                </c:pt>
                <c:pt idx="669">
                  <c:v>1.1676252695842064</c:v>
                </c:pt>
                <c:pt idx="670">
                  <c:v>1.1693705988362006</c:v>
                </c:pt>
                <c:pt idx="671">
                  <c:v>1.1711159280881951</c:v>
                </c:pt>
                <c:pt idx="672">
                  <c:v>1.1728612573401895</c:v>
                </c:pt>
                <c:pt idx="673">
                  <c:v>1.174606586592184</c:v>
                </c:pt>
                <c:pt idx="674">
                  <c:v>1.1763519158441782</c:v>
                </c:pt>
                <c:pt idx="675">
                  <c:v>1.1780972450961724</c:v>
                </c:pt>
                <c:pt idx="676">
                  <c:v>1.1798425743481666</c:v>
                </c:pt>
                <c:pt idx="677">
                  <c:v>1.1815879036001609</c:v>
                </c:pt>
                <c:pt idx="678">
                  <c:v>1.1833332328521553</c:v>
                </c:pt>
                <c:pt idx="679">
                  <c:v>1.18507856210415</c:v>
                </c:pt>
                <c:pt idx="680">
                  <c:v>1.1868238913561442</c:v>
                </c:pt>
                <c:pt idx="681">
                  <c:v>1.1885692206081382</c:v>
                </c:pt>
                <c:pt idx="682">
                  <c:v>1.1903145498601329</c:v>
                </c:pt>
                <c:pt idx="683">
                  <c:v>1.1920598791121269</c:v>
                </c:pt>
                <c:pt idx="684">
                  <c:v>1.1938052083641215</c:v>
                </c:pt>
                <c:pt idx="685">
                  <c:v>1.1955505376161157</c:v>
                </c:pt>
                <c:pt idx="686">
                  <c:v>1.1972958668681102</c:v>
                </c:pt>
                <c:pt idx="687">
                  <c:v>1.1990411961201044</c:v>
                </c:pt>
                <c:pt idx="688">
                  <c:v>1.2007865253720986</c:v>
                </c:pt>
                <c:pt idx="689">
                  <c:v>1.2025318546240928</c:v>
                </c:pt>
                <c:pt idx="690">
                  <c:v>1.2042771838760873</c:v>
                </c:pt>
                <c:pt idx="691">
                  <c:v>1.2060225131280817</c:v>
                </c:pt>
                <c:pt idx="692">
                  <c:v>1.207767842380076</c:v>
                </c:pt>
                <c:pt idx="693">
                  <c:v>1.2095131716320704</c:v>
                </c:pt>
                <c:pt idx="694">
                  <c:v>1.2112585008840648</c:v>
                </c:pt>
                <c:pt idx="695">
                  <c:v>1.2130038301360591</c:v>
                </c:pt>
                <c:pt idx="696">
                  <c:v>1.2147491593880533</c:v>
                </c:pt>
                <c:pt idx="697">
                  <c:v>1.2164944886400477</c:v>
                </c:pt>
                <c:pt idx="698">
                  <c:v>1.2182398178920422</c:v>
                </c:pt>
                <c:pt idx="699">
                  <c:v>1.2199851471440364</c:v>
                </c:pt>
                <c:pt idx="700">
                  <c:v>1.2217304763960306</c:v>
                </c:pt>
                <c:pt idx="701">
                  <c:v>1.2234758056480248</c:v>
                </c:pt>
                <c:pt idx="702">
                  <c:v>1.225221134900019</c:v>
                </c:pt>
                <c:pt idx="703">
                  <c:v>1.2269664641520135</c:v>
                </c:pt>
                <c:pt idx="704">
                  <c:v>1.2287117934040082</c:v>
                </c:pt>
                <c:pt idx="705">
                  <c:v>1.2304571226560022</c:v>
                </c:pt>
                <c:pt idx="706">
                  <c:v>1.2322024519079966</c:v>
                </c:pt>
                <c:pt idx="707">
                  <c:v>1.233947781159991</c:v>
                </c:pt>
                <c:pt idx="708">
                  <c:v>1.2356931104119853</c:v>
                </c:pt>
                <c:pt idx="709">
                  <c:v>1.2374384396639797</c:v>
                </c:pt>
                <c:pt idx="710">
                  <c:v>1.2391837689159739</c:v>
                </c:pt>
                <c:pt idx="711">
                  <c:v>1.2409290981679684</c:v>
                </c:pt>
                <c:pt idx="712">
                  <c:v>1.2426744274199626</c:v>
                </c:pt>
                <c:pt idx="713">
                  <c:v>1.244419756671957</c:v>
                </c:pt>
                <c:pt idx="714">
                  <c:v>1.246165085923951</c:v>
                </c:pt>
                <c:pt idx="715">
                  <c:v>1.2479104151759457</c:v>
                </c:pt>
                <c:pt idx="716">
                  <c:v>1.2496557444279399</c:v>
                </c:pt>
                <c:pt idx="717">
                  <c:v>1.2514010736799344</c:v>
                </c:pt>
                <c:pt idx="718">
                  <c:v>1.2531464029319286</c:v>
                </c:pt>
                <c:pt idx="719">
                  <c:v>1.254891732183923</c:v>
                </c:pt>
                <c:pt idx="720">
                  <c:v>1.2566370614359172</c:v>
                </c:pt>
                <c:pt idx="721">
                  <c:v>1.2583823906879115</c:v>
                </c:pt>
                <c:pt idx="722">
                  <c:v>1.2601277199399059</c:v>
                </c:pt>
                <c:pt idx="723">
                  <c:v>1.2618730491919006</c:v>
                </c:pt>
                <c:pt idx="724">
                  <c:v>1.2636183784438946</c:v>
                </c:pt>
                <c:pt idx="725">
                  <c:v>1.2653637076958888</c:v>
                </c:pt>
                <c:pt idx="726">
                  <c:v>1.267109036947883</c:v>
                </c:pt>
                <c:pt idx="727">
                  <c:v>1.2688543661998775</c:v>
                </c:pt>
                <c:pt idx="728">
                  <c:v>1.2705996954518719</c:v>
                </c:pt>
                <c:pt idx="729">
                  <c:v>1.2723450247038663</c:v>
                </c:pt>
                <c:pt idx="730">
                  <c:v>1.2740903539558606</c:v>
                </c:pt>
                <c:pt idx="731">
                  <c:v>1.2758356832078548</c:v>
                </c:pt>
                <c:pt idx="732">
                  <c:v>1.2775810124598492</c:v>
                </c:pt>
                <c:pt idx="733">
                  <c:v>1.2793263417118435</c:v>
                </c:pt>
                <c:pt idx="734">
                  <c:v>1.2810716709638379</c:v>
                </c:pt>
                <c:pt idx="735">
                  <c:v>1.2828170002158323</c:v>
                </c:pt>
                <c:pt idx="736">
                  <c:v>1.2845623294678268</c:v>
                </c:pt>
                <c:pt idx="737">
                  <c:v>1.286307658719821</c:v>
                </c:pt>
                <c:pt idx="738">
                  <c:v>1.2880529879718152</c:v>
                </c:pt>
                <c:pt idx="739">
                  <c:v>1.2897983172238092</c:v>
                </c:pt>
                <c:pt idx="740">
                  <c:v>1.2915436464758039</c:v>
                </c:pt>
                <c:pt idx="741">
                  <c:v>1.2932889757277981</c:v>
                </c:pt>
                <c:pt idx="742">
                  <c:v>1.2950343049797925</c:v>
                </c:pt>
                <c:pt idx="743">
                  <c:v>1.2967796342317868</c:v>
                </c:pt>
                <c:pt idx="744">
                  <c:v>1.2985249634837812</c:v>
                </c:pt>
                <c:pt idx="745">
                  <c:v>1.3002702927357754</c:v>
                </c:pt>
                <c:pt idx="746">
                  <c:v>1.3020156219877697</c:v>
                </c:pt>
                <c:pt idx="747">
                  <c:v>1.3037609512397641</c:v>
                </c:pt>
                <c:pt idx="748">
                  <c:v>1.3055062804917588</c:v>
                </c:pt>
                <c:pt idx="749">
                  <c:v>1.3072516097437528</c:v>
                </c:pt>
                <c:pt idx="750">
                  <c:v>1.3089969389957472</c:v>
                </c:pt>
                <c:pt idx="751">
                  <c:v>1.3107422682477414</c:v>
                </c:pt>
                <c:pt idx="752">
                  <c:v>1.3124875974997356</c:v>
                </c:pt>
                <c:pt idx="753">
                  <c:v>1.3142329267517301</c:v>
                </c:pt>
                <c:pt idx="754">
                  <c:v>1.3159782560037245</c:v>
                </c:pt>
                <c:pt idx="755">
                  <c:v>1.3177235852557188</c:v>
                </c:pt>
                <c:pt idx="756">
                  <c:v>1.319468914507713</c:v>
                </c:pt>
                <c:pt idx="757">
                  <c:v>1.3212142437597076</c:v>
                </c:pt>
                <c:pt idx="758">
                  <c:v>1.3229595730117016</c:v>
                </c:pt>
                <c:pt idx="759">
                  <c:v>1.3247049022636963</c:v>
                </c:pt>
                <c:pt idx="760">
                  <c:v>1.3264502315156903</c:v>
                </c:pt>
                <c:pt idx="761">
                  <c:v>1.328195560767685</c:v>
                </c:pt>
                <c:pt idx="762">
                  <c:v>1.3299408900196792</c:v>
                </c:pt>
                <c:pt idx="763">
                  <c:v>1.3316862192716732</c:v>
                </c:pt>
                <c:pt idx="764">
                  <c:v>1.3334315485236676</c:v>
                </c:pt>
                <c:pt idx="765">
                  <c:v>1.3351768777756621</c:v>
                </c:pt>
                <c:pt idx="766">
                  <c:v>1.3369222070276563</c:v>
                </c:pt>
                <c:pt idx="767">
                  <c:v>1.3386675362796507</c:v>
                </c:pt>
                <c:pt idx="768">
                  <c:v>1.340412865531645</c:v>
                </c:pt>
                <c:pt idx="769">
                  <c:v>1.3421581947836394</c:v>
                </c:pt>
                <c:pt idx="770">
                  <c:v>1.3439035240356338</c:v>
                </c:pt>
                <c:pt idx="771">
                  <c:v>1.3456488532876281</c:v>
                </c:pt>
                <c:pt idx="772">
                  <c:v>1.3473941825396225</c:v>
                </c:pt>
                <c:pt idx="773">
                  <c:v>1.3491395117916167</c:v>
                </c:pt>
                <c:pt idx="774">
                  <c:v>1.3508848410436112</c:v>
                </c:pt>
                <c:pt idx="775">
                  <c:v>1.3526301702956054</c:v>
                </c:pt>
                <c:pt idx="776">
                  <c:v>1.3543754995475996</c:v>
                </c:pt>
                <c:pt idx="777">
                  <c:v>1.3561208287995938</c:v>
                </c:pt>
                <c:pt idx="778">
                  <c:v>1.3578661580515883</c:v>
                </c:pt>
                <c:pt idx="779">
                  <c:v>1.3596114873035827</c:v>
                </c:pt>
                <c:pt idx="780">
                  <c:v>1.3613568165555769</c:v>
                </c:pt>
                <c:pt idx="781">
                  <c:v>1.3631021458075712</c:v>
                </c:pt>
                <c:pt idx="782">
                  <c:v>1.3648474750595656</c:v>
                </c:pt>
                <c:pt idx="783">
                  <c:v>1.3665928043115598</c:v>
                </c:pt>
                <c:pt idx="784">
                  <c:v>1.3683381335635545</c:v>
                </c:pt>
                <c:pt idx="785">
                  <c:v>1.3700834628155485</c:v>
                </c:pt>
                <c:pt idx="786">
                  <c:v>1.3718287920675432</c:v>
                </c:pt>
                <c:pt idx="787">
                  <c:v>1.3735741213195374</c:v>
                </c:pt>
                <c:pt idx="788">
                  <c:v>1.3753194505715316</c:v>
                </c:pt>
                <c:pt idx="789">
                  <c:v>1.3770647798235258</c:v>
                </c:pt>
                <c:pt idx="790">
                  <c:v>1.3788101090755203</c:v>
                </c:pt>
                <c:pt idx="791">
                  <c:v>1.3805554383275145</c:v>
                </c:pt>
                <c:pt idx="792">
                  <c:v>1.3823007675795091</c:v>
                </c:pt>
                <c:pt idx="793">
                  <c:v>1.3840460968315034</c:v>
                </c:pt>
                <c:pt idx="794">
                  <c:v>1.3857914260834978</c:v>
                </c:pt>
                <c:pt idx="795">
                  <c:v>1.387536755335492</c:v>
                </c:pt>
                <c:pt idx="796">
                  <c:v>1.3892820845874863</c:v>
                </c:pt>
                <c:pt idx="797">
                  <c:v>1.3910274138394807</c:v>
                </c:pt>
                <c:pt idx="798">
                  <c:v>1.3927727430914751</c:v>
                </c:pt>
                <c:pt idx="799">
                  <c:v>1.3945180723434694</c:v>
                </c:pt>
                <c:pt idx="800">
                  <c:v>1.3962634015954636</c:v>
                </c:pt>
                <c:pt idx="801">
                  <c:v>1.3980087308474578</c:v>
                </c:pt>
                <c:pt idx="802">
                  <c:v>1.399754060099452</c:v>
                </c:pt>
                <c:pt idx="803">
                  <c:v>1.4014993893514465</c:v>
                </c:pt>
                <c:pt idx="804">
                  <c:v>1.4032447186034409</c:v>
                </c:pt>
                <c:pt idx="805">
                  <c:v>1.4049900478554351</c:v>
                </c:pt>
                <c:pt idx="806">
                  <c:v>1.4067353771074298</c:v>
                </c:pt>
                <c:pt idx="807">
                  <c:v>1.4084807063594238</c:v>
                </c:pt>
                <c:pt idx="808">
                  <c:v>1.4102260356114182</c:v>
                </c:pt>
                <c:pt idx="809">
                  <c:v>1.4119713648634127</c:v>
                </c:pt>
                <c:pt idx="810">
                  <c:v>1.4137166941154069</c:v>
                </c:pt>
                <c:pt idx="811">
                  <c:v>1.4154620233674011</c:v>
                </c:pt>
                <c:pt idx="812">
                  <c:v>1.4172073526193953</c:v>
                </c:pt>
                <c:pt idx="813">
                  <c:v>1.41895268187139</c:v>
                </c:pt>
                <c:pt idx="814">
                  <c:v>1.4206980111233845</c:v>
                </c:pt>
                <c:pt idx="815">
                  <c:v>1.4224433403753785</c:v>
                </c:pt>
                <c:pt idx="816">
                  <c:v>1.4241886696273727</c:v>
                </c:pt>
                <c:pt idx="817">
                  <c:v>1.4259339988793673</c:v>
                </c:pt>
                <c:pt idx="818">
                  <c:v>1.4276793281313616</c:v>
                </c:pt>
                <c:pt idx="819">
                  <c:v>1.4294246573833558</c:v>
                </c:pt>
                <c:pt idx="820">
                  <c:v>1.43116998663535</c:v>
                </c:pt>
                <c:pt idx="821">
                  <c:v>1.4329153158873447</c:v>
                </c:pt>
                <c:pt idx="822">
                  <c:v>1.4346606451393389</c:v>
                </c:pt>
                <c:pt idx="823">
                  <c:v>1.4364059743913336</c:v>
                </c:pt>
                <c:pt idx="824">
                  <c:v>1.4381513036433278</c:v>
                </c:pt>
                <c:pt idx="825">
                  <c:v>1.4398966328953218</c:v>
                </c:pt>
                <c:pt idx="826">
                  <c:v>1.441641962147316</c:v>
                </c:pt>
                <c:pt idx="827">
                  <c:v>1.4433872913993102</c:v>
                </c:pt>
                <c:pt idx="828">
                  <c:v>1.4451326206513049</c:v>
                </c:pt>
                <c:pt idx="829">
                  <c:v>1.4468779499032991</c:v>
                </c:pt>
                <c:pt idx="830">
                  <c:v>1.4486232791552935</c:v>
                </c:pt>
                <c:pt idx="831">
                  <c:v>1.450368608407288</c:v>
                </c:pt>
                <c:pt idx="832">
                  <c:v>1.4521139376592822</c:v>
                </c:pt>
                <c:pt idx="833">
                  <c:v>1.4538592669112764</c:v>
                </c:pt>
                <c:pt idx="834">
                  <c:v>1.4556045961632711</c:v>
                </c:pt>
                <c:pt idx="835">
                  <c:v>1.4573499254152653</c:v>
                </c:pt>
                <c:pt idx="836">
                  <c:v>1.4590952546672595</c:v>
                </c:pt>
                <c:pt idx="837">
                  <c:v>1.4608405839192535</c:v>
                </c:pt>
                <c:pt idx="838">
                  <c:v>1.4625859131712484</c:v>
                </c:pt>
                <c:pt idx="839">
                  <c:v>1.4643312424232426</c:v>
                </c:pt>
                <c:pt idx="840">
                  <c:v>1.4660765716752369</c:v>
                </c:pt>
                <c:pt idx="841">
                  <c:v>1.4678219009272311</c:v>
                </c:pt>
                <c:pt idx="842">
                  <c:v>1.4695672301792253</c:v>
                </c:pt>
                <c:pt idx="843">
                  <c:v>1.4713125594312197</c:v>
                </c:pt>
                <c:pt idx="844">
                  <c:v>1.473057888683214</c:v>
                </c:pt>
                <c:pt idx="845">
                  <c:v>1.4748032179352084</c:v>
                </c:pt>
                <c:pt idx="846">
                  <c:v>1.4765485471872031</c:v>
                </c:pt>
                <c:pt idx="847">
                  <c:v>1.4782938764391971</c:v>
                </c:pt>
                <c:pt idx="848">
                  <c:v>1.4800392056911915</c:v>
                </c:pt>
                <c:pt idx="849">
                  <c:v>1.4817845349431857</c:v>
                </c:pt>
                <c:pt idx="850">
                  <c:v>1.4835298641951802</c:v>
                </c:pt>
                <c:pt idx="851">
                  <c:v>1.4852751934471744</c:v>
                </c:pt>
                <c:pt idx="852">
                  <c:v>1.4870205226991686</c:v>
                </c:pt>
                <c:pt idx="853">
                  <c:v>1.4887658519511628</c:v>
                </c:pt>
                <c:pt idx="854">
                  <c:v>1.4905111812031571</c:v>
                </c:pt>
                <c:pt idx="855">
                  <c:v>1.4922565104551517</c:v>
                </c:pt>
                <c:pt idx="856">
                  <c:v>1.4940018397071464</c:v>
                </c:pt>
                <c:pt idx="857">
                  <c:v>1.4957471689591406</c:v>
                </c:pt>
                <c:pt idx="858">
                  <c:v>1.4974924982111348</c:v>
                </c:pt>
                <c:pt idx="859">
                  <c:v>1.4992378274631291</c:v>
                </c:pt>
                <c:pt idx="860">
                  <c:v>1.5009831567151233</c:v>
                </c:pt>
                <c:pt idx="861">
                  <c:v>1.5027284859671175</c:v>
                </c:pt>
                <c:pt idx="862">
                  <c:v>1.5044738152191119</c:v>
                </c:pt>
                <c:pt idx="863">
                  <c:v>1.5062191444711064</c:v>
                </c:pt>
                <c:pt idx="864">
                  <c:v>1.5079644737231006</c:v>
                </c:pt>
                <c:pt idx="865">
                  <c:v>1.509709802975095</c:v>
                </c:pt>
                <c:pt idx="866">
                  <c:v>1.5114551322270893</c:v>
                </c:pt>
                <c:pt idx="867">
                  <c:v>1.5132004614790837</c:v>
                </c:pt>
                <c:pt idx="868">
                  <c:v>1.5149457907310782</c:v>
                </c:pt>
                <c:pt idx="869">
                  <c:v>1.5166911199830724</c:v>
                </c:pt>
                <c:pt idx="870">
                  <c:v>1.5184364492350666</c:v>
                </c:pt>
                <c:pt idx="871">
                  <c:v>1.520181778487061</c:v>
                </c:pt>
                <c:pt idx="872">
                  <c:v>1.5219271077390555</c:v>
                </c:pt>
                <c:pt idx="873">
                  <c:v>1.5236724369910499</c:v>
                </c:pt>
                <c:pt idx="874">
                  <c:v>1.5254177662430441</c:v>
                </c:pt>
                <c:pt idx="875">
                  <c:v>1.5271630954950381</c:v>
                </c:pt>
                <c:pt idx="876">
                  <c:v>1.5289084247470324</c:v>
                </c:pt>
                <c:pt idx="877">
                  <c:v>1.5306537539990268</c:v>
                </c:pt>
                <c:pt idx="878">
                  <c:v>1.5323990832510213</c:v>
                </c:pt>
                <c:pt idx="879">
                  <c:v>1.5341444125030155</c:v>
                </c:pt>
                <c:pt idx="880">
                  <c:v>1.5358897417550099</c:v>
                </c:pt>
                <c:pt idx="881">
                  <c:v>1.5376350710070044</c:v>
                </c:pt>
                <c:pt idx="882">
                  <c:v>1.5393804002589986</c:v>
                </c:pt>
                <c:pt idx="883">
                  <c:v>1.5411257295109928</c:v>
                </c:pt>
                <c:pt idx="884">
                  <c:v>1.5428710587629875</c:v>
                </c:pt>
                <c:pt idx="885">
                  <c:v>1.5446163880149817</c:v>
                </c:pt>
                <c:pt idx="886">
                  <c:v>1.5463617172669757</c:v>
                </c:pt>
                <c:pt idx="887">
                  <c:v>1.5481070465189699</c:v>
                </c:pt>
                <c:pt idx="888">
                  <c:v>1.5498523757709648</c:v>
                </c:pt>
                <c:pt idx="889">
                  <c:v>1.551597705022959</c:v>
                </c:pt>
                <c:pt idx="890">
                  <c:v>1.5533430342749535</c:v>
                </c:pt>
                <c:pt idx="891">
                  <c:v>1.5550883635269477</c:v>
                </c:pt>
                <c:pt idx="892">
                  <c:v>1.5568336927789419</c:v>
                </c:pt>
                <c:pt idx="893">
                  <c:v>1.5585790220309361</c:v>
                </c:pt>
                <c:pt idx="894">
                  <c:v>1.5603243512829303</c:v>
                </c:pt>
                <c:pt idx="895">
                  <c:v>1.562069680534925</c:v>
                </c:pt>
                <c:pt idx="896">
                  <c:v>1.5638150097869192</c:v>
                </c:pt>
                <c:pt idx="897">
                  <c:v>1.5655603390389135</c:v>
                </c:pt>
                <c:pt idx="898">
                  <c:v>1.5673056682909081</c:v>
                </c:pt>
                <c:pt idx="899">
                  <c:v>1.5690509975429023</c:v>
                </c:pt>
                <c:pt idx="900">
                  <c:v>1.5707963267948966</c:v>
                </c:pt>
                <c:pt idx="901">
                  <c:v>1.5725416560468908</c:v>
                </c:pt>
                <c:pt idx="902">
                  <c:v>1.5742869852988852</c:v>
                </c:pt>
                <c:pt idx="903">
                  <c:v>1.5760323145508794</c:v>
                </c:pt>
                <c:pt idx="904">
                  <c:v>1.5777776438028737</c:v>
                </c:pt>
                <c:pt idx="905">
                  <c:v>1.5795229730548681</c:v>
                </c:pt>
                <c:pt idx="906">
                  <c:v>1.5812683023068628</c:v>
                </c:pt>
                <c:pt idx="907">
                  <c:v>1.583013631558857</c:v>
                </c:pt>
                <c:pt idx="908">
                  <c:v>1.584758960810851</c:v>
                </c:pt>
                <c:pt idx="909">
                  <c:v>1.5865042900628457</c:v>
                </c:pt>
                <c:pt idx="910">
                  <c:v>1.5882496193148399</c:v>
                </c:pt>
                <c:pt idx="911">
                  <c:v>1.5899949485668341</c:v>
                </c:pt>
                <c:pt idx="912">
                  <c:v>1.5917402778188283</c:v>
                </c:pt>
                <c:pt idx="913">
                  <c:v>1.593485607070823</c:v>
                </c:pt>
                <c:pt idx="914">
                  <c:v>1.5952309363228172</c:v>
                </c:pt>
                <c:pt idx="915">
                  <c:v>1.5969762655748114</c:v>
                </c:pt>
                <c:pt idx="916">
                  <c:v>1.5987215948268056</c:v>
                </c:pt>
                <c:pt idx="917">
                  <c:v>1.6004669240788003</c:v>
                </c:pt>
                <c:pt idx="918">
                  <c:v>1.6022122533307945</c:v>
                </c:pt>
                <c:pt idx="919">
                  <c:v>1.6039575825827888</c:v>
                </c:pt>
                <c:pt idx="920">
                  <c:v>1.605702911834783</c:v>
                </c:pt>
                <c:pt idx="921">
                  <c:v>1.6074482410867776</c:v>
                </c:pt>
                <c:pt idx="922">
                  <c:v>1.6091935703387719</c:v>
                </c:pt>
                <c:pt idx="923">
                  <c:v>1.6109388995907665</c:v>
                </c:pt>
                <c:pt idx="924">
                  <c:v>1.6126842288427605</c:v>
                </c:pt>
                <c:pt idx="925">
                  <c:v>1.6144295580947547</c:v>
                </c:pt>
                <c:pt idx="926">
                  <c:v>1.616174887346749</c:v>
                </c:pt>
                <c:pt idx="927">
                  <c:v>1.6179202165987432</c:v>
                </c:pt>
                <c:pt idx="928">
                  <c:v>1.6196655458507379</c:v>
                </c:pt>
                <c:pt idx="929">
                  <c:v>1.6214108751027321</c:v>
                </c:pt>
                <c:pt idx="930">
                  <c:v>1.6231562043547263</c:v>
                </c:pt>
                <c:pt idx="931">
                  <c:v>1.624901533606721</c:v>
                </c:pt>
                <c:pt idx="932">
                  <c:v>1.6266468628587152</c:v>
                </c:pt>
                <c:pt idx="933">
                  <c:v>1.6283921921107094</c:v>
                </c:pt>
                <c:pt idx="934">
                  <c:v>1.6301375213627041</c:v>
                </c:pt>
                <c:pt idx="935">
                  <c:v>1.6318828506146983</c:v>
                </c:pt>
                <c:pt idx="936">
                  <c:v>1.6336281798666923</c:v>
                </c:pt>
                <c:pt idx="937">
                  <c:v>1.6353735091186865</c:v>
                </c:pt>
                <c:pt idx="938">
                  <c:v>1.6371188383706814</c:v>
                </c:pt>
                <c:pt idx="939">
                  <c:v>1.6388641676226756</c:v>
                </c:pt>
                <c:pt idx="940">
                  <c:v>1.6406094968746698</c:v>
                </c:pt>
                <c:pt idx="941">
                  <c:v>1.6423548261266641</c:v>
                </c:pt>
                <c:pt idx="942">
                  <c:v>1.6441001553786583</c:v>
                </c:pt>
                <c:pt idx="943">
                  <c:v>1.6458454846306527</c:v>
                </c:pt>
                <c:pt idx="944">
                  <c:v>1.6475908138826469</c:v>
                </c:pt>
                <c:pt idx="945">
                  <c:v>1.6493361431346414</c:v>
                </c:pt>
                <c:pt idx="946">
                  <c:v>1.6510814723866358</c:v>
                </c:pt>
                <c:pt idx="947">
                  <c:v>1.65282680163863</c:v>
                </c:pt>
                <c:pt idx="948">
                  <c:v>1.6545721308906245</c:v>
                </c:pt>
                <c:pt idx="949">
                  <c:v>1.6563174601426189</c:v>
                </c:pt>
                <c:pt idx="950">
                  <c:v>1.6580627893946132</c:v>
                </c:pt>
                <c:pt idx="951">
                  <c:v>1.6598081186466074</c:v>
                </c:pt>
                <c:pt idx="952">
                  <c:v>1.6615534478986016</c:v>
                </c:pt>
                <c:pt idx="953">
                  <c:v>1.6632987771505958</c:v>
                </c:pt>
                <c:pt idx="954">
                  <c:v>1.66504410640259</c:v>
                </c:pt>
                <c:pt idx="955">
                  <c:v>1.6667894356545847</c:v>
                </c:pt>
                <c:pt idx="956">
                  <c:v>1.6685347649065794</c:v>
                </c:pt>
                <c:pt idx="957">
                  <c:v>1.6702800941585736</c:v>
                </c:pt>
                <c:pt idx="958">
                  <c:v>1.6720254234105676</c:v>
                </c:pt>
                <c:pt idx="959">
                  <c:v>1.673770752662562</c:v>
                </c:pt>
                <c:pt idx="960">
                  <c:v>1.6755160819145563</c:v>
                </c:pt>
                <c:pt idx="961">
                  <c:v>1.6772614111665507</c:v>
                </c:pt>
                <c:pt idx="962">
                  <c:v>1.6790067404185449</c:v>
                </c:pt>
                <c:pt idx="963">
                  <c:v>1.6807520696705394</c:v>
                </c:pt>
                <c:pt idx="964">
                  <c:v>1.6824973989225336</c:v>
                </c:pt>
                <c:pt idx="965">
                  <c:v>1.684242728174528</c:v>
                </c:pt>
                <c:pt idx="966">
                  <c:v>1.6859880574265222</c:v>
                </c:pt>
                <c:pt idx="967">
                  <c:v>1.6877333866785167</c:v>
                </c:pt>
                <c:pt idx="968">
                  <c:v>1.6894787159305111</c:v>
                </c:pt>
                <c:pt idx="969">
                  <c:v>1.6912240451825049</c:v>
                </c:pt>
                <c:pt idx="970">
                  <c:v>1.6929693744344996</c:v>
                </c:pt>
                <c:pt idx="971">
                  <c:v>1.6947147036864942</c:v>
                </c:pt>
                <c:pt idx="972">
                  <c:v>1.6964600329384885</c:v>
                </c:pt>
                <c:pt idx="973">
                  <c:v>1.6982053621904827</c:v>
                </c:pt>
                <c:pt idx="974">
                  <c:v>1.6999506914424769</c:v>
                </c:pt>
                <c:pt idx="975">
                  <c:v>1.7016960206944711</c:v>
                </c:pt>
                <c:pt idx="976">
                  <c:v>1.7034413499464653</c:v>
                </c:pt>
                <c:pt idx="977">
                  <c:v>1.7051866791984598</c:v>
                </c:pt>
                <c:pt idx="978">
                  <c:v>1.7069320084504542</c:v>
                </c:pt>
                <c:pt idx="979">
                  <c:v>1.7086773377024485</c:v>
                </c:pt>
                <c:pt idx="980">
                  <c:v>1.7104226669544429</c:v>
                </c:pt>
                <c:pt idx="981">
                  <c:v>1.7121679962064373</c:v>
                </c:pt>
                <c:pt idx="982">
                  <c:v>1.7139133254584316</c:v>
                </c:pt>
                <c:pt idx="983">
                  <c:v>1.715658654710426</c:v>
                </c:pt>
                <c:pt idx="984">
                  <c:v>1.7174039839624204</c:v>
                </c:pt>
                <c:pt idx="985">
                  <c:v>1.7191493132144144</c:v>
                </c:pt>
                <c:pt idx="986">
                  <c:v>1.7208946424664087</c:v>
                </c:pt>
                <c:pt idx="987">
                  <c:v>1.7226399717184029</c:v>
                </c:pt>
                <c:pt idx="988">
                  <c:v>1.7243853009703978</c:v>
                </c:pt>
                <c:pt idx="989">
                  <c:v>1.726130630222392</c:v>
                </c:pt>
                <c:pt idx="990">
                  <c:v>1.7278759594743864</c:v>
                </c:pt>
                <c:pt idx="991">
                  <c:v>1.7296212887263802</c:v>
                </c:pt>
                <c:pt idx="992">
                  <c:v>1.7313666179783749</c:v>
                </c:pt>
                <c:pt idx="993">
                  <c:v>1.7331119472303691</c:v>
                </c:pt>
                <c:pt idx="994">
                  <c:v>1.7348572764823633</c:v>
                </c:pt>
                <c:pt idx="995">
                  <c:v>1.736602605734358</c:v>
                </c:pt>
                <c:pt idx="996">
                  <c:v>1.7383479349863522</c:v>
                </c:pt>
                <c:pt idx="997">
                  <c:v>1.7400932642383464</c:v>
                </c:pt>
                <c:pt idx="998">
                  <c:v>1.7418385934903411</c:v>
                </c:pt>
                <c:pt idx="999">
                  <c:v>1.7435839227423353</c:v>
                </c:pt>
                <c:pt idx="1000">
                  <c:v>1.7453292519943295</c:v>
                </c:pt>
                <c:pt idx="1001">
                  <c:v>1.7470745812463238</c:v>
                </c:pt>
                <c:pt idx="1002">
                  <c:v>1.7488199104983182</c:v>
                </c:pt>
                <c:pt idx="1003">
                  <c:v>1.7505652397503124</c:v>
                </c:pt>
                <c:pt idx="1004">
                  <c:v>1.7523105690023066</c:v>
                </c:pt>
                <c:pt idx="1005">
                  <c:v>1.7540558982543013</c:v>
                </c:pt>
                <c:pt idx="1006">
                  <c:v>1.7558012275062957</c:v>
                </c:pt>
                <c:pt idx="1007">
                  <c:v>1.7575465567582897</c:v>
                </c:pt>
                <c:pt idx="1008">
                  <c:v>1.759291886010284</c:v>
                </c:pt>
                <c:pt idx="1009">
                  <c:v>1.7610372152622786</c:v>
                </c:pt>
                <c:pt idx="1010">
                  <c:v>1.7627825445142729</c:v>
                </c:pt>
                <c:pt idx="1011">
                  <c:v>1.7645278737662671</c:v>
                </c:pt>
                <c:pt idx="1012">
                  <c:v>1.7662732030182613</c:v>
                </c:pt>
                <c:pt idx="1013">
                  <c:v>1.768018532270256</c:v>
                </c:pt>
                <c:pt idx="1014">
                  <c:v>1.7697638615222502</c:v>
                </c:pt>
                <c:pt idx="1015">
                  <c:v>1.7715091907742444</c:v>
                </c:pt>
                <c:pt idx="1016">
                  <c:v>1.7732545200262386</c:v>
                </c:pt>
                <c:pt idx="1017">
                  <c:v>1.7749998492782333</c:v>
                </c:pt>
                <c:pt idx="1018">
                  <c:v>1.7767451785302275</c:v>
                </c:pt>
                <c:pt idx="1019">
                  <c:v>1.7784905077822215</c:v>
                </c:pt>
                <c:pt idx="1020">
                  <c:v>1.780235837034216</c:v>
                </c:pt>
                <c:pt idx="1021">
                  <c:v>1.7819811662862106</c:v>
                </c:pt>
                <c:pt idx="1022">
                  <c:v>1.7837264955382048</c:v>
                </c:pt>
                <c:pt idx="1023">
                  <c:v>1.7854718247901991</c:v>
                </c:pt>
                <c:pt idx="1024">
                  <c:v>1.7872171540421935</c:v>
                </c:pt>
                <c:pt idx="1025">
                  <c:v>1.7889624832941877</c:v>
                </c:pt>
                <c:pt idx="1026">
                  <c:v>1.7907078125461819</c:v>
                </c:pt>
                <c:pt idx="1027">
                  <c:v>1.7924531417981762</c:v>
                </c:pt>
                <c:pt idx="1028">
                  <c:v>1.7941984710501708</c:v>
                </c:pt>
                <c:pt idx="1029">
                  <c:v>1.795943800302165</c:v>
                </c:pt>
                <c:pt idx="1030">
                  <c:v>1.7976891295541593</c:v>
                </c:pt>
                <c:pt idx="1031">
                  <c:v>1.7994344588061539</c:v>
                </c:pt>
                <c:pt idx="1032">
                  <c:v>1.8011797880581482</c:v>
                </c:pt>
                <c:pt idx="1033">
                  <c:v>1.8029251173101424</c:v>
                </c:pt>
                <c:pt idx="1034">
                  <c:v>1.804670446562137</c:v>
                </c:pt>
                <c:pt idx="1035">
                  <c:v>1.8064157758141308</c:v>
                </c:pt>
                <c:pt idx="1036">
                  <c:v>1.8081611050661253</c:v>
                </c:pt>
                <c:pt idx="1037">
                  <c:v>1.8099064343181195</c:v>
                </c:pt>
                <c:pt idx="1038">
                  <c:v>1.8116517635701144</c:v>
                </c:pt>
                <c:pt idx="1039">
                  <c:v>1.8133970928221086</c:v>
                </c:pt>
                <c:pt idx="1040">
                  <c:v>1.8151424220741028</c:v>
                </c:pt>
                <c:pt idx="1041">
                  <c:v>1.8168877513260968</c:v>
                </c:pt>
                <c:pt idx="1042">
                  <c:v>1.8186330805780915</c:v>
                </c:pt>
                <c:pt idx="1043">
                  <c:v>1.8203784098300857</c:v>
                </c:pt>
                <c:pt idx="1044">
                  <c:v>1.8221237390820799</c:v>
                </c:pt>
                <c:pt idx="1045">
                  <c:v>1.8238690683340744</c:v>
                </c:pt>
                <c:pt idx="1046">
                  <c:v>1.8256143975860688</c:v>
                </c:pt>
                <c:pt idx="1047">
                  <c:v>1.827359726838063</c:v>
                </c:pt>
                <c:pt idx="1048">
                  <c:v>1.8291050560900575</c:v>
                </c:pt>
                <c:pt idx="1049">
                  <c:v>1.8308503853420519</c:v>
                </c:pt>
                <c:pt idx="1050">
                  <c:v>1.8325957145940461</c:v>
                </c:pt>
                <c:pt idx="1051">
                  <c:v>1.8343410438460404</c:v>
                </c:pt>
                <c:pt idx="1052">
                  <c:v>1.8360863730980344</c:v>
                </c:pt>
                <c:pt idx="1053">
                  <c:v>1.8378317023500288</c:v>
                </c:pt>
                <c:pt idx="1054">
                  <c:v>1.839577031602023</c:v>
                </c:pt>
                <c:pt idx="1055">
                  <c:v>1.8413223608540177</c:v>
                </c:pt>
                <c:pt idx="1056">
                  <c:v>1.8430676901060119</c:v>
                </c:pt>
                <c:pt idx="1057">
                  <c:v>1.8448130193580061</c:v>
                </c:pt>
                <c:pt idx="1058">
                  <c:v>1.8465583486100006</c:v>
                </c:pt>
                <c:pt idx="1059">
                  <c:v>1.848303677861995</c:v>
                </c:pt>
                <c:pt idx="1060">
                  <c:v>1.8500490071139892</c:v>
                </c:pt>
                <c:pt idx="1061">
                  <c:v>1.8517943363659837</c:v>
                </c:pt>
                <c:pt idx="1062">
                  <c:v>1.8535396656179779</c:v>
                </c:pt>
                <c:pt idx="1063">
                  <c:v>1.8552849948699723</c:v>
                </c:pt>
                <c:pt idx="1064">
                  <c:v>1.8570303241219668</c:v>
                </c:pt>
                <c:pt idx="1065">
                  <c:v>1.858775653373961</c:v>
                </c:pt>
                <c:pt idx="1066">
                  <c:v>1.8605209826259552</c:v>
                </c:pt>
                <c:pt idx="1067">
                  <c:v>1.8622663118779497</c:v>
                </c:pt>
                <c:pt idx="1068">
                  <c:v>1.8640116411299437</c:v>
                </c:pt>
                <c:pt idx="1069">
                  <c:v>1.8657569703819379</c:v>
                </c:pt>
                <c:pt idx="1070">
                  <c:v>1.8675022996339325</c:v>
                </c:pt>
                <c:pt idx="1071">
                  <c:v>1.8692476288859272</c:v>
                </c:pt>
                <c:pt idx="1072">
                  <c:v>1.8709929581379214</c:v>
                </c:pt>
                <c:pt idx="1073">
                  <c:v>1.8727382873899157</c:v>
                </c:pt>
                <c:pt idx="1074">
                  <c:v>1.8744836166419099</c:v>
                </c:pt>
                <c:pt idx="1075">
                  <c:v>1.8762289458939041</c:v>
                </c:pt>
                <c:pt idx="1076">
                  <c:v>1.8779742751458985</c:v>
                </c:pt>
                <c:pt idx="1077">
                  <c:v>1.8797196043978928</c:v>
                </c:pt>
                <c:pt idx="1078">
                  <c:v>1.8814649336498872</c:v>
                </c:pt>
                <c:pt idx="1079">
                  <c:v>1.8832102629018814</c:v>
                </c:pt>
                <c:pt idx="1080">
                  <c:v>1.8849555921538759</c:v>
                </c:pt>
                <c:pt idx="1081">
                  <c:v>1.8867009214058703</c:v>
                </c:pt>
                <c:pt idx="1082">
                  <c:v>1.8884462506578645</c:v>
                </c:pt>
                <c:pt idx="1083">
                  <c:v>1.890191579909859</c:v>
                </c:pt>
                <c:pt idx="1084">
                  <c:v>1.8919369091618532</c:v>
                </c:pt>
                <c:pt idx="1085">
                  <c:v>1.8936822384138474</c:v>
                </c:pt>
                <c:pt idx="1086">
                  <c:v>1.8954275676658416</c:v>
                </c:pt>
                <c:pt idx="1087">
                  <c:v>1.8971728969178359</c:v>
                </c:pt>
                <c:pt idx="1088">
                  <c:v>1.8989182261698307</c:v>
                </c:pt>
                <c:pt idx="1089">
                  <c:v>1.9006635554218252</c:v>
                </c:pt>
                <c:pt idx="1090">
                  <c:v>1.902408884673819</c:v>
                </c:pt>
                <c:pt idx="1091">
                  <c:v>1.9041542139258132</c:v>
                </c:pt>
                <c:pt idx="1092">
                  <c:v>1.9058995431778079</c:v>
                </c:pt>
                <c:pt idx="1093">
                  <c:v>1.9076448724298021</c:v>
                </c:pt>
                <c:pt idx="1094">
                  <c:v>1.9093902016817963</c:v>
                </c:pt>
                <c:pt idx="1095">
                  <c:v>1.911135530933791</c:v>
                </c:pt>
                <c:pt idx="1096">
                  <c:v>1.9128808601857852</c:v>
                </c:pt>
                <c:pt idx="1097">
                  <c:v>1.9146261894377794</c:v>
                </c:pt>
                <c:pt idx="1098">
                  <c:v>1.9163715186897741</c:v>
                </c:pt>
                <c:pt idx="1099">
                  <c:v>1.9181168479417683</c:v>
                </c:pt>
                <c:pt idx="1100">
                  <c:v>1.9198621771937625</c:v>
                </c:pt>
                <c:pt idx="1101">
                  <c:v>1.9216075064457567</c:v>
                </c:pt>
                <c:pt idx="1102">
                  <c:v>1.9233528356977507</c:v>
                </c:pt>
                <c:pt idx="1103">
                  <c:v>1.9250981649497454</c:v>
                </c:pt>
                <c:pt idx="1104">
                  <c:v>1.9268434942017396</c:v>
                </c:pt>
                <c:pt idx="1105">
                  <c:v>1.9285888234537343</c:v>
                </c:pt>
                <c:pt idx="1106">
                  <c:v>1.9303341527057285</c:v>
                </c:pt>
                <c:pt idx="1107">
                  <c:v>1.9320794819577227</c:v>
                </c:pt>
                <c:pt idx="1108">
                  <c:v>1.9338248112097169</c:v>
                </c:pt>
                <c:pt idx="1109">
                  <c:v>1.9355701404617116</c:v>
                </c:pt>
                <c:pt idx="1110">
                  <c:v>1.9373154697137058</c:v>
                </c:pt>
                <c:pt idx="1111">
                  <c:v>1.9390607989657</c:v>
                </c:pt>
                <c:pt idx="1112">
                  <c:v>1.9408061282176943</c:v>
                </c:pt>
                <c:pt idx="1113">
                  <c:v>1.9425514574696889</c:v>
                </c:pt>
                <c:pt idx="1114">
                  <c:v>1.9442967867216832</c:v>
                </c:pt>
                <c:pt idx="1115">
                  <c:v>1.9460421159736774</c:v>
                </c:pt>
                <c:pt idx="1116">
                  <c:v>1.9477874452256716</c:v>
                </c:pt>
                <c:pt idx="1117">
                  <c:v>1.9495327744776663</c:v>
                </c:pt>
                <c:pt idx="1118">
                  <c:v>1.9512781037296603</c:v>
                </c:pt>
                <c:pt idx="1119">
                  <c:v>1.9530234329816545</c:v>
                </c:pt>
                <c:pt idx="1120">
                  <c:v>1.9547687622336491</c:v>
                </c:pt>
                <c:pt idx="1121">
                  <c:v>1.9565140914856436</c:v>
                </c:pt>
                <c:pt idx="1122">
                  <c:v>1.9582594207376378</c:v>
                </c:pt>
                <c:pt idx="1123">
                  <c:v>1.9600047499896323</c:v>
                </c:pt>
                <c:pt idx="1124">
                  <c:v>1.9617500792416265</c:v>
                </c:pt>
                <c:pt idx="1125">
                  <c:v>1.9634954084936207</c:v>
                </c:pt>
                <c:pt idx="1126">
                  <c:v>1.9652407377456149</c:v>
                </c:pt>
                <c:pt idx="1127">
                  <c:v>1.9669860669976091</c:v>
                </c:pt>
                <c:pt idx="1128">
                  <c:v>1.9687313962496038</c:v>
                </c:pt>
                <c:pt idx="1129">
                  <c:v>1.9704767255015978</c:v>
                </c:pt>
                <c:pt idx="1130">
                  <c:v>1.9722220547535922</c:v>
                </c:pt>
                <c:pt idx="1131">
                  <c:v>1.9739673840055869</c:v>
                </c:pt>
                <c:pt idx="1132">
                  <c:v>1.9757127132575811</c:v>
                </c:pt>
                <c:pt idx="1133">
                  <c:v>1.9774580425095754</c:v>
                </c:pt>
                <c:pt idx="1134">
                  <c:v>1.9792033717615696</c:v>
                </c:pt>
                <c:pt idx="1135">
                  <c:v>1.9809487010135638</c:v>
                </c:pt>
                <c:pt idx="1136">
                  <c:v>1.9826940302655582</c:v>
                </c:pt>
                <c:pt idx="1137">
                  <c:v>1.9844393595175525</c:v>
                </c:pt>
                <c:pt idx="1138">
                  <c:v>1.9861846887695473</c:v>
                </c:pt>
                <c:pt idx="1139">
                  <c:v>1.9879300180215413</c:v>
                </c:pt>
                <c:pt idx="1140">
                  <c:v>1.9896753472735356</c:v>
                </c:pt>
                <c:pt idx="1141">
                  <c:v>1.9914206765255298</c:v>
                </c:pt>
                <c:pt idx="1142">
                  <c:v>1.9931660057775245</c:v>
                </c:pt>
                <c:pt idx="1143">
                  <c:v>1.9949113350295187</c:v>
                </c:pt>
                <c:pt idx="1144">
                  <c:v>1.9966566642815129</c:v>
                </c:pt>
                <c:pt idx="1145">
                  <c:v>1.9984019935335071</c:v>
                </c:pt>
                <c:pt idx="1146">
                  <c:v>2.0001473227855016</c:v>
                </c:pt>
                <c:pt idx="1147">
                  <c:v>2.0018926520374958</c:v>
                </c:pt>
                <c:pt idx="1148">
                  <c:v>2.0036379812894904</c:v>
                </c:pt>
                <c:pt idx="1149">
                  <c:v>2.0053833105414847</c:v>
                </c:pt>
                <c:pt idx="1150">
                  <c:v>2.0071286397934789</c:v>
                </c:pt>
                <c:pt idx="1151">
                  <c:v>2.0088739690454731</c:v>
                </c:pt>
                <c:pt idx="1152">
                  <c:v>2.0106192982974673</c:v>
                </c:pt>
                <c:pt idx="1153">
                  <c:v>2.012364627549462</c:v>
                </c:pt>
                <c:pt idx="1154">
                  <c:v>2.0141099568014562</c:v>
                </c:pt>
                <c:pt idx="1155">
                  <c:v>2.0158552860534509</c:v>
                </c:pt>
                <c:pt idx="1156">
                  <c:v>2.0176006153054451</c:v>
                </c:pt>
                <c:pt idx="1157">
                  <c:v>2.0193459445574393</c:v>
                </c:pt>
                <c:pt idx="1158">
                  <c:v>2.0210912738094335</c:v>
                </c:pt>
                <c:pt idx="1159">
                  <c:v>2.0228366030614282</c:v>
                </c:pt>
                <c:pt idx="1160">
                  <c:v>2.0245819323134224</c:v>
                </c:pt>
                <c:pt idx="1161">
                  <c:v>2.0263272615654166</c:v>
                </c:pt>
                <c:pt idx="1162">
                  <c:v>2.0280725908174109</c:v>
                </c:pt>
                <c:pt idx="1163">
                  <c:v>2.0298179200694055</c:v>
                </c:pt>
                <c:pt idx="1164">
                  <c:v>2.0315632493213998</c:v>
                </c:pt>
                <c:pt idx="1165">
                  <c:v>2.033308578573394</c:v>
                </c:pt>
                <c:pt idx="1166">
                  <c:v>2.0350539078253882</c:v>
                </c:pt>
                <c:pt idx="1167">
                  <c:v>2.0367992370773824</c:v>
                </c:pt>
                <c:pt idx="1168">
                  <c:v>2.0385445663293766</c:v>
                </c:pt>
                <c:pt idx="1169">
                  <c:v>2.0402898955813709</c:v>
                </c:pt>
                <c:pt idx="1170">
                  <c:v>2.0420352248333655</c:v>
                </c:pt>
                <c:pt idx="1171">
                  <c:v>2.0437805540853602</c:v>
                </c:pt>
                <c:pt idx="1172">
                  <c:v>2.0455258833373544</c:v>
                </c:pt>
                <c:pt idx="1173">
                  <c:v>2.0472712125893486</c:v>
                </c:pt>
                <c:pt idx="1174">
                  <c:v>2.0490165418413429</c:v>
                </c:pt>
                <c:pt idx="1175">
                  <c:v>2.0507618710933371</c:v>
                </c:pt>
                <c:pt idx="1176">
                  <c:v>2.0525072003453313</c:v>
                </c:pt>
                <c:pt idx="1177">
                  <c:v>2.0542525295973255</c:v>
                </c:pt>
                <c:pt idx="1178">
                  <c:v>2.0559978588493202</c:v>
                </c:pt>
                <c:pt idx="1179">
                  <c:v>2.0577431881013144</c:v>
                </c:pt>
                <c:pt idx="1180">
                  <c:v>2.0594885173533086</c:v>
                </c:pt>
                <c:pt idx="1181">
                  <c:v>2.0612338466053033</c:v>
                </c:pt>
                <c:pt idx="1182">
                  <c:v>2.0629791758572975</c:v>
                </c:pt>
                <c:pt idx="1183">
                  <c:v>2.0647245051092917</c:v>
                </c:pt>
                <c:pt idx="1184">
                  <c:v>2.066469834361286</c:v>
                </c:pt>
                <c:pt idx="1185">
                  <c:v>2.0682151636132806</c:v>
                </c:pt>
                <c:pt idx="1186">
                  <c:v>2.0699604928652748</c:v>
                </c:pt>
                <c:pt idx="1187">
                  <c:v>2.0717058221172691</c:v>
                </c:pt>
                <c:pt idx="1188">
                  <c:v>2.0734511513692637</c:v>
                </c:pt>
                <c:pt idx="1189">
                  <c:v>2.0751964806212579</c:v>
                </c:pt>
                <c:pt idx="1190">
                  <c:v>2.0769418098732522</c:v>
                </c:pt>
                <c:pt idx="1191">
                  <c:v>2.0786871391252464</c:v>
                </c:pt>
                <c:pt idx="1192">
                  <c:v>2.0804324683772411</c:v>
                </c:pt>
                <c:pt idx="1193">
                  <c:v>2.0821777976292353</c:v>
                </c:pt>
                <c:pt idx="1194">
                  <c:v>2.0839231268812295</c:v>
                </c:pt>
                <c:pt idx="1195">
                  <c:v>2.0856684561332237</c:v>
                </c:pt>
                <c:pt idx="1196">
                  <c:v>2.0874137853852184</c:v>
                </c:pt>
                <c:pt idx="1197">
                  <c:v>2.0891591146372126</c:v>
                </c:pt>
                <c:pt idx="1198">
                  <c:v>2.0909044438892073</c:v>
                </c:pt>
                <c:pt idx="1199">
                  <c:v>2.0926497731412015</c:v>
                </c:pt>
                <c:pt idx="1200">
                  <c:v>2.0943951023931953</c:v>
                </c:pt>
                <c:pt idx="1201">
                  <c:v>2.0961404316451895</c:v>
                </c:pt>
                <c:pt idx="1202">
                  <c:v>2.0978857608971837</c:v>
                </c:pt>
                <c:pt idx="1203">
                  <c:v>2.0996310901491784</c:v>
                </c:pt>
                <c:pt idx="1204">
                  <c:v>2.1013764194011726</c:v>
                </c:pt>
                <c:pt idx="1205">
                  <c:v>2.1031217486531673</c:v>
                </c:pt>
                <c:pt idx="1206">
                  <c:v>2.1048670779051615</c:v>
                </c:pt>
                <c:pt idx="1207">
                  <c:v>2.1066124071571557</c:v>
                </c:pt>
                <c:pt idx="1208">
                  <c:v>2.1083577364091499</c:v>
                </c:pt>
                <c:pt idx="1209">
                  <c:v>2.1101030656611446</c:v>
                </c:pt>
                <c:pt idx="1210">
                  <c:v>2.1118483949131388</c:v>
                </c:pt>
                <c:pt idx="1211">
                  <c:v>2.113593724165133</c:v>
                </c:pt>
                <c:pt idx="1212">
                  <c:v>2.1153390534171268</c:v>
                </c:pt>
                <c:pt idx="1213">
                  <c:v>2.1170843826691219</c:v>
                </c:pt>
                <c:pt idx="1214">
                  <c:v>2.1188297119211161</c:v>
                </c:pt>
                <c:pt idx="1215">
                  <c:v>2.1205750411731104</c:v>
                </c:pt>
                <c:pt idx="1216">
                  <c:v>2.1223203704251046</c:v>
                </c:pt>
                <c:pt idx="1217">
                  <c:v>2.1240656996770988</c:v>
                </c:pt>
                <c:pt idx="1218">
                  <c:v>2.125811028929093</c:v>
                </c:pt>
                <c:pt idx="1219">
                  <c:v>2.1275563581810877</c:v>
                </c:pt>
                <c:pt idx="1220">
                  <c:v>2.1293016874330819</c:v>
                </c:pt>
                <c:pt idx="1221">
                  <c:v>2.1310470166850766</c:v>
                </c:pt>
                <c:pt idx="1222">
                  <c:v>2.1327923459370703</c:v>
                </c:pt>
                <c:pt idx="1223">
                  <c:v>2.134537675189065</c:v>
                </c:pt>
                <c:pt idx="1224">
                  <c:v>2.1362830044410592</c:v>
                </c:pt>
                <c:pt idx="1225">
                  <c:v>2.1380283336930535</c:v>
                </c:pt>
                <c:pt idx="1226">
                  <c:v>2.1397736629450481</c:v>
                </c:pt>
                <c:pt idx="1227">
                  <c:v>2.1415189921970423</c:v>
                </c:pt>
                <c:pt idx="1228">
                  <c:v>2.1432643214490366</c:v>
                </c:pt>
                <c:pt idx="1229">
                  <c:v>2.1450096507010308</c:v>
                </c:pt>
                <c:pt idx="1230">
                  <c:v>2.1467549799530254</c:v>
                </c:pt>
                <c:pt idx="1231">
                  <c:v>2.1485003092050197</c:v>
                </c:pt>
                <c:pt idx="1232">
                  <c:v>2.1502456384570143</c:v>
                </c:pt>
                <c:pt idx="1233">
                  <c:v>2.1519909677090086</c:v>
                </c:pt>
                <c:pt idx="1234">
                  <c:v>2.1537362969610028</c:v>
                </c:pt>
                <c:pt idx="1235">
                  <c:v>2.155481626212997</c:v>
                </c:pt>
                <c:pt idx="1236">
                  <c:v>2.1572269554649912</c:v>
                </c:pt>
                <c:pt idx="1237">
                  <c:v>2.1589722847169854</c:v>
                </c:pt>
                <c:pt idx="1238">
                  <c:v>2.1607176139689801</c:v>
                </c:pt>
                <c:pt idx="1239">
                  <c:v>2.1624629432209743</c:v>
                </c:pt>
                <c:pt idx="1240">
                  <c:v>2.1642082724729685</c:v>
                </c:pt>
                <c:pt idx="1241">
                  <c:v>2.1659536017249628</c:v>
                </c:pt>
                <c:pt idx="1242">
                  <c:v>2.1676989309769574</c:v>
                </c:pt>
                <c:pt idx="1243">
                  <c:v>2.1694442602289516</c:v>
                </c:pt>
                <c:pt idx="1244">
                  <c:v>2.1711895894809459</c:v>
                </c:pt>
                <c:pt idx="1245">
                  <c:v>2.1729349187329401</c:v>
                </c:pt>
                <c:pt idx="1246">
                  <c:v>2.1746802479849348</c:v>
                </c:pt>
                <c:pt idx="1247">
                  <c:v>2.176425577236929</c:v>
                </c:pt>
                <c:pt idx="1248">
                  <c:v>2.1781709064889236</c:v>
                </c:pt>
                <c:pt idx="1249">
                  <c:v>2.1799162357409179</c:v>
                </c:pt>
                <c:pt idx="1250">
                  <c:v>2.1816615649929116</c:v>
                </c:pt>
                <c:pt idx="1251">
                  <c:v>2.1834068942449059</c:v>
                </c:pt>
                <c:pt idx="1252">
                  <c:v>2.1851522234969001</c:v>
                </c:pt>
                <c:pt idx="1253">
                  <c:v>2.1868975527488947</c:v>
                </c:pt>
                <c:pt idx="1254">
                  <c:v>2.188642882000889</c:v>
                </c:pt>
                <c:pt idx="1255">
                  <c:v>2.1903882112528836</c:v>
                </c:pt>
                <c:pt idx="1256">
                  <c:v>2.1921335405048779</c:v>
                </c:pt>
                <c:pt idx="1257">
                  <c:v>2.1938788697568721</c:v>
                </c:pt>
                <c:pt idx="1258">
                  <c:v>2.1956241990088663</c:v>
                </c:pt>
                <c:pt idx="1259">
                  <c:v>2.197369528260861</c:v>
                </c:pt>
                <c:pt idx="1260">
                  <c:v>2.1991148575128552</c:v>
                </c:pt>
                <c:pt idx="1261">
                  <c:v>2.2008601867648494</c:v>
                </c:pt>
                <c:pt idx="1262">
                  <c:v>2.2026055160168436</c:v>
                </c:pt>
                <c:pt idx="1263">
                  <c:v>2.2043508452688383</c:v>
                </c:pt>
                <c:pt idx="1264">
                  <c:v>2.2060961745208325</c:v>
                </c:pt>
                <c:pt idx="1265">
                  <c:v>2.2078415037728267</c:v>
                </c:pt>
                <c:pt idx="1266">
                  <c:v>2.2095868330248214</c:v>
                </c:pt>
                <c:pt idx="1267">
                  <c:v>2.2113321622768156</c:v>
                </c:pt>
                <c:pt idx="1268">
                  <c:v>2.2130774915288098</c:v>
                </c:pt>
                <c:pt idx="1269">
                  <c:v>2.2148228207808041</c:v>
                </c:pt>
                <c:pt idx="1270">
                  <c:v>2.2165681500327987</c:v>
                </c:pt>
                <c:pt idx="1271">
                  <c:v>2.2183134792847929</c:v>
                </c:pt>
                <c:pt idx="1272">
                  <c:v>2.2200588085367872</c:v>
                </c:pt>
                <c:pt idx="1273">
                  <c:v>2.2218041377887818</c:v>
                </c:pt>
                <c:pt idx="1274">
                  <c:v>2.2235494670407761</c:v>
                </c:pt>
                <c:pt idx="1275">
                  <c:v>2.2252947962927703</c:v>
                </c:pt>
                <c:pt idx="1276">
                  <c:v>2.2270401255447645</c:v>
                </c:pt>
                <c:pt idx="1277">
                  <c:v>2.2287854547967587</c:v>
                </c:pt>
                <c:pt idx="1278">
                  <c:v>2.2305307840487529</c:v>
                </c:pt>
                <c:pt idx="1279">
                  <c:v>2.2322761133007472</c:v>
                </c:pt>
                <c:pt idx="1280">
                  <c:v>2.2340214425527418</c:v>
                </c:pt>
                <c:pt idx="1281">
                  <c:v>2.235766771804736</c:v>
                </c:pt>
                <c:pt idx="1282">
                  <c:v>2.2375121010567303</c:v>
                </c:pt>
                <c:pt idx="1283">
                  <c:v>2.2392574303087249</c:v>
                </c:pt>
                <c:pt idx="1284">
                  <c:v>2.2410027595607191</c:v>
                </c:pt>
                <c:pt idx="1285">
                  <c:v>2.2427480888127134</c:v>
                </c:pt>
                <c:pt idx="1286">
                  <c:v>2.2444934180647076</c:v>
                </c:pt>
                <c:pt idx="1287">
                  <c:v>2.2462387473167018</c:v>
                </c:pt>
                <c:pt idx="1288">
                  <c:v>2.2479840765686965</c:v>
                </c:pt>
                <c:pt idx="1289">
                  <c:v>2.2497294058206907</c:v>
                </c:pt>
                <c:pt idx="1290">
                  <c:v>2.2514747350726849</c:v>
                </c:pt>
                <c:pt idx="1291">
                  <c:v>2.2532200643246791</c:v>
                </c:pt>
                <c:pt idx="1292">
                  <c:v>2.2549653935766734</c:v>
                </c:pt>
                <c:pt idx="1293">
                  <c:v>2.256710722828668</c:v>
                </c:pt>
                <c:pt idx="1294">
                  <c:v>2.2584560520806622</c:v>
                </c:pt>
                <c:pt idx="1295">
                  <c:v>2.2602013813326565</c:v>
                </c:pt>
                <c:pt idx="1296">
                  <c:v>2.2619467105846516</c:v>
                </c:pt>
                <c:pt idx="1297">
                  <c:v>2.2636920398366458</c:v>
                </c:pt>
                <c:pt idx="1298">
                  <c:v>2.26543736908864</c:v>
                </c:pt>
                <c:pt idx="1299">
                  <c:v>2.2671826983406338</c:v>
                </c:pt>
                <c:pt idx="1300">
                  <c:v>2.2689280275926285</c:v>
                </c:pt>
                <c:pt idx="1301">
                  <c:v>2.2706733568446227</c:v>
                </c:pt>
                <c:pt idx="1302">
                  <c:v>2.2724186860966169</c:v>
                </c:pt>
                <c:pt idx="1303">
                  <c:v>2.2741640153486111</c:v>
                </c:pt>
                <c:pt idx="1304">
                  <c:v>2.2759093446006053</c:v>
                </c:pt>
                <c:pt idx="1305">
                  <c:v>2.2776546738526</c:v>
                </c:pt>
                <c:pt idx="1306">
                  <c:v>2.2794000031045942</c:v>
                </c:pt>
                <c:pt idx="1307">
                  <c:v>2.2811453323565885</c:v>
                </c:pt>
                <c:pt idx="1308">
                  <c:v>2.2828906616085831</c:v>
                </c:pt>
                <c:pt idx="1309">
                  <c:v>2.2846359908605773</c:v>
                </c:pt>
                <c:pt idx="1310">
                  <c:v>2.286381320112572</c:v>
                </c:pt>
                <c:pt idx="1311">
                  <c:v>2.2881266493645658</c:v>
                </c:pt>
                <c:pt idx="1312">
                  <c:v>2.28987197861656</c:v>
                </c:pt>
                <c:pt idx="1313">
                  <c:v>2.2916173078685551</c:v>
                </c:pt>
                <c:pt idx="1314">
                  <c:v>2.2933626371205493</c:v>
                </c:pt>
                <c:pt idx="1315">
                  <c:v>2.2951079663725436</c:v>
                </c:pt>
                <c:pt idx="1316">
                  <c:v>2.2968532956245378</c:v>
                </c:pt>
                <c:pt idx="1317">
                  <c:v>2.2985986248765315</c:v>
                </c:pt>
                <c:pt idx="1318">
                  <c:v>2.3003439541285267</c:v>
                </c:pt>
                <c:pt idx="1319">
                  <c:v>2.3020892833805209</c:v>
                </c:pt>
                <c:pt idx="1320">
                  <c:v>2.3038346126325151</c:v>
                </c:pt>
                <c:pt idx="1321">
                  <c:v>2.3055799418845098</c:v>
                </c:pt>
                <c:pt idx="1322">
                  <c:v>2.307325271136504</c:v>
                </c:pt>
                <c:pt idx="1323">
                  <c:v>2.3090706003884982</c:v>
                </c:pt>
                <c:pt idx="1324">
                  <c:v>2.3108159296404924</c:v>
                </c:pt>
                <c:pt idx="1325">
                  <c:v>2.3125612588924866</c:v>
                </c:pt>
                <c:pt idx="1326">
                  <c:v>2.3143065881444809</c:v>
                </c:pt>
                <c:pt idx="1327">
                  <c:v>2.3160519173964751</c:v>
                </c:pt>
                <c:pt idx="1328">
                  <c:v>2.3177972466484693</c:v>
                </c:pt>
                <c:pt idx="1329">
                  <c:v>2.3195425759004635</c:v>
                </c:pt>
                <c:pt idx="1330">
                  <c:v>2.3212879051524582</c:v>
                </c:pt>
                <c:pt idx="1331">
                  <c:v>2.3230332344044524</c:v>
                </c:pt>
                <c:pt idx="1332">
                  <c:v>2.3247785636564466</c:v>
                </c:pt>
                <c:pt idx="1333">
                  <c:v>2.3265238929084413</c:v>
                </c:pt>
                <c:pt idx="1334">
                  <c:v>2.3282692221604355</c:v>
                </c:pt>
                <c:pt idx="1335">
                  <c:v>2.3300145514124297</c:v>
                </c:pt>
                <c:pt idx="1336">
                  <c:v>2.331759880664424</c:v>
                </c:pt>
                <c:pt idx="1337">
                  <c:v>2.3335052099164182</c:v>
                </c:pt>
                <c:pt idx="1338">
                  <c:v>2.3352505391684129</c:v>
                </c:pt>
                <c:pt idx="1339">
                  <c:v>2.3369958684204071</c:v>
                </c:pt>
                <c:pt idx="1340">
                  <c:v>2.3387411976724013</c:v>
                </c:pt>
                <c:pt idx="1341">
                  <c:v>2.340486526924396</c:v>
                </c:pt>
                <c:pt idx="1342">
                  <c:v>2.3422318561763902</c:v>
                </c:pt>
                <c:pt idx="1343">
                  <c:v>2.3439771854283844</c:v>
                </c:pt>
                <c:pt idx="1344">
                  <c:v>2.3457225146803791</c:v>
                </c:pt>
                <c:pt idx="1345">
                  <c:v>2.3474678439323733</c:v>
                </c:pt>
                <c:pt idx="1346">
                  <c:v>2.349213173184368</c:v>
                </c:pt>
                <c:pt idx="1347">
                  <c:v>2.3509585024363622</c:v>
                </c:pt>
                <c:pt idx="1348">
                  <c:v>2.3527038316883564</c:v>
                </c:pt>
                <c:pt idx="1349">
                  <c:v>2.3544491609403506</c:v>
                </c:pt>
                <c:pt idx="1350">
                  <c:v>2.3561944901923448</c:v>
                </c:pt>
                <c:pt idx="1351">
                  <c:v>2.3579398194443391</c:v>
                </c:pt>
                <c:pt idx="1352">
                  <c:v>2.3596851486963333</c:v>
                </c:pt>
                <c:pt idx="1353">
                  <c:v>2.3614304779483275</c:v>
                </c:pt>
                <c:pt idx="1354">
                  <c:v>2.3631758072003217</c:v>
                </c:pt>
                <c:pt idx="1355">
                  <c:v>2.3649211364523164</c:v>
                </c:pt>
                <c:pt idx="1356">
                  <c:v>2.3666664657043106</c:v>
                </c:pt>
                <c:pt idx="1357">
                  <c:v>2.3684117949563048</c:v>
                </c:pt>
                <c:pt idx="1358">
                  <c:v>2.3701571242082999</c:v>
                </c:pt>
                <c:pt idx="1359">
                  <c:v>2.3719024534602942</c:v>
                </c:pt>
                <c:pt idx="1360">
                  <c:v>2.3736477827122884</c:v>
                </c:pt>
                <c:pt idx="1361">
                  <c:v>2.3753931119642822</c:v>
                </c:pt>
                <c:pt idx="1362">
                  <c:v>2.3771384412162764</c:v>
                </c:pt>
                <c:pt idx="1363">
                  <c:v>2.3788837704682715</c:v>
                </c:pt>
                <c:pt idx="1364">
                  <c:v>2.3806290997202657</c:v>
                </c:pt>
                <c:pt idx="1365">
                  <c:v>2.3823744289722599</c:v>
                </c:pt>
                <c:pt idx="1366">
                  <c:v>2.3841197582242537</c:v>
                </c:pt>
                <c:pt idx="1367">
                  <c:v>2.3858650874762479</c:v>
                </c:pt>
                <c:pt idx="1368">
                  <c:v>2.387610416728243</c:v>
                </c:pt>
                <c:pt idx="1369">
                  <c:v>2.3893557459802373</c:v>
                </c:pt>
                <c:pt idx="1370">
                  <c:v>2.3911010752322315</c:v>
                </c:pt>
                <c:pt idx="1371">
                  <c:v>2.3928464044842261</c:v>
                </c:pt>
                <c:pt idx="1372">
                  <c:v>2.3945917337362204</c:v>
                </c:pt>
                <c:pt idx="1373">
                  <c:v>2.3963370629882146</c:v>
                </c:pt>
                <c:pt idx="1374">
                  <c:v>2.3980823922402088</c:v>
                </c:pt>
                <c:pt idx="1375">
                  <c:v>2.399827721492203</c:v>
                </c:pt>
                <c:pt idx="1376">
                  <c:v>2.4015730507441972</c:v>
                </c:pt>
                <c:pt idx="1377">
                  <c:v>2.4033183799961915</c:v>
                </c:pt>
                <c:pt idx="1378">
                  <c:v>2.4050637092481857</c:v>
                </c:pt>
                <c:pt idx="1379">
                  <c:v>2.4068090385001799</c:v>
                </c:pt>
                <c:pt idx="1380">
                  <c:v>2.4085543677521746</c:v>
                </c:pt>
                <c:pt idx="1381">
                  <c:v>2.4102996970041692</c:v>
                </c:pt>
                <c:pt idx="1382">
                  <c:v>2.4120450262561635</c:v>
                </c:pt>
                <c:pt idx="1383">
                  <c:v>2.4137903555081577</c:v>
                </c:pt>
                <c:pt idx="1384">
                  <c:v>2.4155356847601519</c:v>
                </c:pt>
                <c:pt idx="1385">
                  <c:v>2.4172810140121466</c:v>
                </c:pt>
                <c:pt idx="1386">
                  <c:v>2.4190263432641408</c:v>
                </c:pt>
                <c:pt idx="1387">
                  <c:v>2.420771672516135</c:v>
                </c:pt>
                <c:pt idx="1388">
                  <c:v>2.4225170017681297</c:v>
                </c:pt>
                <c:pt idx="1389">
                  <c:v>2.4242623310201239</c:v>
                </c:pt>
                <c:pt idx="1390">
                  <c:v>2.4260076602721181</c:v>
                </c:pt>
                <c:pt idx="1391">
                  <c:v>2.4277529895241123</c:v>
                </c:pt>
                <c:pt idx="1392">
                  <c:v>2.4294983187761066</c:v>
                </c:pt>
                <c:pt idx="1393">
                  <c:v>2.4312436480281012</c:v>
                </c:pt>
                <c:pt idx="1394">
                  <c:v>2.4329889772800954</c:v>
                </c:pt>
                <c:pt idx="1395">
                  <c:v>2.4347343065320897</c:v>
                </c:pt>
                <c:pt idx="1396">
                  <c:v>2.4364796357840843</c:v>
                </c:pt>
                <c:pt idx="1397">
                  <c:v>2.4382249650360786</c:v>
                </c:pt>
                <c:pt idx="1398">
                  <c:v>2.4399702942880728</c:v>
                </c:pt>
                <c:pt idx="1399">
                  <c:v>2.441715623540067</c:v>
                </c:pt>
                <c:pt idx="1400">
                  <c:v>2.4434609527920612</c:v>
                </c:pt>
                <c:pt idx="1401">
                  <c:v>2.4452062820440554</c:v>
                </c:pt>
                <c:pt idx="1402">
                  <c:v>2.4469516112960497</c:v>
                </c:pt>
                <c:pt idx="1403">
                  <c:v>2.4486969405480439</c:v>
                </c:pt>
                <c:pt idx="1404">
                  <c:v>2.4504422698000381</c:v>
                </c:pt>
                <c:pt idx="1405">
                  <c:v>2.4521875990520328</c:v>
                </c:pt>
                <c:pt idx="1406">
                  <c:v>2.453932928304027</c:v>
                </c:pt>
                <c:pt idx="1407">
                  <c:v>2.4556782575560212</c:v>
                </c:pt>
                <c:pt idx="1408">
                  <c:v>2.4574235868080163</c:v>
                </c:pt>
                <c:pt idx="1409">
                  <c:v>2.4591689160600105</c:v>
                </c:pt>
                <c:pt idx="1410">
                  <c:v>2.4609142453120043</c:v>
                </c:pt>
                <c:pt idx="1411">
                  <c:v>2.4626595745639985</c:v>
                </c:pt>
                <c:pt idx="1412">
                  <c:v>2.4644049038159932</c:v>
                </c:pt>
                <c:pt idx="1413">
                  <c:v>2.4661502330679879</c:v>
                </c:pt>
                <c:pt idx="1414">
                  <c:v>2.4678955623199821</c:v>
                </c:pt>
                <c:pt idx="1415">
                  <c:v>2.4696408915719763</c:v>
                </c:pt>
                <c:pt idx="1416">
                  <c:v>2.4713862208239705</c:v>
                </c:pt>
                <c:pt idx="1417">
                  <c:v>2.4731315500759647</c:v>
                </c:pt>
                <c:pt idx="1418">
                  <c:v>2.4748768793279594</c:v>
                </c:pt>
                <c:pt idx="1419">
                  <c:v>2.4766222085799536</c:v>
                </c:pt>
                <c:pt idx="1420">
                  <c:v>2.4783675378319479</c:v>
                </c:pt>
                <c:pt idx="1421">
                  <c:v>2.4801128670839425</c:v>
                </c:pt>
                <c:pt idx="1422">
                  <c:v>2.4818581963359367</c:v>
                </c:pt>
                <c:pt idx="1423">
                  <c:v>2.483603525587931</c:v>
                </c:pt>
                <c:pt idx="1424">
                  <c:v>2.4853488548399252</c:v>
                </c:pt>
                <c:pt idx="1425">
                  <c:v>2.4870941840919198</c:v>
                </c:pt>
                <c:pt idx="1426">
                  <c:v>2.4888395133439141</c:v>
                </c:pt>
                <c:pt idx="1427">
                  <c:v>2.4905848425959083</c:v>
                </c:pt>
                <c:pt idx="1428">
                  <c:v>2.4923301718479021</c:v>
                </c:pt>
                <c:pt idx="1429">
                  <c:v>2.4940755010998963</c:v>
                </c:pt>
                <c:pt idx="1430">
                  <c:v>2.4958208303518914</c:v>
                </c:pt>
                <c:pt idx="1431">
                  <c:v>2.4975661596038856</c:v>
                </c:pt>
                <c:pt idx="1432">
                  <c:v>2.4993114888558798</c:v>
                </c:pt>
                <c:pt idx="1433">
                  <c:v>2.5010568181078745</c:v>
                </c:pt>
                <c:pt idx="1434">
                  <c:v>2.5028021473598687</c:v>
                </c:pt>
                <c:pt idx="1435">
                  <c:v>2.5045474766118629</c:v>
                </c:pt>
                <c:pt idx="1436">
                  <c:v>2.5062928058638572</c:v>
                </c:pt>
                <c:pt idx="1437">
                  <c:v>2.5080381351158514</c:v>
                </c:pt>
                <c:pt idx="1438">
                  <c:v>2.5097834643678461</c:v>
                </c:pt>
                <c:pt idx="1439">
                  <c:v>2.5115287936198403</c:v>
                </c:pt>
                <c:pt idx="1440">
                  <c:v>2.5132741228718345</c:v>
                </c:pt>
                <c:pt idx="1441">
                  <c:v>2.5150194521238287</c:v>
                </c:pt>
                <c:pt idx="1442">
                  <c:v>2.5167647813758229</c:v>
                </c:pt>
                <c:pt idx="1443">
                  <c:v>2.5185101106278176</c:v>
                </c:pt>
                <c:pt idx="1444">
                  <c:v>2.5202554398798118</c:v>
                </c:pt>
                <c:pt idx="1445">
                  <c:v>2.522000769131806</c:v>
                </c:pt>
                <c:pt idx="1446">
                  <c:v>2.5237460983838012</c:v>
                </c:pt>
                <c:pt idx="1447">
                  <c:v>2.5254914276357949</c:v>
                </c:pt>
                <c:pt idx="1448">
                  <c:v>2.5272367568877891</c:v>
                </c:pt>
                <c:pt idx="1449">
                  <c:v>2.5289820861397834</c:v>
                </c:pt>
                <c:pt idx="1450">
                  <c:v>2.5307274153917776</c:v>
                </c:pt>
                <c:pt idx="1451">
                  <c:v>2.5324727446437718</c:v>
                </c:pt>
                <c:pt idx="1452">
                  <c:v>2.534218073895766</c:v>
                </c:pt>
                <c:pt idx="1453">
                  <c:v>2.5359634031477607</c:v>
                </c:pt>
                <c:pt idx="1454">
                  <c:v>2.5377087323997549</c:v>
                </c:pt>
                <c:pt idx="1455">
                  <c:v>2.5394540616517491</c:v>
                </c:pt>
                <c:pt idx="1456">
                  <c:v>2.5411993909037438</c:v>
                </c:pt>
                <c:pt idx="1457">
                  <c:v>2.542944720155738</c:v>
                </c:pt>
                <c:pt idx="1458">
                  <c:v>2.5446900494077327</c:v>
                </c:pt>
                <c:pt idx="1459">
                  <c:v>2.5464353786597269</c:v>
                </c:pt>
                <c:pt idx="1460">
                  <c:v>2.5481807079117211</c:v>
                </c:pt>
                <c:pt idx="1461">
                  <c:v>2.5499260371637154</c:v>
                </c:pt>
                <c:pt idx="1462">
                  <c:v>2.5516713664157096</c:v>
                </c:pt>
                <c:pt idx="1463">
                  <c:v>2.5534166956677042</c:v>
                </c:pt>
                <c:pt idx="1464">
                  <c:v>2.5551620249196985</c:v>
                </c:pt>
                <c:pt idx="1465">
                  <c:v>2.5569073541716927</c:v>
                </c:pt>
                <c:pt idx="1466">
                  <c:v>2.5586526834236869</c:v>
                </c:pt>
                <c:pt idx="1467">
                  <c:v>2.5603980126756811</c:v>
                </c:pt>
                <c:pt idx="1468">
                  <c:v>2.5621433419276758</c:v>
                </c:pt>
                <c:pt idx="1469">
                  <c:v>2.5638886711796705</c:v>
                </c:pt>
                <c:pt idx="1470">
                  <c:v>2.5656340004316647</c:v>
                </c:pt>
                <c:pt idx="1471">
                  <c:v>2.5673793296836589</c:v>
                </c:pt>
                <c:pt idx="1472">
                  <c:v>2.5691246589356536</c:v>
                </c:pt>
                <c:pt idx="1473">
                  <c:v>2.5708699881876478</c:v>
                </c:pt>
                <c:pt idx="1474">
                  <c:v>2.572615317439642</c:v>
                </c:pt>
                <c:pt idx="1475">
                  <c:v>2.5743606466916362</c:v>
                </c:pt>
                <c:pt idx="1476">
                  <c:v>2.5761059759436304</c:v>
                </c:pt>
                <c:pt idx="1477">
                  <c:v>2.5778513051956242</c:v>
                </c:pt>
                <c:pt idx="1478">
                  <c:v>2.5795966344476184</c:v>
                </c:pt>
                <c:pt idx="1479">
                  <c:v>2.5813419636996127</c:v>
                </c:pt>
                <c:pt idx="1480">
                  <c:v>2.5830872929516078</c:v>
                </c:pt>
                <c:pt idx="1481">
                  <c:v>2.584832622203602</c:v>
                </c:pt>
                <c:pt idx="1482">
                  <c:v>2.5865779514555962</c:v>
                </c:pt>
                <c:pt idx="1483">
                  <c:v>2.5883232807075909</c:v>
                </c:pt>
                <c:pt idx="1484">
                  <c:v>2.5900686099595851</c:v>
                </c:pt>
                <c:pt idx="1485">
                  <c:v>2.5918139392115793</c:v>
                </c:pt>
                <c:pt idx="1486">
                  <c:v>2.5935592684635735</c:v>
                </c:pt>
                <c:pt idx="1487">
                  <c:v>2.5953045977155678</c:v>
                </c:pt>
                <c:pt idx="1488">
                  <c:v>2.5970499269675624</c:v>
                </c:pt>
                <c:pt idx="1489">
                  <c:v>2.5987952562195566</c:v>
                </c:pt>
                <c:pt idx="1490">
                  <c:v>2.6005405854715509</c:v>
                </c:pt>
                <c:pt idx="1491">
                  <c:v>2.6022859147235451</c:v>
                </c:pt>
                <c:pt idx="1492">
                  <c:v>2.6040312439755393</c:v>
                </c:pt>
                <c:pt idx="1493">
                  <c:v>2.605776573227534</c:v>
                </c:pt>
                <c:pt idx="1494">
                  <c:v>2.6075219024795282</c:v>
                </c:pt>
                <c:pt idx="1495">
                  <c:v>2.6092672317315224</c:v>
                </c:pt>
                <c:pt idx="1496">
                  <c:v>2.6110125609835175</c:v>
                </c:pt>
                <c:pt idx="1497">
                  <c:v>2.6127578902355113</c:v>
                </c:pt>
                <c:pt idx="1498">
                  <c:v>2.6145032194875055</c:v>
                </c:pt>
                <c:pt idx="1499">
                  <c:v>2.6162485487394997</c:v>
                </c:pt>
                <c:pt idx="1500">
                  <c:v>2.6179938779914944</c:v>
                </c:pt>
                <c:pt idx="1501">
                  <c:v>2.6197392072434886</c:v>
                </c:pt>
                <c:pt idx="1502">
                  <c:v>2.6214845364954829</c:v>
                </c:pt>
                <c:pt idx="1503">
                  <c:v>2.6232298657474771</c:v>
                </c:pt>
                <c:pt idx="1504">
                  <c:v>2.6249751949994713</c:v>
                </c:pt>
                <c:pt idx="1505">
                  <c:v>2.626720524251466</c:v>
                </c:pt>
                <c:pt idx="1506">
                  <c:v>2.6284658535034602</c:v>
                </c:pt>
                <c:pt idx="1507">
                  <c:v>2.6302111827554544</c:v>
                </c:pt>
                <c:pt idx="1508">
                  <c:v>2.6319565120074491</c:v>
                </c:pt>
                <c:pt idx="1509">
                  <c:v>2.6337018412594433</c:v>
                </c:pt>
                <c:pt idx="1510">
                  <c:v>2.6354471705114375</c:v>
                </c:pt>
                <c:pt idx="1511">
                  <c:v>2.6371924997634317</c:v>
                </c:pt>
                <c:pt idx="1512">
                  <c:v>2.638937829015426</c:v>
                </c:pt>
                <c:pt idx="1513">
                  <c:v>2.6406831582674211</c:v>
                </c:pt>
                <c:pt idx="1514">
                  <c:v>2.6424284875194153</c:v>
                </c:pt>
                <c:pt idx="1515">
                  <c:v>2.6441738167714091</c:v>
                </c:pt>
                <c:pt idx="1516">
                  <c:v>2.6459191460234033</c:v>
                </c:pt>
                <c:pt idx="1517">
                  <c:v>2.6476644752753975</c:v>
                </c:pt>
                <c:pt idx="1518">
                  <c:v>2.6494098045273926</c:v>
                </c:pt>
                <c:pt idx="1519">
                  <c:v>2.6511551337793868</c:v>
                </c:pt>
                <c:pt idx="1520">
                  <c:v>2.6529004630313806</c:v>
                </c:pt>
                <c:pt idx="1521">
                  <c:v>2.6546457922833757</c:v>
                </c:pt>
                <c:pt idx="1522">
                  <c:v>2.6563911215353699</c:v>
                </c:pt>
                <c:pt idx="1523">
                  <c:v>2.6581364507873642</c:v>
                </c:pt>
                <c:pt idx="1524">
                  <c:v>2.6598817800393584</c:v>
                </c:pt>
                <c:pt idx="1525">
                  <c:v>2.6616271092913526</c:v>
                </c:pt>
                <c:pt idx="1526">
                  <c:v>2.6633724385433464</c:v>
                </c:pt>
                <c:pt idx="1527">
                  <c:v>2.665117767795341</c:v>
                </c:pt>
                <c:pt idx="1528">
                  <c:v>2.6668630970473353</c:v>
                </c:pt>
                <c:pt idx="1529">
                  <c:v>2.6686084262993295</c:v>
                </c:pt>
                <c:pt idx="1530">
                  <c:v>2.6703537555513241</c:v>
                </c:pt>
                <c:pt idx="1531">
                  <c:v>2.6720990848033184</c:v>
                </c:pt>
                <c:pt idx="1532">
                  <c:v>2.6738444140553126</c:v>
                </c:pt>
                <c:pt idx="1533">
                  <c:v>2.6755897433073073</c:v>
                </c:pt>
                <c:pt idx="1534">
                  <c:v>2.6773350725593015</c:v>
                </c:pt>
                <c:pt idx="1535">
                  <c:v>2.6790804018112957</c:v>
                </c:pt>
                <c:pt idx="1536">
                  <c:v>2.6808257310632899</c:v>
                </c:pt>
                <c:pt idx="1537">
                  <c:v>2.6825710603152846</c:v>
                </c:pt>
                <c:pt idx="1538">
                  <c:v>2.6843163895672788</c:v>
                </c:pt>
                <c:pt idx="1539">
                  <c:v>2.686061718819273</c:v>
                </c:pt>
                <c:pt idx="1540">
                  <c:v>2.6878070480712677</c:v>
                </c:pt>
                <c:pt idx="1541">
                  <c:v>2.6895523773232619</c:v>
                </c:pt>
                <c:pt idx="1542">
                  <c:v>2.6912977065752561</c:v>
                </c:pt>
                <c:pt idx="1543">
                  <c:v>2.6930430358272508</c:v>
                </c:pt>
                <c:pt idx="1544">
                  <c:v>2.694788365079245</c:v>
                </c:pt>
                <c:pt idx="1545">
                  <c:v>2.6965336943312392</c:v>
                </c:pt>
                <c:pt idx="1546">
                  <c:v>2.6982790235832335</c:v>
                </c:pt>
                <c:pt idx="1547">
                  <c:v>2.7000243528352281</c:v>
                </c:pt>
                <c:pt idx="1548">
                  <c:v>2.7017696820872223</c:v>
                </c:pt>
                <c:pt idx="1549">
                  <c:v>2.7035150113392166</c:v>
                </c:pt>
                <c:pt idx="1550">
                  <c:v>2.7052603405912108</c:v>
                </c:pt>
                <c:pt idx="1551">
                  <c:v>2.707005669843205</c:v>
                </c:pt>
                <c:pt idx="1552">
                  <c:v>2.7087509990951992</c:v>
                </c:pt>
                <c:pt idx="1553">
                  <c:v>2.7104963283471935</c:v>
                </c:pt>
                <c:pt idx="1554">
                  <c:v>2.7122416575991877</c:v>
                </c:pt>
                <c:pt idx="1555">
                  <c:v>2.7139869868511823</c:v>
                </c:pt>
                <c:pt idx="1556">
                  <c:v>2.7157323161031766</c:v>
                </c:pt>
                <c:pt idx="1557">
                  <c:v>2.7174776453551708</c:v>
                </c:pt>
                <c:pt idx="1558">
                  <c:v>2.7192229746071654</c:v>
                </c:pt>
                <c:pt idx="1559">
                  <c:v>2.7209683038591597</c:v>
                </c:pt>
                <c:pt idx="1560">
                  <c:v>2.7227136331111539</c:v>
                </c:pt>
                <c:pt idx="1561">
                  <c:v>2.7244589623631481</c:v>
                </c:pt>
                <c:pt idx="1562">
                  <c:v>2.7262042916151423</c:v>
                </c:pt>
                <c:pt idx="1563">
                  <c:v>2.7279496208671374</c:v>
                </c:pt>
                <c:pt idx="1564">
                  <c:v>2.7296949501191312</c:v>
                </c:pt>
                <c:pt idx="1565">
                  <c:v>2.7314402793711254</c:v>
                </c:pt>
                <c:pt idx="1566">
                  <c:v>2.7331856086231197</c:v>
                </c:pt>
                <c:pt idx="1567">
                  <c:v>2.7349309378751139</c:v>
                </c:pt>
                <c:pt idx="1568">
                  <c:v>2.736676267127109</c:v>
                </c:pt>
                <c:pt idx="1569">
                  <c:v>2.7384215963791032</c:v>
                </c:pt>
                <c:pt idx="1570">
                  <c:v>2.740166925631097</c:v>
                </c:pt>
                <c:pt idx="1571">
                  <c:v>2.7419122548830921</c:v>
                </c:pt>
                <c:pt idx="1572">
                  <c:v>2.7436575841350863</c:v>
                </c:pt>
                <c:pt idx="1573">
                  <c:v>2.7454029133870805</c:v>
                </c:pt>
                <c:pt idx="1574">
                  <c:v>2.7471482426390748</c:v>
                </c:pt>
                <c:pt idx="1575">
                  <c:v>2.748893571891069</c:v>
                </c:pt>
                <c:pt idx="1576">
                  <c:v>2.7506389011430632</c:v>
                </c:pt>
                <c:pt idx="1577">
                  <c:v>2.7523842303950574</c:v>
                </c:pt>
                <c:pt idx="1578">
                  <c:v>2.7541295596470516</c:v>
                </c:pt>
                <c:pt idx="1579">
                  <c:v>2.7558748888990459</c:v>
                </c:pt>
                <c:pt idx="1580">
                  <c:v>2.7576202181510405</c:v>
                </c:pt>
                <c:pt idx="1581">
                  <c:v>2.7593655474030352</c:v>
                </c:pt>
                <c:pt idx="1582">
                  <c:v>2.761110876655029</c:v>
                </c:pt>
                <c:pt idx="1583">
                  <c:v>2.7628562059070236</c:v>
                </c:pt>
                <c:pt idx="1584">
                  <c:v>2.7646015351590183</c:v>
                </c:pt>
                <c:pt idx="1585">
                  <c:v>2.7663468644110125</c:v>
                </c:pt>
                <c:pt idx="1586">
                  <c:v>2.7680921936630067</c:v>
                </c:pt>
                <c:pt idx="1587">
                  <c:v>2.769837522915001</c:v>
                </c:pt>
                <c:pt idx="1588">
                  <c:v>2.7715828521669956</c:v>
                </c:pt>
                <c:pt idx="1589">
                  <c:v>2.7733281814189898</c:v>
                </c:pt>
                <c:pt idx="1590">
                  <c:v>2.7750735106709841</c:v>
                </c:pt>
                <c:pt idx="1591">
                  <c:v>2.7768188399229783</c:v>
                </c:pt>
                <c:pt idx="1592">
                  <c:v>2.7785641691749725</c:v>
                </c:pt>
                <c:pt idx="1593">
                  <c:v>2.7803094984269672</c:v>
                </c:pt>
                <c:pt idx="1594">
                  <c:v>2.7820548276789614</c:v>
                </c:pt>
                <c:pt idx="1595">
                  <c:v>2.7838001569309556</c:v>
                </c:pt>
                <c:pt idx="1596">
                  <c:v>2.7855454861829503</c:v>
                </c:pt>
                <c:pt idx="1597">
                  <c:v>2.7872908154349445</c:v>
                </c:pt>
                <c:pt idx="1598">
                  <c:v>2.7890361446869387</c:v>
                </c:pt>
                <c:pt idx="1599">
                  <c:v>2.7907814739389329</c:v>
                </c:pt>
                <c:pt idx="1600">
                  <c:v>2.7925268031909272</c:v>
                </c:pt>
                <c:pt idx="1601">
                  <c:v>2.7942721324429218</c:v>
                </c:pt>
                <c:pt idx="1602">
                  <c:v>2.7960174616949156</c:v>
                </c:pt>
                <c:pt idx="1603">
                  <c:v>2.7977627909469103</c:v>
                </c:pt>
                <c:pt idx="1604">
                  <c:v>2.799508120198904</c:v>
                </c:pt>
                <c:pt idx="1605">
                  <c:v>2.8012534494508987</c:v>
                </c:pt>
                <c:pt idx="1606">
                  <c:v>2.8029987787028929</c:v>
                </c:pt>
                <c:pt idx="1607">
                  <c:v>2.8047441079548872</c:v>
                </c:pt>
                <c:pt idx="1608">
                  <c:v>2.8064894372068818</c:v>
                </c:pt>
                <c:pt idx="1609">
                  <c:v>2.808234766458876</c:v>
                </c:pt>
                <c:pt idx="1610">
                  <c:v>2.8099800957108703</c:v>
                </c:pt>
                <c:pt idx="1611">
                  <c:v>2.8117254249628649</c:v>
                </c:pt>
                <c:pt idx="1612">
                  <c:v>2.8134707542148596</c:v>
                </c:pt>
                <c:pt idx="1613">
                  <c:v>2.8152160834668534</c:v>
                </c:pt>
                <c:pt idx="1614">
                  <c:v>2.8169614127188476</c:v>
                </c:pt>
                <c:pt idx="1615">
                  <c:v>2.8187067419708423</c:v>
                </c:pt>
                <c:pt idx="1616">
                  <c:v>2.8204520712228365</c:v>
                </c:pt>
                <c:pt idx="1617">
                  <c:v>2.8221974004748311</c:v>
                </c:pt>
                <c:pt idx="1618">
                  <c:v>2.8239427297268254</c:v>
                </c:pt>
                <c:pt idx="1619">
                  <c:v>2.8256880589788196</c:v>
                </c:pt>
                <c:pt idx="1620">
                  <c:v>2.8274333882308138</c:v>
                </c:pt>
                <c:pt idx="1621">
                  <c:v>2.8291787174828085</c:v>
                </c:pt>
                <c:pt idx="1622">
                  <c:v>2.8309240467348022</c:v>
                </c:pt>
                <c:pt idx="1623">
                  <c:v>2.8326693759867969</c:v>
                </c:pt>
                <c:pt idx="1624">
                  <c:v>2.8344147052387907</c:v>
                </c:pt>
                <c:pt idx="1625">
                  <c:v>2.8361600344907854</c:v>
                </c:pt>
                <c:pt idx="1626">
                  <c:v>2.83790536374278</c:v>
                </c:pt>
                <c:pt idx="1627">
                  <c:v>2.8396506929947738</c:v>
                </c:pt>
                <c:pt idx="1628">
                  <c:v>2.8413960222467689</c:v>
                </c:pt>
                <c:pt idx="1629">
                  <c:v>2.8431413514987622</c:v>
                </c:pt>
                <c:pt idx="1630">
                  <c:v>2.8448866807507569</c:v>
                </c:pt>
                <c:pt idx="1631">
                  <c:v>2.8466320100027511</c:v>
                </c:pt>
                <c:pt idx="1632">
                  <c:v>2.8483773392547453</c:v>
                </c:pt>
                <c:pt idx="1633">
                  <c:v>2.8501226685067396</c:v>
                </c:pt>
                <c:pt idx="1634">
                  <c:v>2.8518679977587347</c:v>
                </c:pt>
                <c:pt idx="1635">
                  <c:v>2.8536133270107289</c:v>
                </c:pt>
                <c:pt idx="1636">
                  <c:v>2.8553586562627231</c:v>
                </c:pt>
                <c:pt idx="1637">
                  <c:v>2.8571039855147182</c:v>
                </c:pt>
                <c:pt idx="1638">
                  <c:v>2.8588493147667116</c:v>
                </c:pt>
                <c:pt idx="1639">
                  <c:v>2.8605946440187058</c:v>
                </c:pt>
                <c:pt idx="1640">
                  <c:v>2.8623399732707</c:v>
                </c:pt>
                <c:pt idx="1641">
                  <c:v>2.8640853025226942</c:v>
                </c:pt>
                <c:pt idx="1642">
                  <c:v>2.8658306317746893</c:v>
                </c:pt>
                <c:pt idx="1643">
                  <c:v>2.8675759610266836</c:v>
                </c:pt>
                <c:pt idx="1644">
                  <c:v>2.8693212902786778</c:v>
                </c:pt>
                <c:pt idx="1645">
                  <c:v>2.871066619530672</c:v>
                </c:pt>
                <c:pt idx="1646">
                  <c:v>2.8728119487826671</c:v>
                </c:pt>
                <c:pt idx="1647">
                  <c:v>2.8745572780346604</c:v>
                </c:pt>
                <c:pt idx="1648">
                  <c:v>2.8763026072866555</c:v>
                </c:pt>
                <c:pt idx="1649">
                  <c:v>2.8780479365386493</c:v>
                </c:pt>
                <c:pt idx="1650">
                  <c:v>2.8797932657906435</c:v>
                </c:pt>
                <c:pt idx="1651">
                  <c:v>2.8815385950426382</c:v>
                </c:pt>
                <c:pt idx="1652">
                  <c:v>2.883283924294632</c:v>
                </c:pt>
                <c:pt idx="1653">
                  <c:v>2.8850292535466266</c:v>
                </c:pt>
                <c:pt idx="1654">
                  <c:v>2.8867745827986204</c:v>
                </c:pt>
                <c:pt idx="1655">
                  <c:v>2.8885199120506155</c:v>
                </c:pt>
                <c:pt idx="1656">
                  <c:v>2.8902652413026098</c:v>
                </c:pt>
                <c:pt idx="1657">
                  <c:v>2.892010570554604</c:v>
                </c:pt>
                <c:pt idx="1658">
                  <c:v>2.8937558998065982</c:v>
                </c:pt>
                <c:pt idx="1659">
                  <c:v>2.8955012290585929</c:v>
                </c:pt>
                <c:pt idx="1660">
                  <c:v>2.8972465583105871</c:v>
                </c:pt>
                <c:pt idx="1661">
                  <c:v>2.8989918875625813</c:v>
                </c:pt>
                <c:pt idx="1662">
                  <c:v>2.900737216814576</c:v>
                </c:pt>
                <c:pt idx="1663">
                  <c:v>2.9024825460665693</c:v>
                </c:pt>
                <c:pt idx="1664">
                  <c:v>2.9042278753185644</c:v>
                </c:pt>
                <c:pt idx="1665">
                  <c:v>2.9059732045705586</c:v>
                </c:pt>
                <c:pt idx="1666">
                  <c:v>2.9077185338225529</c:v>
                </c:pt>
                <c:pt idx="1667">
                  <c:v>2.9094638630745475</c:v>
                </c:pt>
                <c:pt idx="1668">
                  <c:v>2.9112091923265422</c:v>
                </c:pt>
                <c:pt idx="1669">
                  <c:v>2.9129545215785364</c:v>
                </c:pt>
                <c:pt idx="1670">
                  <c:v>2.9146998508305306</c:v>
                </c:pt>
                <c:pt idx="1671">
                  <c:v>2.9164451800825248</c:v>
                </c:pt>
                <c:pt idx="1672">
                  <c:v>2.9181905093345191</c:v>
                </c:pt>
                <c:pt idx="1673">
                  <c:v>2.9199358385865133</c:v>
                </c:pt>
                <c:pt idx="1674">
                  <c:v>2.9216811678385071</c:v>
                </c:pt>
                <c:pt idx="1675">
                  <c:v>2.9234264970905017</c:v>
                </c:pt>
                <c:pt idx="1676">
                  <c:v>2.9251718263424968</c:v>
                </c:pt>
                <c:pt idx="1677">
                  <c:v>2.9269171555944902</c:v>
                </c:pt>
                <c:pt idx="1678">
                  <c:v>2.9286624848464853</c:v>
                </c:pt>
                <c:pt idx="1679">
                  <c:v>2.9304078140984791</c:v>
                </c:pt>
                <c:pt idx="1680">
                  <c:v>2.9321531433504737</c:v>
                </c:pt>
                <c:pt idx="1681">
                  <c:v>2.9338984726024679</c:v>
                </c:pt>
                <c:pt idx="1682">
                  <c:v>2.9356438018544622</c:v>
                </c:pt>
                <c:pt idx="1683">
                  <c:v>2.9373891311064564</c:v>
                </c:pt>
                <c:pt idx="1684">
                  <c:v>2.9391344603584506</c:v>
                </c:pt>
                <c:pt idx="1685">
                  <c:v>2.9408797896104448</c:v>
                </c:pt>
                <c:pt idx="1686">
                  <c:v>2.9426251188624395</c:v>
                </c:pt>
                <c:pt idx="1687">
                  <c:v>2.9443704481144342</c:v>
                </c:pt>
                <c:pt idx="1688">
                  <c:v>2.9461157773664279</c:v>
                </c:pt>
                <c:pt idx="1689">
                  <c:v>2.9478611066184226</c:v>
                </c:pt>
                <c:pt idx="1690">
                  <c:v>2.9496064358704168</c:v>
                </c:pt>
                <c:pt idx="1691">
                  <c:v>2.951351765122411</c:v>
                </c:pt>
                <c:pt idx="1692">
                  <c:v>2.9530970943744062</c:v>
                </c:pt>
                <c:pt idx="1693">
                  <c:v>2.9548424236263999</c:v>
                </c:pt>
                <c:pt idx="1694">
                  <c:v>2.9565877528783941</c:v>
                </c:pt>
                <c:pt idx="1695">
                  <c:v>2.9583330821303884</c:v>
                </c:pt>
                <c:pt idx="1696">
                  <c:v>2.960078411382383</c:v>
                </c:pt>
                <c:pt idx="1697">
                  <c:v>2.9618237406343768</c:v>
                </c:pt>
                <c:pt idx="1698">
                  <c:v>2.9635690698863715</c:v>
                </c:pt>
                <c:pt idx="1699">
                  <c:v>2.9653143991383653</c:v>
                </c:pt>
                <c:pt idx="1700">
                  <c:v>2.9670597283903604</c:v>
                </c:pt>
                <c:pt idx="1701">
                  <c:v>2.968805057642355</c:v>
                </c:pt>
                <c:pt idx="1702">
                  <c:v>2.9705503868943488</c:v>
                </c:pt>
                <c:pt idx="1703">
                  <c:v>2.9722957161463435</c:v>
                </c:pt>
                <c:pt idx="1704">
                  <c:v>2.9740410453983372</c:v>
                </c:pt>
                <c:pt idx="1705">
                  <c:v>2.9757863746503315</c:v>
                </c:pt>
                <c:pt idx="1706">
                  <c:v>2.9775317039023257</c:v>
                </c:pt>
                <c:pt idx="1707">
                  <c:v>2.9792770331543199</c:v>
                </c:pt>
                <c:pt idx="1708">
                  <c:v>2.9810223624063141</c:v>
                </c:pt>
                <c:pt idx="1709">
                  <c:v>2.9827676916583092</c:v>
                </c:pt>
                <c:pt idx="1710">
                  <c:v>2.9845130209103035</c:v>
                </c:pt>
                <c:pt idx="1711">
                  <c:v>2.9862583501622977</c:v>
                </c:pt>
                <c:pt idx="1712">
                  <c:v>2.9880036794142928</c:v>
                </c:pt>
                <c:pt idx="1713">
                  <c:v>2.9897490086662861</c:v>
                </c:pt>
                <c:pt idx="1714">
                  <c:v>2.9914943379182812</c:v>
                </c:pt>
                <c:pt idx="1715">
                  <c:v>2.9932396671702755</c:v>
                </c:pt>
                <c:pt idx="1716">
                  <c:v>2.9949849964222697</c:v>
                </c:pt>
                <c:pt idx="1717">
                  <c:v>2.9967303256742639</c:v>
                </c:pt>
                <c:pt idx="1718">
                  <c:v>2.9984756549262581</c:v>
                </c:pt>
                <c:pt idx="1719">
                  <c:v>3.0002209841782523</c:v>
                </c:pt>
                <c:pt idx="1720">
                  <c:v>3.0019663134302466</c:v>
                </c:pt>
                <c:pt idx="1721">
                  <c:v>3.0037116426822417</c:v>
                </c:pt>
                <c:pt idx="1722">
                  <c:v>3.005456971934235</c:v>
                </c:pt>
                <c:pt idx="1723">
                  <c:v>3.0072023011862301</c:v>
                </c:pt>
                <c:pt idx="1724">
                  <c:v>3.0089476304382239</c:v>
                </c:pt>
                <c:pt idx="1725">
                  <c:v>3.0106929596902186</c:v>
                </c:pt>
                <c:pt idx="1726">
                  <c:v>3.0124382889422128</c:v>
                </c:pt>
                <c:pt idx="1727">
                  <c:v>3.014183618194207</c:v>
                </c:pt>
                <c:pt idx="1728">
                  <c:v>3.0159289474462012</c:v>
                </c:pt>
                <c:pt idx="1729">
                  <c:v>3.017674276698195</c:v>
                </c:pt>
                <c:pt idx="1730">
                  <c:v>3.0194196059501901</c:v>
                </c:pt>
                <c:pt idx="1731">
                  <c:v>3.0211649352021843</c:v>
                </c:pt>
                <c:pt idx="1732">
                  <c:v>3.0229102644541785</c:v>
                </c:pt>
                <c:pt idx="1733">
                  <c:v>3.0246555937061728</c:v>
                </c:pt>
                <c:pt idx="1734">
                  <c:v>3.0264009229581674</c:v>
                </c:pt>
                <c:pt idx="1735">
                  <c:v>3.0281462522101616</c:v>
                </c:pt>
                <c:pt idx="1736">
                  <c:v>3.0298915814621563</c:v>
                </c:pt>
                <c:pt idx="1737">
                  <c:v>3.0316369107141505</c:v>
                </c:pt>
                <c:pt idx="1738">
                  <c:v>3.0333822399661448</c:v>
                </c:pt>
                <c:pt idx="1739">
                  <c:v>3.035127569218139</c:v>
                </c:pt>
                <c:pt idx="1740">
                  <c:v>3.0368728984701332</c:v>
                </c:pt>
                <c:pt idx="1741">
                  <c:v>3.0386182277221274</c:v>
                </c:pt>
                <c:pt idx="1742">
                  <c:v>3.0403635569741221</c:v>
                </c:pt>
                <c:pt idx="1743">
                  <c:v>3.0421088862261167</c:v>
                </c:pt>
                <c:pt idx="1744">
                  <c:v>3.043854215478111</c:v>
                </c:pt>
                <c:pt idx="1745">
                  <c:v>3.0455995447301052</c:v>
                </c:pt>
                <c:pt idx="1746">
                  <c:v>3.0473448739820999</c:v>
                </c:pt>
                <c:pt idx="1747">
                  <c:v>3.0490902032340936</c:v>
                </c:pt>
                <c:pt idx="1748">
                  <c:v>3.0508355324860883</c:v>
                </c:pt>
                <c:pt idx="1749">
                  <c:v>3.0525808617380821</c:v>
                </c:pt>
                <c:pt idx="1750">
                  <c:v>3.0543261909900763</c:v>
                </c:pt>
                <c:pt idx="1751">
                  <c:v>3.0560715202420714</c:v>
                </c:pt>
                <c:pt idx="1752">
                  <c:v>3.0578168494940647</c:v>
                </c:pt>
                <c:pt idx="1753">
                  <c:v>3.0595621787460598</c:v>
                </c:pt>
                <c:pt idx="1754">
                  <c:v>3.0613075079980536</c:v>
                </c:pt>
                <c:pt idx="1755">
                  <c:v>3.0630528372500483</c:v>
                </c:pt>
                <c:pt idx="1756">
                  <c:v>3.0647981665020425</c:v>
                </c:pt>
                <c:pt idx="1757">
                  <c:v>3.0665434957540367</c:v>
                </c:pt>
                <c:pt idx="1758">
                  <c:v>3.068288825006031</c:v>
                </c:pt>
                <c:pt idx="1759">
                  <c:v>3.0700341542580261</c:v>
                </c:pt>
                <c:pt idx="1760">
                  <c:v>3.0717794835100198</c:v>
                </c:pt>
                <c:pt idx="1761">
                  <c:v>3.0735248127620141</c:v>
                </c:pt>
                <c:pt idx="1762">
                  <c:v>3.0752701420140087</c:v>
                </c:pt>
                <c:pt idx="1763">
                  <c:v>3.0770154712660025</c:v>
                </c:pt>
                <c:pt idx="1764">
                  <c:v>3.0787608005179972</c:v>
                </c:pt>
                <c:pt idx="1765">
                  <c:v>3.0805061297699914</c:v>
                </c:pt>
                <c:pt idx="1766">
                  <c:v>3.0822514590219856</c:v>
                </c:pt>
                <c:pt idx="1767">
                  <c:v>3.0839967882739807</c:v>
                </c:pt>
                <c:pt idx="1768">
                  <c:v>3.0857421175259749</c:v>
                </c:pt>
                <c:pt idx="1769">
                  <c:v>3.0874874467779692</c:v>
                </c:pt>
                <c:pt idx="1770">
                  <c:v>3.0892327760299634</c:v>
                </c:pt>
                <c:pt idx="1771">
                  <c:v>3.0909781052819576</c:v>
                </c:pt>
                <c:pt idx="1772">
                  <c:v>3.0927234345339514</c:v>
                </c:pt>
                <c:pt idx="1773">
                  <c:v>3.0944687637859465</c:v>
                </c:pt>
                <c:pt idx="1774">
                  <c:v>3.0962140930379398</c:v>
                </c:pt>
                <c:pt idx="1775">
                  <c:v>3.0979594222899349</c:v>
                </c:pt>
                <c:pt idx="1776">
                  <c:v>3.0997047515419296</c:v>
                </c:pt>
                <c:pt idx="1777">
                  <c:v>3.1014500807939234</c:v>
                </c:pt>
                <c:pt idx="1778">
                  <c:v>3.103195410045918</c:v>
                </c:pt>
                <c:pt idx="1779">
                  <c:v>3.1049407392979118</c:v>
                </c:pt>
                <c:pt idx="1780">
                  <c:v>3.1066860685499069</c:v>
                </c:pt>
                <c:pt idx="1781">
                  <c:v>3.1084313978019011</c:v>
                </c:pt>
                <c:pt idx="1782">
                  <c:v>3.1101767270538954</c:v>
                </c:pt>
                <c:pt idx="1783">
                  <c:v>3.1119220563058896</c:v>
                </c:pt>
                <c:pt idx="1784">
                  <c:v>3.1136673855578838</c:v>
                </c:pt>
                <c:pt idx="1785">
                  <c:v>3.115412714809878</c:v>
                </c:pt>
                <c:pt idx="1786">
                  <c:v>3.1171580440618722</c:v>
                </c:pt>
                <c:pt idx="1787">
                  <c:v>3.1189033733138674</c:v>
                </c:pt>
                <c:pt idx="1788">
                  <c:v>3.1206487025658607</c:v>
                </c:pt>
                <c:pt idx="1789">
                  <c:v>3.1223940318178558</c:v>
                </c:pt>
                <c:pt idx="1790">
                  <c:v>3.12413936106985</c:v>
                </c:pt>
                <c:pt idx="1791">
                  <c:v>3.1258846903218442</c:v>
                </c:pt>
                <c:pt idx="1792">
                  <c:v>3.1276300195738385</c:v>
                </c:pt>
                <c:pt idx="1793">
                  <c:v>3.1293753488258327</c:v>
                </c:pt>
                <c:pt idx="1794">
                  <c:v>3.1311206780778269</c:v>
                </c:pt>
                <c:pt idx="1795">
                  <c:v>3.1328660073298211</c:v>
                </c:pt>
                <c:pt idx="1796">
                  <c:v>3.1346113365818162</c:v>
                </c:pt>
                <c:pt idx="1797">
                  <c:v>3.1363566658338096</c:v>
                </c:pt>
                <c:pt idx="1798">
                  <c:v>3.1381019950858047</c:v>
                </c:pt>
                <c:pt idx="1799">
                  <c:v>3.1398473243377985</c:v>
                </c:pt>
                <c:pt idx="1800">
                  <c:v>3.1415926535897931</c:v>
                </c:pt>
                <c:pt idx="1801">
                  <c:v>3.1433379828417882</c:v>
                </c:pt>
                <c:pt idx="1802">
                  <c:v>3.1450833120937816</c:v>
                </c:pt>
                <c:pt idx="1803">
                  <c:v>3.1468286413457767</c:v>
                </c:pt>
                <c:pt idx="1804">
                  <c:v>3.1485739705977704</c:v>
                </c:pt>
                <c:pt idx="1805">
                  <c:v>3.1503192998497647</c:v>
                </c:pt>
                <c:pt idx="1806">
                  <c:v>3.1520646291017589</c:v>
                </c:pt>
                <c:pt idx="1807">
                  <c:v>3.1538099583537531</c:v>
                </c:pt>
                <c:pt idx="1808">
                  <c:v>3.1555552876057473</c:v>
                </c:pt>
                <c:pt idx="1809">
                  <c:v>3.157300616857742</c:v>
                </c:pt>
                <c:pt idx="1810">
                  <c:v>3.1590459461097362</c:v>
                </c:pt>
                <c:pt idx="1811">
                  <c:v>3.1607912753617309</c:v>
                </c:pt>
                <c:pt idx="1812">
                  <c:v>3.1625366046137255</c:v>
                </c:pt>
                <c:pt idx="1813">
                  <c:v>3.1642819338657193</c:v>
                </c:pt>
                <c:pt idx="1814">
                  <c:v>3.166027263117714</c:v>
                </c:pt>
                <c:pt idx="1815">
                  <c:v>3.1677725923697082</c:v>
                </c:pt>
                <c:pt idx="1816">
                  <c:v>3.169517921621702</c:v>
                </c:pt>
                <c:pt idx="1817">
                  <c:v>3.1712632508736971</c:v>
                </c:pt>
                <c:pt idx="1818">
                  <c:v>3.1730085801256913</c:v>
                </c:pt>
                <c:pt idx="1819">
                  <c:v>3.1747539093776855</c:v>
                </c:pt>
                <c:pt idx="1820">
                  <c:v>3.1764992386296798</c:v>
                </c:pt>
                <c:pt idx="1821">
                  <c:v>3.1782445678816744</c:v>
                </c:pt>
                <c:pt idx="1822">
                  <c:v>3.1799898971336682</c:v>
                </c:pt>
                <c:pt idx="1823">
                  <c:v>3.1817352263856629</c:v>
                </c:pt>
                <c:pt idx="1824">
                  <c:v>3.1834805556376566</c:v>
                </c:pt>
                <c:pt idx="1825">
                  <c:v>3.1852258848896517</c:v>
                </c:pt>
                <c:pt idx="1826">
                  <c:v>3.186971214141646</c:v>
                </c:pt>
                <c:pt idx="1827">
                  <c:v>3.1887165433936402</c:v>
                </c:pt>
                <c:pt idx="1828">
                  <c:v>3.1904618726456344</c:v>
                </c:pt>
                <c:pt idx="1829">
                  <c:v>3.1922072018976282</c:v>
                </c:pt>
                <c:pt idx="1830">
                  <c:v>3.1939525311496229</c:v>
                </c:pt>
                <c:pt idx="1831">
                  <c:v>3.1956978604016171</c:v>
                </c:pt>
                <c:pt idx="1832">
                  <c:v>3.1974431896536113</c:v>
                </c:pt>
                <c:pt idx="1833">
                  <c:v>3.1991885189056055</c:v>
                </c:pt>
                <c:pt idx="1834">
                  <c:v>3.2009338481576006</c:v>
                </c:pt>
                <c:pt idx="1835">
                  <c:v>3.2026791774095948</c:v>
                </c:pt>
                <c:pt idx="1836">
                  <c:v>3.2044245066615891</c:v>
                </c:pt>
                <c:pt idx="1837">
                  <c:v>3.2061698359135833</c:v>
                </c:pt>
                <c:pt idx="1838">
                  <c:v>3.2079151651655775</c:v>
                </c:pt>
                <c:pt idx="1839">
                  <c:v>3.2096604944175717</c:v>
                </c:pt>
                <c:pt idx="1840">
                  <c:v>3.211405823669566</c:v>
                </c:pt>
                <c:pt idx="1841">
                  <c:v>3.2131511529215606</c:v>
                </c:pt>
                <c:pt idx="1842">
                  <c:v>3.2148964821735553</c:v>
                </c:pt>
                <c:pt idx="1843">
                  <c:v>3.2166418114255495</c:v>
                </c:pt>
                <c:pt idx="1844">
                  <c:v>3.2183871406775437</c:v>
                </c:pt>
                <c:pt idx="1845">
                  <c:v>3.2201324699295379</c:v>
                </c:pt>
                <c:pt idx="1846">
                  <c:v>3.2218777991815331</c:v>
                </c:pt>
                <c:pt idx="1847">
                  <c:v>3.2236231284335264</c:v>
                </c:pt>
                <c:pt idx="1848">
                  <c:v>3.2253684576855211</c:v>
                </c:pt>
                <c:pt idx="1849">
                  <c:v>3.2271137869375153</c:v>
                </c:pt>
                <c:pt idx="1850">
                  <c:v>3.2288591161895095</c:v>
                </c:pt>
                <c:pt idx="1851">
                  <c:v>3.2306044454415042</c:v>
                </c:pt>
                <c:pt idx="1852">
                  <c:v>3.2323497746934979</c:v>
                </c:pt>
                <c:pt idx="1853">
                  <c:v>3.2340951039454926</c:v>
                </c:pt>
                <c:pt idx="1854">
                  <c:v>3.2358404331974864</c:v>
                </c:pt>
                <c:pt idx="1855">
                  <c:v>3.2375857624494815</c:v>
                </c:pt>
                <c:pt idx="1856">
                  <c:v>3.2393310917014757</c:v>
                </c:pt>
                <c:pt idx="1857">
                  <c:v>3.2410764209534699</c:v>
                </c:pt>
                <c:pt idx="1858">
                  <c:v>3.2428217502054641</c:v>
                </c:pt>
                <c:pt idx="1859">
                  <c:v>3.2445670794574584</c:v>
                </c:pt>
                <c:pt idx="1860">
                  <c:v>3.2463124087094526</c:v>
                </c:pt>
                <c:pt idx="1861">
                  <c:v>3.2480577379614468</c:v>
                </c:pt>
                <c:pt idx="1862">
                  <c:v>3.2498030672134419</c:v>
                </c:pt>
                <c:pt idx="1863">
                  <c:v>3.2515483964654353</c:v>
                </c:pt>
                <c:pt idx="1864">
                  <c:v>3.2532937257174304</c:v>
                </c:pt>
                <c:pt idx="1865">
                  <c:v>3.2550390549694246</c:v>
                </c:pt>
                <c:pt idx="1866">
                  <c:v>3.2567843842214188</c:v>
                </c:pt>
                <c:pt idx="1867">
                  <c:v>3.2585297134734139</c:v>
                </c:pt>
                <c:pt idx="1868">
                  <c:v>3.2602750427254081</c:v>
                </c:pt>
                <c:pt idx="1869">
                  <c:v>3.2620203719774024</c:v>
                </c:pt>
                <c:pt idx="1870">
                  <c:v>3.2637657012293966</c:v>
                </c:pt>
                <c:pt idx="1871">
                  <c:v>3.2655110304813908</c:v>
                </c:pt>
                <c:pt idx="1872">
                  <c:v>3.2672563597333846</c:v>
                </c:pt>
                <c:pt idx="1873">
                  <c:v>3.2690016889853792</c:v>
                </c:pt>
                <c:pt idx="1874">
                  <c:v>3.270747018237373</c:v>
                </c:pt>
                <c:pt idx="1875">
                  <c:v>3.2724923474893677</c:v>
                </c:pt>
                <c:pt idx="1876">
                  <c:v>3.2742376767413628</c:v>
                </c:pt>
                <c:pt idx="1877">
                  <c:v>3.2759830059933561</c:v>
                </c:pt>
                <c:pt idx="1878">
                  <c:v>3.2777283352453512</c:v>
                </c:pt>
                <c:pt idx="1879">
                  <c:v>3.279473664497345</c:v>
                </c:pt>
                <c:pt idx="1880">
                  <c:v>3.2812189937493397</c:v>
                </c:pt>
                <c:pt idx="1881">
                  <c:v>3.2829643230013339</c:v>
                </c:pt>
                <c:pt idx="1882">
                  <c:v>3.2847096522533281</c:v>
                </c:pt>
                <c:pt idx="1883">
                  <c:v>3.2864549815053219</c:v>
                </c:pt>
                <c:pt idx="1884">
                  <c:v>3.2882003107573166</c:v>
                </c:pt>
                <c:pt idx="1885">
                  <c:v>3.2899456400093112</c:v>
                </c:pt>
                <c:pt idx="1886">
                  <c:v>3.2916909692613054</c:v>
                </c:pt>
                <c:pt idx="1887">
                  <c:v>3.2934362985133001</c:v>
                </c:pt>
                <c:pt idx="1888">
                  <c:v>3.2951816277652939</c:v>
                </c:pt>
                <c:pt idx="1889">
                  <c:v>3.2969269570172886</c:v>
                </c:pt>
                <c:pt idx="1890">
                  <c:v>3.2986722862692828</c:v>
                </c:pt>
                <c:pt idx="1891">
                  <c:v>3.300417615521277</c:v>
                </c:pt>
                <c:pt idx="1892">
                  <c:v>3.3021629447732717</c:v>
                </c:pt>
                <c:pt idx="1893">
                  <c:v>3.3039082740252659</c:v>
                </c:pt>
                <c:pt idx="1894">
                  <c:v>3.3056536032772601</c:v>
                </c:pt>
                <c:pt idx="1895">
                  <c:v>3.3073989325292543</c:v>
                </c:pt>
                <c:pt idx="1896">
                  <c:v>3.309144261781249</c:v>
                </c:pt>
                <c:pt idx="1897">
                  <c:v>3.3108895910332428</c:v>
                </c:pt>
                <c:pt idx="1898">
                  <c:v>3.3126349202852379</c:v>
                </c:pt>
                <c:pt idx="1899">
                  <c:v>3.3143802495372312</c:v>
                </c:pt>
                <c:pt idx="1900">
                  <c:v>3.3161255787892263</c:v>
                </c:pt>
                <c:pt idx="1901">
                  <c:v>3.317870908041221</c:v>
                </c:pt>
                <c:pt idx="1902">
                  <c:v>3.3196162372932148</c:v>
                </c:pt>
                <c:pt idx="1903">
                  <c:v>3.321361566545209</c:v>
                </c:pt>
                <c:pt idx="1904">
                  <c:v>3.3231068957972032</c:v>
                </c:pt>
                <c:pt idx="1905">
                  <c:v>3.3248522250491974</c:v>
                </c:pt>
                <c:pt idx="1906">
                  <c:v>3.3265975543011916</c:v>
                </c:pt>
                <c:pt idx="1907">
                  <c:v>3.3283428835531859</c:v>
                </c:pt>
                <c:pt idx="1908">
                  <c:v>3.3300882128051801</c:v>
                </c:pt>
                <c:pt idx="1909">
                  <c:v>3.3318335420571752</c:v>
                </c:pt>
                <c:pt idx="1910">
                  <c:v>3.3335788713091694</c:v>
                </c:pt>
                <c:pt idx="1911">
                  <c:v>3.3353242005611636</c:v>
                </c:pt>
                <c:pt idx="1912">
                  <c:v>3.3370695298131587</c:v>
                </c:pt>
                <c:pt idx="1913">
                  <c:v>3.3388148590651521</c:v>
                </c:pt>
                <c:pt idx="1914">
                  <c:v>3.3405601883171472</c:v>
                </c:pt>
                <c:pt idx="1915">
                  <c:v>3.3423055175691405</c:v>
                </c:pt>
                <c:pt idx="1916">
                  <c:v>3.3440508468211352</c:v>
                </c:pt>
                <c:pt idx="1917">
                  <c:v>3.3457961760731298</c:v>
                </c:pt>
                <c:pt idx="1918">
                  <c:v>3.3475415053251241</c:v>
                </c:pt>
                <c:pt idx="1919">
                  <c:v>3.3492868345771183</c:v>
                </c:pt>
                <c:pt idx="1920">
                  <c:v>3.3510321638291125</c:v>
                </c:pt>
                <c:pt idx="1921">
                  <c:v>3.3527774930811076</c:v>
                </c:pt>
                <c:pt idx="1922">
                  <c:v>3.3545228223331014</c:v>
                </c:pt>
                <c:pt idx="1923">
                  <c:v>3.3562681515850961</c:v>
                </c:pt>
                <c:pt idx="1924">
                  <c:v>3.3580134808370898</c:v>
                </c:pt>
                <c:pt idx="1925">
                  <c:v>3.3597588100890845</c:v>
                </c:pt>
                <c:pt idx="1926">
                  <c:v>3.3615041393410787</c:v>
                </c:pt>
                <c:pt idx="1927">
                  <c:v>3.3632494685930725</c:v>
                </c:pt>
                <c:pt idx="1928">
                  <c:v>3.3649947978450672</c:v>
                </c:pt>
                <c:pt idx="1929">
                  <c:v>3.3667401270970609</c:v>
                </c:pt>
                <c:pt idx="1930">
                  <c:v>3.3684854563490561</c:v>
                </c:pt>
                <c:pt idx="1931">
                  <c:v>3.3702307856010503</c:v>
                </c:pt>
                <c:pt idx="1932">
                  <c:v>3.3719761148530445</c:v>
                </c:pt>
                <c:pt idx="1933">
                  <c:v>3.3737214441050387</c:v>
                </c:pt>
                <c:pt idx="1934">
                  <c:v>3.3754667733570334</c:v>
                </c:pt>
                <c:pt idx="1935">
                  <c:v>3.377212102609028</c:v>
                </c:pt>
                <c:pt idx="1936">
                  <c:v>3.3789574318610223</c:v>
                </c:pt>
                <c:pt idx="1937">
                  <c:v>3.3807027611130165</c:v>
                </c:pt>
                <c:pt idx="1938">
                  <c:v>3.3824480903650098</c:v>
                </c:pt>
                <c:pt idx="1939">
                  <c:v>3.3841934196170049</c:v>
                </c:pt>
                <c:pt idx="1940">
                  <c:v>3.3859387488689991</c:v>
                </c:pt>
                <c:pt idx="1941">
                  <c:v>3.3876840781209934</c:v>
                </c:pt>
                <c:pt idx="1942">
                  <c:v>3.3894294073729885</c:v>
                </c:pt>
                <c:pt idx="1943">
                  <c:v>3.3911747366249827</c:v>
                </c:pt>
                <c:pt idx="1944">
                  <c:v>3.3929200658769769</c:v>
                </c:pt>
                <c:pt idx="1945">
                  <c:v>3.3946653951289711</c:v>
                </c:pt>
                <c:pt idx="1946">
                  <c:v>3.3964107243809654</c:v>
                </c:pt>
                <c:pt idx="1947">
                  <c:v>3.3981560536329596</c:v>
                </c:pt>
                <c:pt idx="1948">
                  <c:v>3.3999013828849538</c:v>
                </c:pt>
                <c:pt idx="1949">
                  <c:v>3.401646712136948</c:v>
                </c:pt>
                <c:pt idx="1950">
                  <c:v>3.4033920413889422</c:v>
                </c:pt>
                <c:pt idx="1951">
                  <c:v>3.4051373706409374</c:v>
                </c:pt>
                <c:pt idx="1952">
                  <c:v>3.4068826998929307</c:v>
                </c:pt>
                <c:pt idx="1953">
                  <c:v>3.4086280291449258</c:v>
                </c:pt>
                <c:pt idx="1954">
                  <c:v>3.4103733583969196</c:v>
                </c:pt>
                <c:pt idx="1955">
                  <c:v>3.4121186876489142</c:v>
                </c:pt>
                <c:pt idx="1956">
                  <c:v>3.4138640169009085</c:v>
                </c:pt>
                <c:pt idx="1957">
                  <c:v>3.4156093461529027</c:v>
                </c:pt>
                <c:pt idx="1958">
                  <c:v>3.4173546754048969</c:v>
                </c:pt>
                <c:pt idx="1959">
                  <c:v>3.4191000046568911</c:v>
                </c:pt>
                <c:pt idx="1960">
                  <c:v>3.4208453339088858</c:v>
                </c:pt>
                <c:pt idx="1961">
                  <c:v>3.42259066316088</c:v>
                </c:pt>
                <c:pt idx="1962">
                  <c:v>3.4243359924128747</c:v>
                </c:pt>
                <c:pt idx="1963">
                  <c:v>3.4260813216648685</c:v>
                </c:pt>
                <c:pt idx="1964">
                  <c:v>3.4278266509168631</c:v>
                </c:pt>
                <c:pt idx="1965">
                  <c:v>3.4295719801688573</c:v>
                </c:pt>
                <c:pt idx="1966">
                  <c:v>3.431317309420852</c:v>
                </c:pt>
                <c:pt idx="1967">
                  <c:v>3.4330626386728467</c:v>
                </c:pt>
                <c:pt idx="1968">
                  <c:v>3.4348079679248409</c:v>
                </c:pt>
                <c:pt idx="1969">
                  <c:v>3.4365532971768351</c:v>
                </c:pt>
                <c:pt idx="1970">
                  <c:v>3.4382986264288289</c:v>
                </c:pt>
                <c:pt idx="1971">
                  <c:v>3.4400439556808236</c:v>
                </c:pt>
                <c:pt idx="1972">
                  <c:v>3.4417892849328173</c:v>
                </c:pt>
                <c:pt idx="1973">
                  <c:v>3.4435346141848124</c:v>
                </c:pt>
                <c:pt idx="1974">
                  <c:v>3.4452799434368058</c:v>
                </c:pt>
                <c:pt idx="1975">
                  <c:v>3.4470252726888009</c:v>
                </c:pt>
                <c:pt idx="1976">
                  <c:v>3.4487706019407955</c:v>
                </c:pt>
                <c:pt idx="1977">
                  <c:v>3.4505159311927893</c:v>
                </c:pt>
                <c:pt idx="1978">
                  <c:v>3.452261260444784</c:v>
                </c:pt>
                <c:pt idx="1979">
                  <c:v>3.4540065896967778</c:v>
                </c:pt>
                <c:pt idx="1980">
                  <c:v>3.4557519189487729</c:v>
                </c:pt>
                <c:pt idx="1981">
                  <c:v>3.4574972482007671</c:v>
                </c:pt>
                <c:pt idx="1982">
                  <c:v>3.4592425774527604</c:v>
                </c:pt>
                <c:pt idx="1983">
                  <c:v>3.4609879067047546</c:v>
                </c:pt>
                <c:pt idx="1984">
                  <c:v>3.4627332359567498</c:v>
                </c:pt>
                <c:pt idx="1985">
                  <c:v>3.464478565208744</c:v>
                </c:pt>
                <c:pt idx="1986">
                  <c:v>3.4662238944607382</c:v>
                </c:pt>
                <c:pt idx="1987">
                  <c:v>3.4679692237127333</c:v>
                </c:pt>
                <c:pt idx="1988">
                  <c:v>3.4697145529647266</c:v>
                </c:pt>
                <c:pt idx="1989">
                  <c:v>3.4714598822167217</c:v>
                </c:pt>
                <c:pt idx="1990">
                  <c:v>3.473205211468716</c:v>
                </c:pt>
                <c:pt idx="1991">
                  <c:v>3.4749505407207102</c:v>
                </c:pt>
                <c:pt idx="1992">
                  <c:v>3.4766958699727044</c:v>
                </c:pt>
                <c:pt idx="1993">
                  <c:v>3.4784411992246986</c:v>
                </c:pt>
                <c:pt idx="1994">
                  <c:v>3.4801865284766929</c:v>
                </c:pt>
                <c:pt idx="1995">
                  <c:v>3.4819318577286871</c:v>
                </c:pt>
                <c:pt idx="1996">
                  <c:v>3.4836771869806822</c:v>
                </c:pt>
                <c:pt idx="1997">
                  <c:v>3.485422516232676</c:v>
                </c:pt>
                <c:pt idx="1998">
                  <c:v>3.4871678454846706</c:v>
                </c:pt>
                <c:pt idx="1999">
                  <c:v>3.4889131747366644</c:v>
                </c:pt>
                <c:pt idx="2000">
                  <c:v>3.4906585039886591</c:v>
                </c:pt>
                <c:pt idx="2001">
                  <c:v>3.4924038332406533</c:v>
                </c:pt>
                <c:pt idx="2002">
                  <c:v>3.4941491624926475</c:v>
                </c:pt>
                <c:pt idx="2003">
                  <c:v>3.4958944917446422</c:v>
                </c:pt>
                <c:pt idx="2004">
                  <c:v>3.4976398209966364</c:v>
                </c:pt>
                <c:pt idx="2005">
                  <c:v>3.4993851502486306</c:v>
                </c:pt>
                <c:pt idx="2006">
                  <c:v>3.5011304795006248</c:v>
                </c:pt>
                <c:pt idx="2007">
                  <c:v>3.5028758087526191</c:v>
                </c:pt>
                <c:pt idx="2008">
                  <c:v>3.5046211380046133</c:v>
                </c:pt>
                <c:pt idx="2009">
                  <c:v>3.5063664672566079</c:v>
                </c:pt>
                <c:pt idx="2010">
                  <c:v>3.5081117965086026</c:v>
                </c:pt>
                <c:pt idx="2011">
                  <c:v>3.5098571257605968</c:v>
                </c:pt>
                <c:pt idx="2012">
                  <c:v>3.5116024550125915</c:v>
                </c:pt>
                <c:pt idx="2013">
                  <c:v>3.5133477842645853</c:v>
                </c:pt>
                <c:pt idx="2014">
                  <c:v>3.5150931135165795</c:v>
                </c:pt>
                <c:pt idx="2015">
                  <c:v>3.5168384427685737</c:v>
                </c:pt>
                <c:pt idx="2016">
                  <c:v>3.5185837720205679</c:v>
                </c:pt>
                <c:pt idx="2017">
                  <c:v>3.520329101272563</c:v>
                </c:pt>
                <c:pt idx="2018">
                  <c:v>3.5220744305245573</c:v>
                </c:pt>
                <c:pt idx="2019">
                  <c:v>3.5238197597765515</c:v>
                </c:pt>
                <c:pt idx="2020">
                  <c:v>3.5255650890285457</c:v>
                </c:pt>
                <c:pt idx="2021">
                  <c:v>3.5273104182805404</c:v>
                </c:pt>
                <c:pt idx="2022">
                  <c:v>3.5290557475325341</c:v>
                </c:pt>
                <c:pt idx="2023">
                  <c:v>3.5308010767845293</c:v>
                </c:pt>
                <c:pt idx="2024">
                  <c:v>3.5325464060365226</c:v>
                </c:pt>
                <c:pt idx="2025">
                  <c:v>3.5342917352885168</c:v>
                </c:pt>
                <c:pt idx="2026">
                  <c:v>3.5360370645405119</c:v>
                </c:pt>
                <c:pt idx="2027">
                  <c:v>3.5377823937925053</c:v>
                </c:pt>
                <c:pt idx="2028">
                  <c:v>3.5395277230445004</c:v>
                </c:pt>
                <c:pt idx="2029">
                  <c:v>3.5412730522964941</c:v>
                </c:pt>
                <c:pt idx="2030">
                  <c:v>3.5430183815484888</c:v>
                </c:pt>
                <c:pt idx="2031">
                  <c:v>3.544763710800483</c:v>
                </c:pt>
                <c:pt idx="2032">
                  <c:v>3.5465090400524772</c:v>
                </c:pt>
                <c:pt idx="2033">
                  <c:v>3.5482543693044715</c:v>
                </c:pt>
                <c:pt idx="2034">
                  <c:v>3.5499996985564666</c:v>
                </c:pt>
                <c:pt idx="2035">
                  <c:v>3.5517450278084608</c:v>
                </c:pt>
                <c:pt idx="2036">
                  <c:v>3.553490357060455</c:v>
                </c:pt>
                <c:pt idx="2037">
                  <c:v>3.5552356863124492</c:v>
                </c:pt>
                <c:pt idx="2038">
                  <c:v>3.556981015564443</c:v>
                </c:pt>
                <c:pt idx="2039">
                  <c:v>3.5587263448164377</c:v>
                </c:pt>
                <c:pt idx="2040">
                  <c:v>3.5604716740684319</c:v>
                </c:pt>
                <c:pt idx="2041">
                  <c:v>3.5622170033204266</c:v>
                </c:pt>
                <c:pt idx="2042">
                  <c:v>3.5639623325724212</c:v>
                </c:pt>
                <c:pt idx="2043">
                  <c:v>3.5657076618244155</c:v>
                </c:pt>
                <c:pt idx="2044">
                  <c:v>3.5674529910764097</c:v>
                </c:pt>
                <c:pt idx="2045">
                  <c:v>3.5691983203284039</c:v>
                </c:pt>
                <c:pt idx="2046">
                  <c:v>3.5709436495803981</c:v>
                </c:pt>
                <c:pt idx="2047">
                  <c:v>3.5726889788323928</c:v>
                </c:pt>
                <c:pt idx="2048">
                  <c:v>3.574434308084387</c:v>
                </c:pt>
                <c:pt idx="2049">
                  <c:v>3.5761796373363803</c:v>
                </c:pt>
                <c:pt idx="2050">
                  <c:v>3.5779249665883754</c:v>
                </c:pt>
                <c:pt idx="2051">
                  <c:v>3.5796702958403701</c:v>
                </c:pt>
                <c:pt idx="2052">
                  <c:v>3.5814156250923639</c:v>
                </c:pt>
                <c:pt idx="2053">
                  <c:v>3.5831609543443586</c:v>
                </c:pt>
                <c:pt idx="2054">
                  <c:v>3.5849062835963523</c:v>
                </c:pt>
                <c:pt idx="2055">
                  <c:v>3.5866516128483474</c:v>
                </c:pt>
                <c:pt idx="2056">
                  <c:v>3.5883969421003417</c:v>
                </c:pt>
                <c:pt idx="2057">
                  <c:v>3.5901422713523359</c:v>
                </c:pt>
                <c:pt idx="2058">
                  <c:v>3.5918876006043301</c:v>
                </c:pt>
                <c:pt idx="2059">
                  <c:v>3.5936329298563243</c:v>
                </c:pt>
                <c:pt idx="2060">
                  <c:v>3.5953782591083185</c:v>
                </c:pt>
                <c:pt idx="2061">
                  <c:v>3.5971235883603128</c:v>
                </c:pt>
                <c:pt idx="2062">
                  <c:v>3.5988689176123079</c:v>
                </c:pt>
                <c:pt idx="2063">
                  <c:v>3.6006142468643012</c:v>
                </c:pt>
                <c:pt idx="2064">
                  <c:v>3.6023595761162963</c:v>
                </c:pt>
                <c:pt idx="2065">
                  <c:v>3.6041049053682905</c:v>
                </c:pt>
                <c:pt idx="2066">
                  <c:v>3.6058502346202848</c:v>
                </c:pt>
                <c:pt idx="2067">
                  <c:v>3.6075955638722799</c:v>
                </c:pt>
                <c:pt idx="2068">
                  <c:v>3.6093408931242741</c:v>
                </c:pt>
                <c:pt idx="2069">
                  <c:v>3.6110862223762674</c:v>
                </c:pt>
                <c:pt idx="2070">
                  <c:v>3.6128315516282616</c:v>
                </c:pt>
                <c:pt idx="2071">
                  <c:v>3.6145768808802567</c:v>
                </c:pt>
                <c:pt idx="2072">
                  <c:v>3.6163222101322505</c:v>
                </c:pt>
                <c:pt idx="2073">
                  <c:v>3.6180675393842452</c:v>
                </c:pt>
                <c:pt idx="2074">
                  <c:v>3.619812868636239</c:v>
                </c:pt>
                <c:pt idx="2075">
                  <c:v>3.6215581978882336</c:v>
                </c:pt>
                <c:pt idx="2076">
                  <c:v>3.6233035271402287</c:v>
                </c:pt>
                <c:pt idx="2077">
                  <c:v>3.6250488563922221</c:v>
                </c:pt>
                <c:pt idx="2078">
                  <c:v>3.6267941856442172</c:v>
                </c:pt>
                <c:pt idx="2079">
                  <c:v>3.628539514896211</c:v>
                </c:pt>
                <c:pt idx="2080">
                  <c:v>3.6302848441482056</c:v>
                </c:pt>
                <c:pt idx="2081">
                  <c:v>3.6320301734001994</c:v>
                </c:pt>
                <c:pt idx="2082">
                  <c:v>3.6337755026521936</c:v>
                </c:pt>
                <c:pt idx="2083">
                  <c:v>3.6355208319041878</c:v>
                </c:pt>
                <c:pt idx="2084">
                  <c:v>3.637266161156183</c:v>
                </c:pt>
                <c:pt idx="2085">
                  <c:v>3.6390114904081772</c:v>
                </c:pt>
                <c:pt idx="2086">
                  <c:v>3.6407568196601714</c:v>
                </c:pt>
                <c:pt idx="2087">
                  <c:v>3.6425021489121661</c:v>
                </c:pt>
                <c:pt idx="2088">
                  <c:v>3.6442474781641598</c:v>
                </c:pt>
                <c:pt idx="2089">
                  <c:v>3.6459928074161545</c:v>
                </c:pt>
                <c:pt idx="2090">
                  <c:v>3.6477381366681487</c:v>
                </c:pt>
                <c:pt idx="2091">
                  <c:v>3.6494834659201434</c:v>
                </c:pt>
                <c:pt idx="2092">
                  <c:v>3.6512287951721376</c:v>
                </c:pt>
                <c:pt idx="2093">
                  <c:v>3.6529741244241318</c:v>
                </c:pt>
                <c:pt idx="2094">
                  <c:v>3.6547194536761261</c:v>
                </c:pt>
                <c:pt idx="2095">
                  <c:v>3.6564647829281203</c:v>
                </c:pt>
                <c:pt idx="2096">
                  <c:v>3.6582101121801149</c:v>
                </c:pt>
                <c:pt idx="2097">
                  <c:v>3.6599554414321087</c:v>
                </c:pt>
                <c:pt idx="2098">
                  <c:v>3.6617007706841038</c:v>
                </c:pt>
                <c:pt idx="2099">
                  <c:v>3.6634460999360972</c:v>
                </c:pt>
                <c:pt idx="2100">
                  <c:v>3.6651914291880923</c:v>
                </c:pt>
                <c:pt idx="2101">
                  <c:v>3.6669367584400865</c:v>
                </c:pt>
                <c:pt idx="2102">
                  <c:v>3.6686820876920807</c:v>
                </c:pt>
                <c:pt idx="2103">
                  <c:v>3.6704274169440749</c:v>
                </c:pt>
                <c:pt idx="2104">
                  <c:v>3.6721727461960687</c:v>
                </c:pt>
                <c:pt idx="2105">
                  <c:v>3.6739180754480634</c:v>
                </c:pt>
                <c:pt idx="2106">
                  <c:v>3.6756634047000576</c:v>
                </c:pt>
                <c:pt idx="2107">
                  <c:v>3.6774087339520518</c:v>
                </c:pt>
                <c:pt idx="2108">
                  <c:v>3.679154063204046</c:v>
                </c:pt>
                <c:pt idx="2109">
                  <c:v>3.6808993924560411</c:v>
                </c:pt>
                <c:pt idx="2110">
                  <c:v>3.6826447217080354</c:v>
                </c:pt>
                <c:pt idx="2111">
                  <c:v>3.6843900509600296</c:v>
                </c:pt>
                <c:pt idx="2112">
                  <c:v>3.6861353802120238</c:v>
                </c:pt>
                <c:pt idx="2113">
                  <c:v>3.687880709464018</c:v>
                </c:pt>
                <c:pt idx="2114">
                  <c:v>3.6896260387160122</c:v>
                </c:pt>
                <c:pt idx="2115">
                  <c:v>3.6913713679680069</c:v>
                </c:pt>
                <c:pt idx="2116">
                  <c:v>3.6931166972200011</c:v>
                </c:pt>
                <c:pt idx="2117">
                  <c:v>3.6948620264719958</c:v>
                </c:pt>
                <c:pt idx="2118">
                  <c:v>3.69660735572399</c:v>
                </c:pt>
                <c:pt idx="2119">
                  <c:v>3.6983526849759842</c:v>
                </c:pt>
                <c:pt idx="2120">
                  <c:v>3.7000980142279785</c:v>
                </c:pt>
                <c:pt idx="2121">
                  <c:v>3.7018433434799736</c:v>
                </c:pt>
                <c:pt idx="2122">
                  <c:v>3.7035886727319673</c:v>
                </c:pt>
                <c:pt idx="2123">
                  <c:v>3.705334001983962</c:v>
                </c:pt>
                <c:pt idx="2124">
                  <c:v>3.7070793312359558</c:v>
                </c:pt>
                <c:pt idx="2125">
                  <c:v>3.70882466048795</c:v>
                </c:pt>
                <c:pt idx="2126">
                  <c:v>3.7105699897399447</c:v>
                </c:pt>
                <c:pt idx="2127">
                  <c:v>3.7123153189919385</c:v>
                </c:pt>
                <c:pt idx="2128">
                  <c:v>3.7140606482439336</c:v>
                </c:pt>
                <c:pt idx="2129">
                  <c:v>3.7158059774959269</c:v>
                </c:pt>
                <c:pt idx="2130">
                  <c:v>3.717551306747922</c:v>
                </c:pt>
                <c:pt idx="2131">
                  <c:v>3.7192966359999162</c:v>
                </c:pt>
                <c:pt idx="2132">
                  <c:v>3.7210419652519104</c:v>
                </c:pt>
                <c:pt idx="2133">
                  <c:v>3.7227872945039047</c:v>
                </c:pt>
                <c:pt idx="2134">
                  <c:v>3.7245326237558993</c:v>
                </c:pt>
                <c:pt idx="2135">
                  <c:v>3.726277953007894</c:v>
                </c:pt>
                <c:pt idx="2136">
                  <c:v>3.7280232822598873</c:v>
                </c:pt>
                <c:pt idx="2137">
                  <c:v>3.7297686115118824</c:v>
                </c:pt>
                <c:pt idx="2138">
                  <c:v>3.7315139407638758</c:v>
                </c:pt>
                <c:pt idx="2139">
                  <c:v>3.7332592700158709</c:v>
                </c:pt>
                <c:pt idx="2140">
                  <c:v>3.7350045992678651</c:v>
                </c:pt>
                <c:pt idx="2141">
                  <c:v>3.7367499285198593</c:v>
                </c:pt>
                <c:pt idx="2142">
                  <c:v>3.7384952577718544</c:v>
                </c:pt>
                <c:pt idx="2143">
                  <c:v>3.7402405870238487</c:v>
                </c:pt>
                <c:pt idx="2144">
                  <c:v>3.7419859162758429</c:v>
                </c:pt>
                <c:pt idx="2145">
                  <c:v>3.7437312455278371</c:v>
                </c:pt>
                <c:pt idx="2146">
                  <c:v>3.7454765747798313</c:v>
                </c:pt>
                <c:pt idx="2147">
                  <c:v>3.7472219040318255</c:v>
                </c:pt>
                <c:pt idx="2148">
                  <c:v>3.7489672332838198</c:v>
                </c:pt>
                <c:pt idx="2149">
                  <c:v>3.7507125625358135</c:v>
                </c:pt>
                <c:pt idx="2150">
                  <c:v>3.7524578917878082</c:v>
                </c:pt>
                <c:pt idx="2151">
                  <c:v>3.7542032210398033</c:v>
                </c:pt>
                <c:pt idx="2152">
                  <c:v>3.7559485502917971</c:v>
                </c:pt>
                <c:pt idx="2153">
                  <c:v>3.7576938795437917</c:v>
                </c:pt>
                <c:pt idx="2154">
                  <c:v>3.7594392087957855</c:v>
                </c:pt>
                <c:pt idx="2155">
                  <c:v>3.7611845380477802</c:v>
                </c:pt>
                <c:pt idx="2156">
                  <c:v>3.7629298672997744</c:v>
                </c:pt>
                <c:pt idx="2157">
                  <c:v>3.7646751965517686</c:v>
                </c:pt>
                <c:pt idx="2158">
                  <c:v>3.7664205258037629</c:v>
                </c:pt>
                <c:pt idx="2159">
                  <c:v>3.7681658550557575</c:v>
                </c:pt>
                <c:pt idx="2160">
                  <c:v>3.7699111843077517</c:v>
                </c:pt>
                <c:pt idx="2161">
                  <c:v>3.771656513559746</c:v>
                </c:pt>
                <c:pt idx="2162">
                  <c:v>3.7734018428117406</c:v>
                </c:pt>
                <c:pt idx="2163">
                  <c:v>3.7751471720637344</c:v>
                </c:pt>
                <c:pt idx="2164">
                  <c:v>3.7768925013157291</c:v>
                </c:pt>
                <c:pt idx="2165">
                  <c:v>3.7786378305677237</c:v>
                </c:pt>
                <c:pt idx="2166">
                  <c:v>3.780383159819718</c:v>
                </c:pt>
                <c:pt idx="2167">
                  <c:v>3.7821284890717122</c:v>
                </c:pt>
                <c:pt idx="2168">
                  <c:v>3.7838738183237064</c:v>
                </c:pt>
                <c:pt idx="2169">
                  <c:v>3.7856191475757006</c:v>
                </c:pt>
                <c:pt idx="2170">
                  <c:v>3.7873644768276948</c:v>
                </c:pt>
                <c:pt idx="2171">
                  <c:v>3.7891098060796895</c:v>
                </c:pt>
                <c:pt idx="2172">
                  <c:v>3.7908551353316833</c:v>
                </c:pt>
                <c:pt idx="2173">
                  <c:v>3.7926004645836784</c:v>
                </c:pt>
                <c:pt idx="2174">
                  <c:v>3.7943457938356717</c:v>
                </c:pt>
                <c:pt idx="2175">
                  <c:v>3.7960911230876668</c:v>
                </c:pt>
                <c:pt idx="2176">
                  <c:v>3.7978364523396615</c:v>
                </c:pt>
                <c:pt idx="2177">
                  <c:v>3.7995817815916553</c:v>
                </c:pt>
                <c:pt idx="2178">
                  <c:v>3.8013271108436504</c:v>
                </c:pt>
                <c:pt idx="2179">
                  <c:v>3.8030724400956437</c:v>
                </c:pt>
                <c:pt idx="2180">
                  <c:v>3.8048177693476379</c:v>
                </c:pt>
                <c:pt idx="2181">
                  <c:v>3.8065630985996322</c:v>
                </c:pt>
                <c:pt idx="2182">
                  <c:v>3.8083084278516264</c:v>
                </c:pt>
                <c:pt idx="2183">
                  <c:v>3.810053757103621</c:v>
                </c:pt>
                <c:pt idx="2184">
                  <c:v>3.8117990863556157</c:v>
                </c:pt>
                <c:pt idx="2185">
                  <c:v>3.8135444156076099</c:v>
                </c:pt>
                <c:pt idx="2186">
                  <c:v>3.8152897448596041</c:v>
                </c:pt>
                <c:pt idx="2187">
                  <c:v>3.8170350741115993</c:v>
                </c:pt>
                <c:pt idx="2188">
                  <c:v>3.8187804033635926</c:v>
                </c:pt>
                <c:pt idx="2189">
                  <c:v>3.8205257326155877</c:v>
                </c:pt>
                <c:pt idx="2190">
                  <c:v>3.8222710618675819</c:v>
                </c:pt>
                <c:pt idx="2191">
                  <c:v>3.8240163911195757</c:v>
                </c:pt>
                <c:pt idx="2192">
                  <c:v>3.8257617203715704</c:v>
                </c:pt>
                <c:pt idx="2193">
                  <c:v>3.8275070496235646</c:v>
                </c:pt>
                <c:pt idx="2194">
                  <c:v>3.8292523788755588</c:v>
                </c:pt>
                <c:pt idx="2195">
                  <c:v>3.830997708127553</c:v>
                </c:pt>
                <c:pt idx="2196">
                  <c:v>3.8327430373795481</c:v>
                </c:pt>
                <c:pt idx="2197">
                  <c:v>3.8344883666315419</c:v>
                </c:pt>
                <c:pt idx="2198">
                  <c:v>3.8362336958835366</c:v>
                </c:pt>
                <c:pt idx="2199">
                  <c:v>3.8379790251355304</c:v>
                </c:pt>
                <c:pt idx="2200">
                  <c:v>3.839724354387525</c:v>
                </c:pt>
                <c:pt idx="2201">
                  <c:v>3.8414696836395192</c:v>
                </c:pt>
                <c:pt idx="2202">
                  <c:v>3.8432150128915135</c:v>
                </c:pt>
                <c:pt idx="2203">
                  <c:v>3.8449603421435081</c:v>
                </c:pt>
                <c:pt idx="2204">
                  <c:v>3.8467056713955015</c:v>
                </c:pt>
                <c:pt idx="2205">
                  <c:v>3.8484510006474966</c:v>
                </c:pt>
                <c:pt idx="2206">
                  <c:v>3.8501963298994908</c:v>
                </c:pt>
                <c:pt idx="2207">
                  <c:v>3.851941659151485</c:v>
                </c:pt>
                <c:pt idx="2208">
                  <c:v>3.8536869884034792</c:v>
                </c:pt>
                <c:pt idx="2209">
                  <c:v>3.8554323176554743</c:v>
                </c:pt>
                <c:pt idx="2210">
                  <c:v>3.8571776469074686</c:v>
                </c:pt>
                <c:pt idx="2211">
                  <c:v>3.8589229761594628</c:v>
                </c:pt>
                <c:pt idx="2212">
                  <c:v>3.860668305411457</c:v>
                </c:pt>
                <c:pt idx="2213">
                  <c:v>3.8624136346634512</c:v>
                </c:pt>
                <c:pt idx="2214">
                  <c:v>3.8641589639154454</c:v>
                </c:pt>
                <c:pt idx="2215">
                  <c:v>3.8659042931674397</c:v>
                </c:pt>
                <c:pt idx="2216">
                  <c:v>3.8676496224194339</c:v>
                </c:pt>
                <c:pt idx="2217">
                  <c:v>3.869394951671429</c:v>
                </c:pt>
                <c:pt idx="2218">
                  <c:v>3.8711402809234232</c:v>
                </c:pt>
                <c:pt idx="2219">
                  <c:v>3.8728856101754174</c:v>
                </c:pt>
                <c:pt idx="2220">
                  <c:v>3.8746309394274117</c:v>
                </c:pt>
                <c:pt idx="2221">
                  <c:v>3.8763762686794063</c:v>
                </c:pt>
                <c:pt idx="2222">
                  <c:v>3.8781215979314001</c:v>
                </c:pt>
                <c:pt idx="2223">
                  <c:v>3.8798669271833943</c:v>
                </c:pt>
                <c:pt idx="2224">
                  <c:v>3.8816122564353885</c:v>
                </c:pt>
                <c:pt idx="2225">
                  <c:v>3.8833575856873828</c:v>
                </c:pt>
                <c:pt idx="2226">
                  <c:v>3.8851029149393779</c:v>
                </c:pt>
                <c:pt idx="2227">
                  <c:v>3.8868482441913716</c:v>
                </c:pt>
                <c:pt idx="2228">
                  <c:v>3.8885935734433663</c:v>
                </c:pt>
                <c:pt idx="2229">
                  <c:v>3.8903389026953601</c:v>
                </c:pt>
                <c:pt idx="2230">
                  <c:v>3.8920842319473548</c:v>
                </c:pt>
                <c:pt idx="2231">
                  <c:v>3.893829561199349</c:v>
                </c:pt>
                <c:pt idx="2232">
                  <c:v>3.8955748904513432</c:v>
                </c:pt>
                <c:pt idx="2233">
                  <c:v>3.8973202197033379</c:v>
                </c:pt>
                <c:pt idx="2234">
                  <c:v>3.8990655489553325</c:v>
                </c:pt>
                <c:pt idx="2235">
                  <c:v>3.9008108782073263</c:v>
                </c:pt>
                <c:pt idx="2236">
                  <c:v>3.9025562074593205</c:v>
                </c:pt>
                <c:pt idx="2237">
                  <c:v>3.9043015367113152</c:v>
                </c:pt>
                <c:pt idx="2238">
                  <c:v>3.906046865963309</c:v>
                </c:pt>
                <c:pt idx="2239">
                  <c:v>3.9077921952153036</c:v>
                </c:pt>
                <c:pt idx="2240">
                  <c:v>3.9095375244672983</c:v>
                </c:pt>
                <c:pt idx="2241">
                  <c:v>3.9112828537192925</c:v>
                </c:pt>
                <c:pt idx="2242">
                  <c:v>3.9130281829712872</c:v>
                </c:pt>
                <c:pt idx="2243">
                  <c:v>3.9147735122232814</c:v>
                </c:pt>
                <c:pt idx="2244">
                  <c:v>3.9165188414752756</c:v>
                </c:pt>
                <c:pt idx="2245">
                  <c:v>3.9182641707272698</c:v>
                </c:pt>
                <c:pt idx="2246">
                  <c:v>3.9200094999792645</c:v>
                </c:pt>
                <c:pt idx="2247">
                  <c:v>3.9217548292312578</c:v>
                </c:pt>
                <c:pt idx="2248">
                  <c:v>3.923500158483253</c:v>
                </c:pt>
                <c:pt idx="2249">
                  <c:v>3.9252454877352463</c:v>
                </c:pt>
                <c:pt idx="2250">
                  <c:v>3.9269908169872414</c:v>
                </c:pt>
                <c:pt idx="2251">
                  <c:v>3.9287361462392361</c:v>
                </c:pt>
                <c:pt idx="2252">
                  <c:v>3.9304814754912298</c:v>
                </c:pt>
                <c:pt idx="2253">
                  <c:v>3.9322268047432249</c:v>
                </c:pt>
                <c:pt idx="2254">
                  <c:v>3.9339721339952183</c:v>
                </c:pt>
                <c:pt idx="2255">
                  <c:v>3.9357174632472134</c:v>
                </c:pt>
                <c:pt idx="2256">
                  <c:v>3.9374627924992076</c:v>
                </c:pt>
                <c:pt idx="2257">
                  <c:v>3.9392081217512018</c:v>
                </c:pt>
                <c:pt idx="2258">
                  <c:v>3.9409534510031956</c:v>
                </c:pt>
                <c:pt idx="2259">
                  <c:v>3.9426987802551903</c:v>
                </c:pt>
                <c:pt idx="2260">
                  <c:v>3.9444441095071845</c:v>
                </c:pt>
                <c:pt idx="2261">
                  <c:v>3.9461894387591787</c:v>
                </c:pt>
                <c:pt idx="2262">
                  <c:v>3.9479347680111738</c:v>
                </c:pt>
                <c:pt idx="2263">
                  <c:v>3.9496800972631672</c:v>
                </c:pt>
                <c:pt idx="2264">
                  <c:v>3.9514254265151623</c:v>
                </c:pt>
                <c:pt idx="2265">
                  <c:v>3.9531707557671565</c:v>
                </c:pt>
                <c:pt idx="2266">
                  <c:v>3.9549160850191507</c:v>
                </c:pt>
                <c:pt idx="2267">
                  <c:v>3.9566614142711449</c:v>
                </c:pt>
                <c:pt idx="2268">
                  <c:v>3.9584067435231391</c:v>
                </c:pt>
                <c:pt idx="2269">
                  <c:v>3.9601520727751334</c:v>
                </c:pt>
                <c:pt idx="2270">
                  <c:v>3.9618974020271276</c:v>
                </c:pt>
                <c:pt idx="2271">
                  <c:v>3.9636427312791227</c:v>
                </c:pt>
                <c:pt idx="2272">
                  <c:v>3.9653880605311165</c:v>
                </c:pt>
                <c:pt idx="2273">
                  <c:v>3.9671333897831111</c:v>
                </c:pt>
                <c:pt idx="2274">
                  <c:v>3.9688787190351049</c:v>
                </c:pt>
                <c:pt idx="2275">
                  <c:v>3.9706240482870996</c:v>
                </c:pt>
                <c:pt idx="2276">
                  <c:v>3.9723693775390947</c:v>
                </c:pt>
                <c:pt idx="2277">
                  <c:v>3.9741147067910885</c:v>
                </c:pt>
                <c:pt idx="2278">
                  <c:v>3.9758600360430827</c:v>
                </c:pt>
                <c:pt idx="2279">
                  <c:v>3.9776053652950769</c:v>
                </c:pt>
                <c:pt idx="2280">
                  <c:v>3.9793506945470711</c:v>
                </c:pt>
                <c:pt idx="2281">
                  <c:v>3.9810960237990654</c:v>
                </c:pt>
                <c:pt idx="2282">
                  <c:v>3.9828413530510596</c:v>
                </c:pt>
                <c:pt idx="2283">
                  <c:v>3.9845866823030538</c:v>
                </c:pt>
                <c:pt idx="2284">
                  <c:v>3.9863320115550489</c:v>
                </c:pt>
                <c:pt idx="2285">
                  <c:v>3.9880773408070431</c:v>
                </c:pt>
                <c:pt idx="2286">
                  <c:v>3.9898226700590373</c:v>
                </c:pt>
                <c:pt idx="2287">
                  <c:v>3.991567999311032</c:v>
                </c:pt>
                <c:pt idx="2288">
                  <c:v>3.9933133285630258</c:v>
                </c:pt>
                <c:pt idx="2289">
                  <c:v>3.9950586578150205</c:v>
                </c:pt>
                <c:pt idx="2290">
                  <c:v>3.9968039870670142</c:v>
                </c:pt>
                <c:pt idx="2291">
                  <c:v>3.9985493163190085</c:v>
                </c:pt>
                <c:pt idx="2292">
                  <c:v>4.0002946455710031</c:v>
                </c:pt>
                <c:pt idx="2293">
                  <c:v>4.0020399748229973</c:v>
                </c:pt>
                <c:pt idx="2294">
                  <c:v>4.0037853040749916</c:v>
                </c:pt>
                <c:pt idx="2295">
                  <c:v>4.0055306333269858</c:v>
                </c:pt>
                <c:pt idx="2296">
                  <c:v>4.0072759625789809</c:v>
                </c:pt>
                <c:pt idx="2297">
                  <c:v>4.0090212918309751</c:v>
                </c:pt>
                <c:pt idx="2298">
                  <c:v>4.0107666210829693</c:v>
                </c:pt>
                <c:pt idx="2299">
                  <c:v>4.0125119503349636</c:v>
                </c:pt>
                <c:pt idx="2300">
                  <c:v>4.0142572795869578</c:v>
                </c:pt>
                <c:pt idx="2301">
                  <c:v>4.016002608838952</c:v>
                </c:pt>
                <c:pt idx="2302">
                  <c:v>4.0177479380909462</c:v>
                </c:pt>
                <c:pt idx="2303">
                  <c:v>4.0194932673429413</c:v>
                </c:pt>
                <c:pt idx="2304">
                  <c:v>4.0212385965949347</c:v>
                </c:pt>
                <c:pt idx="2305">
                  <c:v>4.0229839258469298</c:v>
                </c:pt>
                <c:pt idx="2306">
                  <c:v>4.024729255098924</c:v>
                </c:pt>
                <c:pt idx="2307">
                  <c:v>4.0264745843509182</c:v>
                </c:pt>
                <c:pt idx="2308">
                  <c:v>4.0282199136029124</c:v>
                </c:pt>
                <c:pt idx="2309">
                  <c:v>4.0299652428549075</c:v>
                </c:pt>
                <c:pt idx="2310">
                  <c:v>4.0317105721069018</c:v>
                </c:pt>
                <c:pt idx="2311">
                  <c:v>4.033455901358896</c:v>
                </c:pt>
                <c:pt idx="2312">
                  <c:v>4.0352012306108902</c:v>
                </c:pt>
                <c:pt idx="2313">
                  <c:v>4.0369465598628844</c:v>
                </c:pt>
                <c:pt idx="2314">
                  <c:v>4.0386918891148786</c:v>
                </c:pt>
                <c:pt idx="2315">
                  <c:v>4.0404372183668729</c:v>
                </c:pt>
                <c:pt idx="2316">
                  <c:v>4.0421825476188671</c:v>
                </c:pt>
                <c:pt idx="2317">
                  <c:v>4.0439278768708622</c:v>
                </c:pt>
                <c:pt idx="2318">
                  <c:v>4.0456732061228564</c:v>
                </c:pt>
                <c:pt idx="2319">
                  <c:v>4.0474185353748506</c:v>
                </c:pt>
                <c:pt idx="2320">
                  <c:v>4.0491638646268449</c:v>
                </c:pt>
                <c:pt idx="2321">
                  <c:v>4.0509091938788391</c:v>
                </c:pt>
                <c:pt idx="2322">
                  <c:v>4.0526545231308333</c:v>
                </c:pt>
                <c:pt idx="2323">
                  <c:v>4.0543998523828275</c:v>
                </c:pt>
                <c:pt idx="2324">
                  <c:v>4.0561451816348217</c:v>
                </c:pt>
                <c:pt idx="2325">
                  <c:v>4.057890510886816</c:v>
                </c:pt>
                <c:pt idx="2326">
                  <c:v>4.0596358401388111</c:v>
                </c:pt>
                <c:pt idx="2327">
                  <c:v>4.0613811693908044</c:v>
                </c:pt>
                <c:pt idx="2328">
                  <c:v>4.0631264986427995</c:v>
                </c:pt>
                <c:pt idx="2329">
                  <c:v>4.0648718278947928</c:v>
                </c:pt>
                <c:pt idx="2330">
                  <c:v>4.066617157146788</c:v>
                </c:pt>
                <c:pt idx="2331">
                  <c:v>4.0683624863987822</c:v>
                </c:pt>
                <c:pt idx="2332">
                  <c:v>4.0701078156507764</c:v>
                </c:pt>
                <c:pt idx="2333">
                  <c:v>4.0718531449027706</c:v>
                </c:pt>
                <c:pt idx="2334">
                  <c:v>4.0735984741547648</c:v>
                </c:pt>
                <c:pt idx="2335">
                  <c:v>4.0753438034067591</c:v>
                </c:pt>
                <c:pt idx="2336">
                  <c:v>4.0770891326587533</c:v>
                </c:pt>
                <c:pt idx="2337">
                  <c:v>4.0788344619107484</c:v>
                </c:pt>
                <c:pt idx="2338">
                  <c:v>4.0805797911627417</c:v>
                </c:pt>
                <c:pt idx="2339">
                  <c:v>4.0823251204147368</c:v>
                </c:pt>
                <c:pt idx="2340">
                  <c:v>4.0840704496667311</c:v>
                </c:pt>
                <c:pt idx="2341">
                  <c:v>4.0858157789187253</c:v>
                </c:pt>
                <c:pt idx="2342">
                  <c:v>4.0875611081707204</c:v>
                </c:pt>
                <c:pt idx="2343">
                  <c:v>4.0893064374227146</c:v>
                </c:pt>
                <c:pt idx="2344">
                  <c:v>4.0910517666747088</c:v>
                </c:pt>
                <c:pt idx="2345">
                  <c:v>4.0927970959267022</c:v>
                </c:pt>
                <c:pt idx="2346">
                  <c:v>4.0945424251786973</c:v>
                </c:pt>
                <c:pt idx="2347">
                  <c:v>4.0962877544306906</c:v>
                </c:pt>
                <c:pt idx="2348">
                  <c:v>4.0980330836826857</c:v>
                </c:pt>
                <c:pt idx="2349">
                  <c:v>4.099778412934679</c:v>
                </c:pt>
                <c:pt idx="2350">
                  <c:v>4.1015237421866741</c:v>
                </c:pt>
                <c:pt idx="2351">
                  <c:v>4.1032690714386693</c:v>
                </c:pt>
                <c:pt idx="2352">
                  <c:v>4.1050144006906626</c:v>
                </c:pt>
                <c:pt idx="2353">
                  <c:v>4.1067597299426577</c:v>
                </c:pt>
                <c:pt idx="2354">
                  <c:v>4.108505059194651</c:v>
                </c:pt>
                <c:pt idx="2355">
                  <c:v>4.1102503884466461</c:v>
                </c:pt>
                <c:pt idx="2356">
                  <c:v>4.1119957176986404</c:v>
                </c:pt>
                <c:pt idx="2357">
                  <c:v>4.1137410469506346</c:v>
                </c:pt>
                <c:pt idx="2358">
                  <c:v>4.1154863762026288</c:v>
                </c:pt>
                <c:pt idx="2359">
                  <c:v>4.117231705454623</c:v>
                </c:pt>
                <c:pt idx="2360">
                  <c:v>4.1189770347066172</c:v>
                </c:pt>
                <c:pt idx="2361">
                  <c:v>4.1207223639586115</c:v>
                </c:pt>
                <c:pt idx="2362">
                  <c:v>4.1224676932106066</c:v>
                </c:pt>
                <c:pt idx="2363">
                  <c:v>4.1242130224625999</c:v>
                </c:pt>
                <c:pt idx="2364">
                  <c:v>4.125958351714595</c:v>
                </c:pt>
                <c:pt idx="2365">
                  <c:v>4.1277036809665892</c:v>
                </c:pt>
                <c:pt idx="2366">
                  <c:v>4.1294490102185835</c:v>
                </c:pt>
                <c:pt idx="2367">
                  <c:v>4.1311943394705777</c:v>
                </c:pt>
                <c:pt idx="2368">
                  <c:v>4.1329396687225719</c:v>
                </c:pt>
                <c:pt idx="2369">
                  <c:v>4.1346849979745661</c:v>
                </c:pt>
                <c:pt idx="2370">
                  <c:v>4.1364303272265612</c:v>
                </c:pt>
                <c:pt idx="2371">
                  <c:v>4.1381756564785555</c:v>
                </c:pt>
                <c:pt idx="2372">
                  <c:v>4.1399209857305497</c:v>
                </c:pt>
                <c:pt idx="2373">
                  <c:v>4.1416663149825439</c:v>
                </c:pt>
                <c:pt idx="2374">
                  <c:v>4.1434116442345381</c:v>
                </c:pt>
                <c:pt idx="2375">
                  <c:v>4.1451569734865323</c:v>
                </c:pt>
                <c:pt idx="2376">
                  <c:v>4.1469023027385274</c:v>
                </c:pt>
                <c:pt idx="2377">
                  <c:v>4.1486476319905217</c:v>
                </c:pt>
                <c:pt idx="2378">
                  <c:v>4.1503929612425159</c:v>
                </c:pt>
                <c:pt idx="2379">
                  <c:v>4.1521382904945101</c:v>
                </c:pt>
                <c:pt idx="2380">
                  <c:v>4.1538836197465043</c:v>
                </c:pt>
                <c:pt idx="2381">
                  <c:v>4.1556289489984986</c:v>
                </c:pt>
                <c:pt idx="2382">
                  <c:v>4.1573742782504928</c:v>
                </c:pt>
                <c:pt idx="2383">
                  <c:v>4.159119607502487</c:v>
                </c:pt>
                <c:pt idx="2384">
                  <c:v>4.1608649367544821</c:v>
                </c:pt>
                <c:pt idx="2385">
                  <c:v>4.1626102660064763</c:v>
                </c:pt>
                <c:pt idx="2386">
                  <c:v>4.1643555952584705</c:v>
                </c:pt>
                <c:pt idx="2387">
                  <c:v>4.1661009245104648</c:v>
                </c:pt>
                <c:pt idx="2388">
                  <c:v>4.167846253762459</c:v>
                </c:pt>
                <c:pt idx="2389">
                  <c:v>4.1695915830144532</c:v>
                </c:pt>
                <c:pt idx="2390">
                  <c:v>4.1713369122664474</c:v>
                </c:pt>
                <c:pt idx="2391">
                  <c:v>4.1730822415184416</c:v>
                </c:pt>
                <c:pt idx="2392">
                  <c:v>4.1748275707704368</c:v>
                </c:pt>
                <c:pt idx="2393">
                  <c:v>4.176572900022431</c:v>
                </c:pt>
                <c:pt idx="2394">
                  <c:v>4.1783182292744252</c:v>
                </c:pt>
                <c:pt idx="2395">
                  <c:v>4.1800635585264194</c:v>
                </c:pt>
                <c:pt idx="2396">
                  <c:v>4.1818088877784145</c:v>
                </c:pt>
                <c:pt idx="2397">
                  <c:v>4.1835542170304079</c:v>
                </c:pt>
                <c:pt idx="2398">
                  <c:v>4.185299546282403</c:v>
                </c:pt>
                <c:pt idx="2399">
                  <c:v>4.1870448755343963</c:v>
                </c:pt>
                <c:pt idx="2400">
                  <c:v>4.1887902047863905</c:v>
                </c:pt>
                <c:pt idx="2401">
                  <c:v>4.1905355340383856</c:v>
                </c:pt>
                <c:pt idx="2402">
                  <c:v>4.192280863290379</c:v>
                </c:pt>
                <c:pt idx="2403">
                  <c:v>4.1940261925423741</c:v>
                </c:pt>
                <c:pt idx="2404">
                  <c:v>4.1957715217943674</c:v>
                </c:pt>
                <c:pt idx="2405">
                  <c:v>4.1975168510463625</c:v>
                </c:pt>
                <c:pt idx="2406">
                  <c:v>4.1992621802983567</c:v>
                </c:pt>
                <c:pt idx="2407">
                  <c:v>4.201007509550351</c:v>
                </c:pt>
                <c:pt idx="2408">
                  <c:v>4.2027528388023452</c:v>
                </c:pt>
                <c:pt idx="2409">
                  <c:v>4.2044981680543403</c:v>
                </c:pt>
                <c:pt idx="2410">
                  <c:v>4.2062434973063345</c:v>
                </c:pt>
                <c:pt idx="2411">
                  <c:v>4.2079888265583287</c:v>
                </c:pt>
                <c:pt idx="2412">
                  <c:v>4.209734155810323</c:v>
                </c:pt>
                <c:pt idx="2413">
                  <c:v>4.2114794850623163</c:v>
                </c:pt>
                <c:pt idx="2414">
                  <c:v>4.2132248143143114</c:v>
                </c:pt>
                <c:pt idx="2415">
                  <c:v>4.2149701435663056</c:v>
                </c:pt>
                <c:pt idx="2416">
                  <c:v>4.2167154728182998</c:v>
                </c:pt>
                <c:pt idx="2417">
                  <c:v>4.2184608020702949</c:v>
                </c:pt>
                <c:pt idx="2418">
                  <c:v>4.2202061313222892</c:v>
                </c:pt>
                <c:pt idx="2419">
                  <c:v>4.2219514605742834</c:v>
                </c:pt>
                <c:pt idx="2420">
                  <c:v>4.2236967898262776</c:v>
                </c:pt>
                <c:pt idx="2421">
                  <c:v>4.2254421190782718</c:v>
                </c:pt>
                <c:pt idx="2422">
                  <c:v>4.2271874483302661</c:v>
                </c:pt>
                <c:pt idx="2423">
                  <c:v>4.2289327775822603</c:v>
                </c:pt>
                <c:pt idx="2424">
                  <c:v>4.2306781068342536</c:v>
                </c:pt>
                <c:pt idx="2425">
                  <c:v>4.2324234360862487</c:v>
                </c:pt>
                <c:pt idx="2426">
                  <c:v>4.2341687653382438</c:v>
                </c:pt>
                <c:pt idx="2427">
                  <c:v>4.2359140945902372</c:v>
                </c:pt>
                <c:pt idx="2428">
                  <c:v>4.2376594238422323</c:v>
                </c:pt>
                <c:pt idx="2429">
                  <c:v>4.2394047530942256</c:v>
                </c:pt>
                <c:pt idx="2430">
                  <c:v>4.2411500823462207</c:v>
                </c:pt>
                <c:pt idx="2431">
                  <c:v>4.2428954115982149</c:v>
                </c:pt>
                <c:pt idx="2432">
                  <c:v>4.2446407408502091</c:v>
                </c:pt>
                <c:pt idx="2433">
                  <c:v>4.2463860701022034</c:v>
                </c:pt>
                <c:pt idx="2434">
                  <c:v>4.2481313993541976</c:v>
                </c:pt>
                <c:pt idx="2435">
                  <c:v>4.2498767286061918</c:v>
                </c:pt>
                <c:pt idx="2436">
                  <c:v>4.251622057858186</c:v>
                </c:pt>
                <c:pt idx="2437">
                  <c:v>4.2533673871101811</c:v>
                </c:pt>
                <c:pt idx="2438">
                  <c:v>4.2551127163621754</c:v>
                </c:pt>
                <c:pt idx="2439">
                  <c:v>4.2568580456141696</c:v>
                </c:pt>
                <c:pt idx="2440">
                  <c:v>4.2586033748661638</c:v>
                </c:pt>
                <c:pt idx="2441">
                  <c:v>4.260348704118158</c:v>
                </c:pt>
                <c:pt idx="2442">
                  <c:v>4.2620940333701531</c:v>
                </c:pt>
                <c:pt idx="2443">
                  <c:v>4.2638393626221474</c:v>
                </c:pt>
                <c:pt idx="2444">
                  <c:v>4.2655846918741407</c:v>
                </c:pt>
                <c:pt idx="2445">
                  <c:v>4.2673300211261358</c:v>
                </c:pt>
                <c:pt idx="2446">
                  <c:v>4.26907535037813</c:v>
                </c:pt>
                <c:pt idx="2447">
                  <c:v>4.2708206796301242</c:v>
                </c:pt>
                <c:pt idx="2448">
                  <c:v>4.2725660088821185</c:v>
                </c:pt>
                <c:pt idx="2449">
                  <c:v>4.2743113381341127</c:v>
                </c:pt>
                <c:pt idx="2450">
                  <c:v>4.2760566673861069</c:v>
                </c:pt>
                <c:pt idx="2451">
                  <c:v>4.277801996638102</c:v>
                </c:pt>
                <c:pt idx="2452">
                  <c:v>4.2795473258900962</c:v>
                </c:pt>
                <c:pt idx="2453">
                  <c:v>4.2812926551420905</c:v>
                </c:pt>
                <c:pt idx="2454">
                  <c:v>4.2830379843940847</c:v>
                </c:pt>
                <c:pt idx="2455">
                  <c:v>4.2847833136460789</c:v>
                </c:pt>
                <c:pt idx="2456">
                  <c:v>4.2865286428980731</c:v>
                </c:pt>
                <c:pt idx="2457">
                  <c:v>4.2882739721500673</c:v>
                </c:pt>
                <c:pt idx="2458">
                  <c:v>4.2900193014020616</c:v>
                </c:pt>
                <c:pt idx="2459">
                  <c:v>4.2917646306540567</c:v>
                </c:pt>
                <c:pt idx="2460">
                  <c:v>4.2935099599060509</c:v>
                </c:pt>
                <c:pt idx="2461">
                  <c:v>4.2952552891580451</c:v>
                </c:pt>
                <c:pt idx="2462">
                  <c:v>4.2970006184100393</c:v>
                </c:pt>
                <c:pt idx="2463">
                  <c:v>4.2987459476620336</c:v>
                </c:pt>
                <c:pt idx="2464">
                  <c:v>4.3004912769140287</c:v>
                </c:pt>
                <c:pt idx="2465">
                  <c:v>4.3022366061660229</c:v>
                </c:pt>
                <c:pt idx="2466">
                  <c:v>4.3039819354180171</c:v>
                </c:pt>
                <c:pt idx="2467">
                  <c:v>4.3057272646700113</c:v>
                </c:pt>
                <c:pt idx="2468">
                  <c:v>4.3074725939220055</c:v>
                </c:pt>
                <c:pt idx="2469">
                  <c:v>4.3092179231739998</c:v>
                </c:pt>
                <c:pt idx="2470">
                  <c:v>4.310963252425994</c:v>
                </c:pt>
                <c:pt idx="2471">
                  <c:v>4.3127085816779891</c:v>
                </c:pt>
                <c:pt idx="2472">
                  <c:v>4.3144539109299824</c:v>
                </c:pt>
                <c:pt idx="2473">
                  <c:v>4.3161992401819775</c:v>
                </c:pt>
                <c:pt idx="2474">
                  <c:v>4.3179445694339709</c:v>
                </c:pt>
                <c:pt idx="2475">
                  <c:v>4.319689898685966</c:v>
                </c:pt>
                <c:pt idx="2476">
                  <c:v>4.3214352279379602</c:v>
                </c:pt>
                <c:pt idx="2477">
                  <c:v>4.3231805571899544</c:v>
                </c:pt>
                <c:pt idx="2478">
                  <c:v>4.3249258864419486</c:v>
                </c:pt>
                <c:pt idx="2479">
                  <c:v>4.3266712156939429</c:v>
                </c:pt>
                <c:pt idx="2480">
                  <c:v>4.3284165449459371</c:v>
                </c:pt>
                <c:pt idx="2481">
                  <c:v>4.3301618741979313</c:v>
                </c:pt>
                <c:pt idx="2482">
                  <c:v>4.3319072034499255</c:v>
                </c:pt>
                <c:pt idx="2483">
                  <c:v>4.3336525327019197</c:v>
                </c:pt>
                <c:pt idx="2484">
                  <c:v>4.3353978619539149</c:v>
                </c:pt>
                <c:pt idx="2485">
                  <c:v>4.3371431912059091</c:v>
                </c:pt>
                <c:pt idx="2486">
                  <c:v>4.3388885204579033</c:v>
                </c:pt>
                <c:pt idx="2487">
                  <c:v>4.3406338497098975</c:v>
                </c:pt>
                <c:pt idx="2488">
                  <c:v>4.3423791789618917</c:v>
                </c:pt>
                <c:pt idx="2489">
                  <c:v>4.344124508213886</c:v>
                </c:pt>
                <c:pt idx="2490">
                  <c:v>4.3458698374658802</c:v>
                </c:pt>
                <c:pt idx="2491">
                  <c:v>4.3476151667178744</c:v>
                </c:pt>
                <c:pt idx="2492">
                  <c:v>4.3493604959698695</c:v>
                </c:pt>
                <c:pt idx="2493">
                  <c:v>4.3511058252218637</c:v>
                </c:pt>
                <c:pt idx="2494">
                  <c:v>4.352851154473858</c:v>
                </c:pt>
                <c:pt idx="2495">
                  <c:v>4.3545964837258522</c:v>
                </c:pt>
                <c:pt idx="2496">
                  <c:v>4.3563418129778473</c:v>
                </c:pt>
                <c:pt idx="2497">
                  <c:v>4.3580871422298406</c:v>
                </c:pt>
                <c:pt idx="2498">
                  <c:v>4.3598324714818357</c:v>
                </c:pt>
                <c:pt idx="2499">
                  <c:v>4.3615778007338291</c:v>
                </c:pt>
                <c:pt idx="2500">
                  <c:v>4.3633231299858233</c:v>
                </c:pt>
                <c:pt idx="2501">
                  <c:v>4.3650684592378184</c:v>
                </c:pt>
                <c:pt idx="2502">
                  <c:v>4.3668137884898117</c:v>
                </c:pt>
                <c:pt idx="2503">
                  <c:v>4.3685591177418068</c:v>
                </c:pt>
                <c:pt idx="2504">
                  <c:v>4.3703044469938002</c:v>
                </c:pt>
                <c:pt idx="2505">
                  <c:v>4.3720497762457953</c:v>
                </c:pt>
                <c:pt idx="2506">
                  <c:v>4.3737951054977895</c:v>
                </c:pt>
                <c:pt idx="2507">
                  <c:v>4.3755404347497837</c:v>
                </c:pt>
                <c:pt idx="2508">
                  <c:v>4.3772857640017779</c:v>
                </c:pt>
                <c:pt idx="2509">
                  <c:v>4.379031093253773</c:v>
                </c:pt>
                <c:pt idx="2510">
                  <c:v>4.3807764225057673</c:v>
                </c:pt>
                <c:pt idx="2511">
                  <c:v>4.3825217517577606</c:v>
                </c:pt>
                <c:pt idx="2512">
                  <c:v>4.3842670810097557</c:v>
                </c:pt>
                <c:pt idx="2513">
                  <c:v>4.3860124102617499</c:v>
                </c:pt>
                <c:pt idx="2514">
                  <c:v>4.3877577395137441</c:v>
                </c:pt>
                <c:pt idx="2515">
                  <c:v>4.3895030687657384</c:v>
                </c:pt>
                <c:pt idx="2516">
                  <c:v>4.3912483980177326</c:v>
                </c:pt>
                <c:pt idx="2517">
                  <c:v>4.3929937272697277</c:v>
                </c:pt>
                <c:pt idx="2518">
                  <c:v>4.3947390565217219</c:v>
                </c:pt>
                <c:pt idx="2519">
                  <c:v>4.3964843857737161</c:v>
                </c:pt>
                <c:pt idx="2520">
                  <c:v>4.3982297150257104</c:v>
                </c:pt>
                <c:pt idx="2521">
                  <c:v>4.3999750442777046</c:v>
                </c:pt>
                <c:pt idx="2522">
                  <c:v>4.4017203735296988</c:v>
                </c:pt>
                <c:pt idx="2523">
                  <c:v>4.403465702781693</c:v>
                </c:pt>
                <c:pt idx="2524">
                  <c:v>4.4052110320336872</c:v>
                </c:pt>
                <c:pt idx="2525">
                  <c:v>4.4069563612856815</c:v>
                </c:pt>
                <c:pt idx="2526">
                  <c:v>4.4087016905376766</c:v>
                </c:pt>
                <c:pt idx="2527">
                  <c:v>4.4104470197896708</c:v>
                </c:pt>
                <c:pt idx="2528">
                  <c:v>4.412192349041665</c:v>
                </c:pt>
                <c:pt idx="2529">
                  <c:v>4.4139376782936592</c:v>
                </c:pt>
                <c:pt idx="2530">
                  <c:v>4.4156830075456535</c:v>
                </c:pt>
                <c:pt idx="2531">
                  <c:v>4.4174283367976477</c:v>
                </c:pt>
                <c:pt idx="2532">
                  <c:v>4.4191736660496428</c:v>
                </c:pt>
                <c:pt idx="2533">
                  <c:v>4.420918995301637</c:v>
                </c:pt>
                <c:pt idx="2534">
                  <c:v>4.4226643245536312</c:v>
                </c:pt>
                <c:pt idx="2535">
                  <c:v>4.4244096538056255</c:v>
                </c:pt>
                <c:pt idx="2536">
                  <c:v>4.4261549830576197</c:v>
                </c:pt>
                <c:pt idx="2537">
                  <c:v>4.4279003123096139</c:v>
                </c:pt>
                <c:pt idx="2538">
                  <c:v>4.4296456415616081</c:v>
                </c:pt>
                <c:pt idx="2539">
                  <c:v>4.4313909708136032</c:v>
                </c:pt>
                <c:pt idx="2540">
                  <c:v>4.4331363000655974</c:v>
                </c:pt>
                <c:pt idx="2541">
                  <c:v>4.4348816293175917</c:v>
                </c:pt>
                <c:pt idx="2542">
                  <c:v>4.4366269585695859</c:v>
                </c:pt>
                <c:pt idx="2543">
                  <c:v>4.4383722878215801</c:v>
                </c:pt>
                <c:pt idx="2544">
                  <c:v>4.4401176170735743</c:v>
                </c:pt>
                <c:pt idx="2545">
                  <c:v>4.4418629463255686</c:v>
                </c:pt>
                <c:pt idx="2546">
                  <c:v>4.4436082755775637</c:v>
                </c:pt>
                <c:pt idx="2547">
                  <c:v>4.445353604829557</c:v>
                </c:pt>
                <c:pt idx="2548">
                  <c:v>4.4470989340815521</c:v>
                </c:pt>
                <c:pt idx="2549">
                  <c:v>4.4488442633335454</c:v>
                </c:pt>
                <c:pt idx="2550">
                  <c:v>4.4505895925855405</c:v>
                </c:pt>
                <c:pt idx="2551">
                  <c:v>4.4523349218375348</c:v>
                </c:pt>
                <c:pt idx="2552">
                  <c:v>4.454080251089529</c:v>
                </c:pt>
                <c:pt idx="2553">
                  <c:v>4.4558255803415241</c:v>
                </c:pt>
                <c:pt idx="2554">
                  <c:v>4.4575709095935174</c:v>
                </c:pt>
                <c:pt idx="2555">
                  <c:v>4.4593162388455116</c:v>
                </c:pt>
                <c:pt idx="2556">
                  <c:v>4.4610615680975059</c:v>
                </c:pt>
                <c:pt idx="2557">
                  <c:v>4.4628068973495001</c:v>
                </c:pt>
                <c:pt idx="2558">
                  <c:v>4.4645522266014943</c:v>
                </c:pt>
                <c:pt idx="2559">
                  <c:v>4.4662975558534894</c:v>
                </c:pt>
                <c:pt idx="2560">
                  <c:v>4.4680428851054836</c:v>
                </c:pt>
                <c:pt idx="2561">
                  <c:v>4.4697882143574788</c:v>
                </c:pt>
                <c:pt idx="2562">
                  <c:v>4.4715335436094721</c:v>
                </c:pt>
                <c:pt idx="2563">
                  <c:v>4.4732788728614672</c:v>
                </c:pt>
                <c:pt idx="2564">
                  <c:v>4.4750242021134605</c:v>
                </c:pt>
                <c:pt idx="2565">
                  <c:v>4.4767695313654556</c:v>
                </c:pt>
                <c:pt idx="2566">
                  <c:v>4.4785148606174499</c:v>
                </c:pt>
                <c:pt idx="2567">
                  <c:v>4.480260189869445</c:v>
                </c:pt>
                <c:pt idx="2568">
                  <c:v>4.4820055191214383</c:v>
                </c:pt>
                <c:pt idx="2569">
                  <c:v>4.4837508483734334</c:v>
                </c:pt>
                <c:pt idx="2570">
                  <c:v>4.4854961776254267</c:v>
                </c:pt>
                <c:pt idx="2571">
                  <c:v>4.4872415068774218</c:v>
                </c:pt>
                <c:pt idx="2572">
                  <c:v>4.4889868361294152</c:v>
                </c:pt>
                <c:pt idx="2573">
                  <c:v>4.4907321653814103</c:v>
                </c:pt>
                <c:pt idx="2574">
                  <c:v>4.4924774946334036</c:v>
                </c:pt>
                <c:pt idx="2575">
                  <c:v>4.4942228238853987</c:v>
                </c:pt>
                <c:pt idx="2576">
                  <c:v>4.495968153137393</c:v>
                </c:pt>
                <c:pt idx="2577">
                  <c:v>4.4977134823893872</c:v>
                </c:pt>
                <c:pt idx="2578">
                  <c:v>4.4994588116413814</c:v>
                </c:pt>
                <c:pt idx="2579">
                  <c:v>4.5012041408933747</c:v>
                </c:pt>
                <c:pt idx="2580">
                  <c:v>4.5029494701453698</c:v>
                </c:pt>
                <c:pt idx="2581">
                  <c:v>4.5046947993973641</c:v>
                </c:pt>
                <c:pt idx="2582">
                  <c:v>4.5064401286493583</c:v>
                </c:pt>
                <c:pt idx="2583">
                  <c:v>4.5081854579013525</c:v>
                </c:pt>
                <c:pt idx="2584">
                  <c:v>4.5099307871533467</c:v>
                </c:pt>
                <c:pt idx="2585">
                  <c:v>4.5116761164053418</c:v>
                </c:pt>
                <c:pt idx="2586">
                  <c:v>4.5134214456573361</c:v>
                </c:pt>
                <c:pt idx="2587">
                  <c:v>4.5151667749093303</c:v>
                </c:pt>
                <c:pt idx="2588">
                  <c:v>4.5169121041613245</c:v>
                </c:pt>
                <c:pt idx="2589">
                  <c:v>4.5186574334133187</c:v>
                </c:pt>
                <c:pt idx="2590">
                  <c:v>4.5204027626653129</c:v>
                </c:pt>
                <c:pt idx="2591">
                  <c:v>4.522148091917308</c:v>
                </c:pt>
                <c:pt idx="2592">
                  <c:v>4.5238934211693032</c:v>
                </c:pt>
                <c:pt idx="2593">
                  <c:v>4.5256387504212965</c:v>
                </c:pt>
                <c:pt idx="2594">
                  <c:v>4.5273840796732916</c:v>
                </c:pt>
                <c:pt idx="2595">
                  <c:v>4.5291294089252849</c:v>
                </c:pt>
                <c:pt idx="2596">
                  <c:v>4.53087473817728</c:v>
                </c:pt>
                <c:pt idx="2597">
                  <c:v>4.5326200674292734</c:v>
                </c:pt>
                <c:pt idx="2598">
                  <c:v>4.5343653966812676</c:v>
                </c:pt>
                <c:pt idx="2599">
                  <c:v>4.5361107259332618</c:v>
                </c:pt>
                <c:pt idx="2600">
                  <c:v>4.5378560551852569</c:v>
                </c:pt>
                <c:pt idx="2601">
                  <c:v>4.5396013844372511</c:v>
                </c:pt>
                <c:pt idx="2602">
                  <c:v>4.5413467136892454</c:v>
                </c:pt>
                <c:pt idx="2603">
                  <c:v>4.5430920429412396</c:v>
                </c:pt>
                <c:pt idx="2604">
                  <c:v>4.5448373721932338</c:v>
                </c:pt>
                <c:pt idx="2605">
                  <c:v>4.546582701445228</c:v>
                </c:pt>
                <c:pt idx="2606">
                  <c:v>4.5483280306972222</c:v>
                </c:pt>
                <c:pt idx="2607">
                  <c:v>4.5500733599492174</c:v>
                </c:pt>
                <c:pt idx="2608">
                  <c:v>4.5518186892012107</c:v>
                </c:pt>
                <c:pt idx="2609">
                  <c:v>4.5535640184532058</c:v>
                </c:pt>
                <c:pt idx="2610">
                  <c:v>4.5553093477052</c:v>
                </c:pt>
                <c:pt idx="2611">
                  <c:v>4.5570546769571942</c:v>
                </c:pt>
                <c:pt idx="2612">
                  <c:v>4.5588000062091885</c:v>
                </c:pt>
                <c:pt idx="2613">
                  <c:v>4.5605453354611836</c:v>
                </c:pt>
                <c:pt idx="2614">
                  <c:v>4.5622906647131769</c:v>
                </c:pt>
                <c:pt idx="2615">
                  <c:v>4.564035993965172</c:v>
                </c:pt>
                <c:pt idx="2616">
                  <c:v>4.5657813232171662</c:v>
                </c:pt>
                <c:pt idx="2617">
                  <c:v>4.5675266524691605</c:v>
                </c:pt>
                <c:pt idx="2618">
                  <c:v>4.5692719817211547</c:v>
                </c:pt>
                <c:pt idx="2619">
                  <c:v>4.5710173109731489</c:v>
                </c:pt>
                <c:pt idx="2620">
                  <c:v>4.572762640225144</c:v>
                </c:pt>
                <c:pt idx="2621">
                  <c:v>4.5745079694771382</c:v>
                </c:pt>
                <c:pt idx="2622">
                  <c:v>4.5762532987291316</c:v>
                </c:pt>
                <c:pt idx="2623">
                  <c:v>4.5779986279811267</c:v>
                </c:pt>
                <c:pt idx="2624">
                  <c:v>4.57974395723312</c:v>
                </c:pt>
                <c:pt idx="2625">
                  <c:v>4.5814892864851151</c:v>
                </c:pt>
                <c:pt idx="2626">
                  <c:v>4.5832346157371102</c:v>
                </c:pt>
                <c:pt idx="2627">
                  <c:v>4.5849799449891036</c:v>
                </c:pt>
                <c:pt idx="2628">
                  <c:v>4.5867252742410987</c:v>
                </c:pt>
                <c:pt idx="2629">
                  <c:v>4.588470603493092</c:v>
                </c:pt>
                <c:pt idx="2630">
                  <c:v>4.5902159327450871</c:v>
                </c:pt>
                <c:pt idx="2631">
                  <c:v>4.5919612619970804</c:v>
                </c:pt>
                <c:pt idx="2632">
                  <c:v>4.5937065912490755</c:v>
                </c:pt>
                <c:pt idx="2633">
                  <c:v>4.5954519205010689</c:v>
                </c:pt>
                <c:pt idx="2634">
                  <c:v>4.5971972497530631</c:v>
                </c:pt>
                <c:pt idx="2635">
                  <c:v>4.5989425790050582</c:v>
                </c:pt>
                <c:pt idx="2636">
                  <c:v>4.6006879082570533</c:v>
                </c:pt>
                <c:pt idx="2637">
                  <c:v>4.6024332375090466</c:v>
                </c:pt>
                <c:pt idx="2638">
                  <c:v>4.6041785667610418</c:v>
                </c:pt>
                <c:pt idx="2639">
                  <c:v>4.6059238960130351</c:v>
                </c:pt>
                <c:pt idx="2640">
                  <c:v>4.6076692252650302</c:v>
                </c:pt>
                <c:pt idx="2641">
                  <c:v>4.6094145545170244</c:v>
                </c:pt>
                <c:pt idx="2642">
                  <c:v>4.6111598837690195</c:v>
                </c:pt>
                <c:pt idx="2643">
                  <c:v>4.6129052130210129</c:v>
                </c:pt>
                <c:pt idx="2644">
                  <c:v>4.614650542273008</c:v>
                </c:pt>
                <c:pt idx="2645">
                  <c:v>4.6163958715250013</c:v>
                </c:pt>
                <c:pt idx="2646">
                  <c:v>4.6181412007769964</c:v>
                </c:pt>
                <c:pt idx="2647">
                  <c:v>4.6198865300289897</c:v>
                </c:pt>
                <c:pt idx="2648">
                  <c:v>4.6216318592809849</c:v>
                </c:pt>
                <c:pt idx="2649">
                  <c:v>4.6233771885329782</c:v>
                </c:pt>
                <c:pt idx="2650">
                  <c:v>4.6251225177849733</c:v>
                </c:pt>
                <c:pt idx="2651">
                  <c:v>4.6268678470369684</c:v>
                </c:pt>
                <c:pt idx="2652">
                  <c:v>4.6286131762889617</c:v>
                </c:pt>
                <c:pt idx="2653">
                  <c:v>4.630358505540956</c:v>
                </c:pt>
                <c:pt idx="2654">
                  <c:v>4.6321038347929502</c:v>
                </c:pt>
                <c:pt idx="2655">
                  <c:v>4.6338491640449444</c:v>
                </c:pt>
                <c:pt idx="2656">
                  <c:v>4.6355944932969386</c:v>
                </c:pt>
                <c:pt idx="2657">
                  <c:v>4.6373398225489328</c:v>
                </c:pt>
                <c:pt idx="2658">
                  <c:v>4.6390851518009271</c:v>
                </c:pt>
                <c:pt idx="2659">
                  <c:v>4.6408304810529213</c:v>
                </c:pt>
                <c:pt idx="2660">
                  <c:v>4.6425758103049164</c:v>
                </c:pt>
                <c:pt idx="2661">
                  <c:v>4.6443211395569115</c:v>
                </c:pt>
                <c:pt idx="2662">
                  <c:v>4.6460664688089048</c:v>
                </c:pt>
                <c:pt idx="2663">
                  <c:v>4.6478117980608999</c:v>
                </c:pt>
                <c:pt idx="2664">
                  <c:v>4.6495571273128933</c:v>
                </c:pt>
                <c:pt idx="2665">
                  <c:v>4.6513024565648875</c:v>
                </c:pt>
                <c:pt idx="2666">
                  <c:v>4.6530477858168826</c:v>
                </c:pt>
                <c:pt idx="2667">
                  <c:v>4.6547931150688777</c:v>
                </c:pt>
                <c:pt idx="2668">
                  <c:v>4.6565384443208711</c:v>
                </c:pt>
                <c:pt idx="2669">
                  <c:v>4.6582837735728662</c:v>
                </c:pt>
                <c:pt idx="2670">
                  <c:v>4.6600291028248595</c:v>
                </c:pt>
                <c:pt idx="2671">
                  <c:v>4.6617744320768546</c:v>
                </c:pt>
                <c:pt idx="2672">
                  <c:v>4.6635197613288479</c:v>
                </c:pt>
                <c:pt idx="2673">
                  <c:v>4.665265090580843</c:v>
                </c:pt>
                <c:pt idx="2674">
                  <c:v>4.6670104198328364</c:v>
                </c:pt>
                <c:pt idx="2675">
                  <c:v>4.6687557490848315</c:v>
                </c:pt>
                <c:pt idx="2676">
                  <c:v>4.6705010783368257</c:v>
                </c:pt>
                <c:pt idx="2677">
                  <c:v>4.6722464075888199</c:v>
                </c:pt>
                <c:pt idx="2678">
                  <c:v>4.6739917368408141</c:v>
                </c:pt>
                <c:pt idx="2679">
                  <c:v>4.6757370660928084</c:v>
                </c:pt>
                <c:pt idx="2680">
                  <c:v>4.6774823953448026</c:v>
                </c:pt>
                <c:pt idx="2681">
                  <c:v>4.6792277245967968</c:v>
                </c:pt>
                <c:pt idx="2682">
                  <c:v>4.6809730538487919</c:v>
                </c:pt>
                <c:pt idx="2683">
                  <c:v>4.6827183831007853</c:v>
                </c:pt>
                <c:pt idx="2684">
                  <c:v>4.6844637123527804</c:v>
                </c:pt>
                <c:pt idx="2685">
                  <c:v>4.6862090416047746</c:v>
                </c:pt>
                <c:pt idx="2686">
                  <c:v>4.6879543708567688</c:v>
                </c:pt>
                <c:pt idx="2687">
                  <c:v>4.689699700108763</c:v>
                </c:pt>
                <c:pt idx="2688">
                  <c:v>4.6914450293607581</c:v>
                </c:pt>
                <c:pt idx="2689">
                  <c:v>4.6931903586127515</c:v>
                </c:pt>
                <c:pt idx="2690">
                  <c:v>4.6949356878647466</c:v>
                </c:pt>
                <c:pt idx="2691">
                  <c:v>4.6966810171167408</c:v>
                </c:pt>
                <c:pt idx="2692">
                  <c:v>4.6984263463687359</c:v>
                </c:pt>
                <c:pt idx="2693">
                  <c:v>4.7001716756207292</c:v>
                </c:pt>
                <c:pt idx="2694">
                  <c:v>4.7019170048727243</c:v>
                </c:pt>
                <c:pt idx="2695">
                  <c:v>4.7036623341247186</c:v>
                </c:pt>
                <c:pt idx="2696">
                  <c:v>4.7054076633767128</c:v>
                </c:pt>
                <c:pt idx="2697">
                  <c:v>4.707152992628707</c:v>
                </c:pt>
                <c:pt idx="2698">
                  <c:v>4.7088983218807012</c:v>
                </c:pt>
                <c:pt idx="2699">
                  <c:v>4.7106436511326955</c:v>
                </c:pt>
                <c:pt idx="2700">
                  <c:v>4.7123889803846897</c:v>
                </c:pt>
                <c:pt idx="2701">
                  <c:v>4.7141343096366848</c:v>
                </c:pt>
                <c:pt idx="2702">
                  <c:v>4.7158796388886781</c:v>
                </c:pt>
                <c:pt idx="2703">
                  <c:v>4.7176249681406732</c:v>
                </c:pt>
                <c:pt idx="2704">
                  <c:v>4.7193702973926666</c:v>
                </c:pt>
                <c:pt idx="2705">
                  <c:v>4.7211156266446617</c:v>
                </c:pt>
                <c:pt idx="2706">
                  <c:v>4.722860955896655</c:v>
                </c:pt>
                <c:pt idx="2707">
                  <c:v>4.7246062851486501</c:v>
                </c:pt>
                <c:pt idx="2708">
                  <c:v>4.7263516144006434</c:v>
                </c:pt>
                <c:pt idx="2709">
                  <c:v>4.7280969436526386</c:v>
                </c:pt>
                <c:pt idx="2710">
                  <c:v>4.7298422729046328</c:v>
                </c:pt>
                <c:pt idx="2711">
                  <c:v>4.7315876021566279</c:v>
                </c:pt>
                <c:pt idx="2712">
                  <c:v>4.7333329314086212</c:v>
                </c:pt>
                <c:pt idx="2713">
                  <c:v>4.7350782606606163</c:v>
                </c:pt>
                <c:pt idx="2714">
                  <c:v>4.7368235899126097</c:v>
                </c:pt>
                <c:pt idx="2715">
                  <c:v>4.7385689191646048</c:v>
                </c:pt>
                <c:pt idx="2716">
                  <c:v>4.7403142484165999</c:v>
                </c:pt>
                <c:pt idx="2717">
                  <c:v>4.7420595776685941</c:v>
                </c:pt>
                <c:pt idx="2718">
                  <c:v>4.7438049069205883</c:v>
                </c:pt>
                <c:pt idx="2719">
                  <c:v>4.7455502361725825</c:v>
                </c:pt>
                <c:pt idx="2720">
                  <c:v>4.7472955654245768</c:v>
                </c:pt>
                <c:pt idx="2721">
                  <c:v>4.749040894676571</c:v>
                </c:pt>
                <c:pt idx="2722">
                  <c:v>4.7507862239285643</c:v>
                </c:pt>
                <c:pt idx="2723">
                  <c:v>4.7525315531805594</c:v>
                </c:pt>
                <c:pt idx="2724">
                  <c:v>4.7542768824325528</c:v>
                </c:pt>
                <c:pt idx="2725">
                  <c:v>4.7560222116845479</c:v>
                </c:pt>
                <c:pt idx="2726">
                  <c:v>4.757767540936543</c:v>
                </c:pt>
                <c:pt idx="2727">
                  <c:v>4.7595128701885363</c:v>
                </c:pt>
                <c:pt idx="2728">
                  <c:v>4.7612581994405314</c:v>
                </c:pt>
                <c:pt idx="2729">
                  <c:v>4.7630035286925247</c:v>
                </c:pt>
                <c:pt idx="2730">
                  <c:v>4.7647488579445199</c:v>
                </c:pt>
                <c:pt idx="2731">
                  <c:v>4.7664941871965132</c:v>
                </c:pt>
                <c:pt idx="2732">
                  <c:v>4.7682395164485074</c:v>
                </c:pt>
                <c:pt idx="2733">
                  <c:v>4.7699848457005016</c:v>
                </c:pt>
                <c:pt idx="2734">
                  <c:v>4.7717301749524959</c:v>
                </c:pt>
                <c:pt idx="2735">
                  <c:v>4.773475504204491</c:v>
                </c:pt>
                <c:pt idx="2736">
                  <c:v>4.7752208334564861</c:v>
                </c:pt>
                <c:pt idx="2737">
                  <c:v>4.7769661627084794</c:v>
                </c:pt>
                <c:pt idx="2738">
                  <c:v>4.7787114919604745</c:v>
                </c:pt>
                <c:pt idx="2739">
                  <c:v>4.7804568212124678</c:v>
                </c:pt>
                <c:pt idx="2740">
                  <c:v>4.782202150464463</c:v>
                </c:pt>
                <c:pt idx="2741">
                  <c:v>4.7839474797164572</c:v>
                </c:pt>
                <c:pt idx="2742">
                  <c:v>4.7856928089684523</c:v>
                </c:pt>
                <c:pt idx="2743">
                  <c:v>4.7874381382204456</c:v>
                </c:pt>
                <c:pt idx="2744">
                  <c:v>4.7891834674724407</c:v>
                </c:pt>
                <c:pt idx="2745">
                  <c:v>4.7909287967244341</c:v>
                </c:pt>
                <c:pt idx="2746">
                  <c:v>4.7926741259764292</c:v>
                </c:pt>
                <c:pt idx="2747">
                  <c:v>4.7944194552284225</c:v>
                </c:pt>
                <c:pt idx="2748">
                  <c:v>4.7961647844804176</c:v>
                </c:pt>
                <c:pt idx="2749">
                  <c:v>4.7979101137324118</c:v>
                </c:pt>
                <c:pt idx="2750">
                  <c:v>4.7996554429844061</c:v>
                </c:pt>
                <c:pt idx="2751">
                  <c:v>4.8014007722364012</c:v>
                </c:pt>
                <c:pt idx="2752">
                  <c:v>4.8031461014883945</c:v>
                </c:pt>
                <c:pt idx="2753">
                  <c:v>4.8048914307403887</c:v>
                </c:pt>
                <c:pt idx="2754">
                  <c:v>4.8066367599923829</c:v>
                </c:pt>
                <c:pt idx="2755">
                  <c:v>4.8083820892443772</c:v>
                </c:pt>
                <c:pt idx="2756">
                  <c:v>4.8101274184963714</c:v>
                </c:pt>
                <c:pt idx="2757">
                  <c:v>4.8118727477483665</c:v>
                </c:pt>
                <c:pt idx="2758">
                  <c:v>4.8136180770003598</c:v>
                </c:pt>
                <c:pt idx="2759">
                  <c:v>4.8153634062523549</c:v>
                </c:pt>
                <c:pt idx="2760">
                  <c:v>4.8171087355043491</c:v>
                </c:pt>
                <c:pt idx="2761">
                  <c:v>4.8188540647563443</c:v>
                </c:pt>
                <c:pt idx="2762">
                  <c:v>4.8205993940083385</c:v>
                </c:pt>
                <c:pt idx="2763">
                  <c:v>4.8223447232603327</c:v>
                </c:pt>
                <c:pt idx="2764">
                  <c:v>4.8240900525123269</c:v>
                </c:pt>
                <c:pt idx="2765">
                  <c:v>4.8258353817643211</c:v>
                </c:pt>
                <c:pt idx="2766">
                  <c:v>4.8275807110163154</c:v>
                </c:pt>
                <c:pt idx="2767">
                  <c:v>4.8293260402683105</c:v>
                </c:pt>
                <c:pt idx="2768">
                  <c:v>4.8310713695203038</c:v>
                </c:pt>
                <c:pt idx="2769">
                  <c:v>4.8328166987722989</c:v>
                </c:pt>
                <c:pt idx="2770">
                  <c:v>4.8345620280242931</c:v>
                </c:pt>
                <c:pt idx="2771">
                  <c:v>4.8363073572762874</c:v>
                </c:pt>
                <c:pt idx="2772">
                  <c:v>4.8380526865282816</c:v>
                </c:pt>
                <c:pt idx="2773">
                  <c:v>4.8397980157802758</c:v>
                </c:pt>
                <c:pt idx="2774">
                  <c:v>4.84154334503227</c:v>
                </c:pt>
                <c:pt idx="2775">
                  <c:v>4.8432886742842651</c:v>
                </c:pt>
                <c:pt idx="2776">
                  <c:v>4.8450340035362593</c:v>
                </c:pt>
                <c:pt idx="2777">
                  <c:v>4.8467793327882527</c:v>
                </c:pt>
                <c:pt idx="2778">
                  <c:v>4.8485246620402478</c:v>
                </c:pt>
                <c:pt idx="2779">
                  <c:v>4.8502699912922411</c:v>
                </c:pt>
                <c:pt idx="2780">
                  <c:v>4.8520153205442362</c:v>
                </c:pt>
                <c:pt idx="2781">
                  <c:v>4.8537606497962296</c:v>
                </c:pt>
                <c:pt idx="2782">
                  <c:v>4.8555059790482247</c:v>
                </c:pt>
                <c:pt idx="2783">
                  <c:v>4.857251308300218</c:v>
                </c:pt>
                <c:pt idx="2784">
                  <c:v>4.8589966375522131</c:v>
                </c:pt>
                <c:pt idx="2785">
                  <c:v>4.8607419668042082</c:v>
                </c:pt>
                <c:pt idx="2786">
                  <c:v>4.8624872960562024</c:v>
                </c:pt>
                <c:pt idx="2787">
                  <c:v>4.8642326253081967</c:v>
                </c:pt>
                <c:pt idx="2788">
                  <c:v>4.8659779545601909</c:v>
                </c:pt>
                <c:pt idx="2789">
                  <c:v>4.8677232838121842</c:v>
                </c:pt>
                <c:pt idx="2790">
                  <c:v>4.8694686130641793</c:v>
                </c:pt>
                <c:pt idx="2791">
                  <c:v>4.8712139423161744</c:v>
                </c:pt>
                <c:pt idx="2792">
                  <c:v>4.8729592715681687</c:v>
                </c:pt>
                <c:pt idx="2793">
                  <c:v>4.8747046008201629</c:v>
                </c:pt>
                <c:pt idx="2794">
                  <c:v>4.8764499300721571</c:v>
                </c:pt>
                <c:pt idx="2795">
                  <c:v>4.8781952593241513</c:v>
                </c:pt>
                <c:pt idx="2796">
                  <c:v>4.8799405885761455</c:v>
                </c:pt>
                <c:pt idx="2797">
                  <c:v>4.8816859178281398</c:v>
                </c:pt>
                <c:pt idx="2798">
                  <c:v>4.883431247080134</c:v>
                </c:pt>
                <c:pt idx="2799">
                  <c:v>4.8851765763321282</c:v>
                </c:pt>
                <c:pt idx="2800">
                  <c:v>4.8869219055841224</c:v>
                </c:pt>
                <c:pt idx="2801">
                  <c:v>4.8886672348361175</c:v>
                </c:pt>
                <c:pt idx="2802">
                  <c:v>4.8904125640881109</c:v>
                </c:pt>
                <c:pt idx="2803">
                  <c:v>4.892157893340106</c:v>
                </c:pt>
                <c:pt idx="2804">
                  <c:v>4.8939032225920993</c:v>
                </c:pt>
                <c:pt idx="2805">
                  <c:v>4.8956485518440944</c:v>
                </c:pt>
                <c:pt idx="2806">
                  <c:v>4.8973938810960878</c:v>
                </c:pt>
                <c:pt idx="2807">
                  <c:v>4.8991392103480829</c:v>
                </c:pt>
                <c:pt idx="2808">
                  <c:v>4.9008845396000762</c:v>
                </c:pt>
                <c:pt idx="2809">
                  <c:v>4.9026298688520713</c:v>
                </c:pt>
                <c:pt idx="2810">
                  <c:v>4.9043751981040655</c:v>
                </c:pt>
                <c:pt idx="2811">
                  <c:v>4.9061205273560606</c:v>
                </c:pt>
                <c:pt idx="2812">
                  <c:v>4.907865856608054</c:v>
                </c:pt>
                <c:pt idx="2813">
                  <c:v>4.9096111858600491</c:v>
                </c:pt>
                <c:pt idx="2814">
                  <c:v>4.9113565151120424</c:v>
                </c:pt>
                <c:pt idx="2815">
                  <c:v>4.9131018443640375</c:v>
                </c:pt>
                <c:pt idx="2816">
                  <c:v>4.9148471736160326</c:v>
                </c:pt>
                <c:pt idx="2817">
                  <c:v>4.9165925028680268</c:v>
                </c:pt>
                <c:pt idx="2818">
                  <c:v>4.9183378321200211</c:v>
                </c:pt>
                <c:pt idx="2819">
                  <c:v>4.9200831613720153</c:v>
                </c:pt>
                <c:pt idx="2820">
                  <c:v>4.9218284906240086</c:v>
                </c:pt>
                <c:pt idx="2821">
                  <c:v>4.9235738198760037</c:v>
                </c:pt>
                <c:pt idx="2822">
                  <c:v>4.9253191491279971</c:v>
                </c:pt>
                <c:pt idx="2823">
                  <c:v>4.9270644783799922</c:v>
                </c:pt>
                <c:pt idx="2824">
                  <c:v>4.9288098076319864</c:v>
                </c:pt>
                <c:pt idx="2825">
                  <c:v>4.9305551368839806</c:v>
                </c:pt>
                <c:pt idx="2826">
                  <c:v>4.9323004661359757</c:v>
                </c:pt>
                <c:pt idx="2827">
                  <c:v>4.9340457953879691</c:v>
                </c:pt>
                <c:pt idx="2828">
                  <c:v>4.9357911246399642</c:v>
                </c:pt>
                <c:pt idx="2829">
                  <c:v>4.9375364538919575</c:v>
                </c:pt>
                <c:pt idx="2830">
                  <c:v>4.9392817831439526</c:v>
                </c:pt>
                <c:pt idx="2831">
                  <c:v>4.9410271123959468</c:v>
                </c:pt>
                <c:pt idx="2832">
                  <c:v>4.9427724416479411</c:v>
                </c:pt>
                <c:pt idx="2833">
                  <c:v>4.9445177708999353</c:v>
                </c:pt>
                <c:pt idx="2834">
                  <c:v>4.9462631001519295</c:v>
                </c:pt>
                <c:pt idx="2835">
                  <c:v>4.9480084294039237</c:v>
                </c:pt>
                <c:pt idx="2836">
                  <c:v>4.9497537586559188</c:v>
                </c:pt>
                <c:pt idx="2837">
                  <c:v>4.951499087907913</c:v>
                </c:pt>
                <c:pt idx="2838">
                  <c:v>4.9532444171599073</c:v>
                </c:pt>
                <c:pt idx="2839">
                  <c:v>4.9549897464119015</c:v>
                </c:pt>
                <c:pt idx="2840">
                  <c:v>4.9567350756638957</c:v>
                </c:pt>
                <c:pt idx="2841">
                  <c:v>4.9584804049158899</c:v>
                </c:pt>
                <c:pt idx="2842">
                  <c:v>4.960225734167885</c:v>
                </c:pt>
                <c:pt idx="2843">
                  <c:v>4.9619710634198793</c:v>
                </c:pt>
                <c:pt idx="2844">
                  <c:v>4.9637163926718735</c:v>
                </c:pt>
                <c:pt idx="2845">
                  <c:v>4.9654617219238677</c:v>
                </c:pt>
                <c:pt idx="2846">
                  <c:v>4.9672070511758619</c:v>
                </c:pt>
                <c:pt idx="2847">
                  <c:v>4.9689523804278561</c:v>
                </c:pt>
                <c:pt idx="2848">
                  <c:v>4.9706977096798504</c:v>
                </c:pt>
                <c:pt idx="2849">
                  <c:v>4.9724430389318446</c:v>
                </c:pt>
                <c:pt idx="2850">
                  <c:v>4.9741883681838397</c:v>
                </c:pt>
                <c:pt idx="2851">
                  <c:v>4.9759336974358339</c:v>
                </c:pt>
                <c:pt idx="2852">
                  <c:v>4.9776790266878281</c:v>
                </c:pt>
                <c:pt idx="2853">
                  <c:v>4.9794243559398224</c:v>
                </c:pt>
                <c:pt idx="2854">
                  <c:v>4.9811696851918166</c:v>
                </c:pt>
                <c:pt idx="2855">
                  <c:v>4.9829150144438108</c:v>
                </c:pt>
                <c:pt idx="2856">
                  <c:v>4.9846603436958041</c:v>
                </c:pt>
                <c:pt idx="2857">
                  <c:v>4.9864056729477992</c:v>
                </c:pt>
                <c:pt idx="2858">
                  <c:v>4.9881510021997926</c:v>
                </c:pt>
                <c:pt idx="2859">
                  <c:v>4.9898963314517877</c:v>
                </c:pt>
                <c:pt idx="2860">
                  <c:v>4.9916416607037828</c:v>
                </c:pt>
                <c:pt idx="2861">
                  <c:v>4.993386989955777</c:v>
                </c:pt>
                <c:pt idx="2862">
                  <c:v>4.9951323192077712</c:v>
                </c:pt>
                <c:pt idx="2863">
                  <c:v>4.9968776484597655</c:v>
                </c:pt>
                <c:pt idx="2864">
                  <c:v>4.9986229777117597</c:v>
                </c:pt>
                <c:pt idx="2865">
                  <c:v>5.0003683069637539</c:v>
                </c:pt>
                <c:pt idx="2866">
                  <c:v>5.002113636215749</c:v>
                </c:pt>
                <c:pt idx="2867">
                  <c:v>5.0038589654677432</c:v>
                </c:pt>
                <c:pt idx="2868">
                  <c:v>5.0056042947197374</c:v>
                </c:pt>
                <c:pt idx="2869">
                  <c:v>5.0073496239717326</c:v>
                </c:pt>
                <c:pt idx="2870">
                  <c:v>5.0090949532237259</c:v>
                </c:pt>
                <c:pt idx="2871">
                  <c:v>5.010840282475721</c:v>
                </c:pt>
                <c:pt idx="2872">
                  <c:v>5.0125856117277143</c:v>
                </c:pt>
                <c:pt idx="2873">
                  <c:v>5.0143309409797094</c:v>
                </c:pt>
                <c:pt idx="2874">
                  <c:v>5.0160762702317028</c:v>
                </c:pt>
                <c:pt idx="2875">
                  <c:v>5.017821599483697</c:v>
                </c:pt>
                <c:pt idx="2876">
                  <c:v>5.0195669287356921</c:v>
                </c:pt>
                <c:pt idx="2877">
                  <c:v>5.0213122579876854</c:v>
                </c:pt>
                <c:pt idx="2878">
                  <c:v>5.0230575872396805</c:v>
                </c:pt>
                <c:pt idx="2879">
                  <c:v>5.0248029164916739</c:v>
                </c:pt>
                <c:pt idx="2880">
                  <c:v>5.026548245743669</c:v>
                </c:pt>
                <c:pt idx="2881">
                  <c:v>5.0282935749956623</c:v>
                </c:pt>
                <c:pt idx="2882">
                  <c:v>5.0300389042476574</c:v>
                </c:pt>
                <c:pt idx="2883">
                  <c:v>5.0317842334996508</c:v>
                </c:pt>
                <c:pt idx="2884">
                  <c:v>5.0335295627516459</c:v>
                </c:pt>
                <c:pt idx="2885">
                  <c:v>5.035274892003641</c:v>
                </c:pt>
                <c:pt idx="2886">
                  <c:v>5.0370202212556352</c:v>
                </c:pt>
                <c:pt idx="2887">
                  <c:v>5.0387655505076285</c:v>
                </c:pt>
                <c:pt idx="2888">
                  <c:v>5.0405108797596236</c:v>
                </c:pt>
                <c:pt idx="2889">
                  <c:v>5.042256209011617</c:v>
                </c:pt>
                <c:pt idx="2890">
                  <c:v>5.0440015382636121</c:v>
                </c:pt>
                <c:pt idx="2891">
                  <c:v>5.0457468675156072</c:v>
                </c:pt>
                <c:pt idx="2892">
                  <c:v>5.0474921967676023</c:v>
                </c:pt>
                <c:pt idx="2893">
                  <c:v>5.0492375260195956</c:v>
                </c:pt>
                <c:pt idx="2894">
                  <c:v>5.0509828552715899</c:v>
                </c:pt>
                <c:pt idx="2895">
                  <c:v>5.0527281845235841</c:v>
                </c:pt>
                <c:pt idx="2896">
                  <c:v>5.0544735137755783</c:v>
                </c:pt>
                <c:pt idx="2897">
                  <c:v>5.0562188430275725</c:v>
                </c:pt>
                <c:pt idx="2898">
                  <c:v>5.0579641722795667</c:v>
                </c:pt>
                <c:pt idx="2899">
                  <c:v>5.059709501531561</c:v>
                </c:pt>
                <c:pt idx="2900">
                  <c:v>5.0614548307835552</c:v>
                </c:pt>
                <c:pt idx="2901">
                  <c:v>5.0632001600355503</c:v>
                </c:pt>
                <c:pt idx="2902">
                  <c:v>5.0649454892875436</c:v>
                </c:pt>
                <c:pt idx="2903">
                  <c:v>5.0666908185395387</c:v>
                </c:pt>
                <c:pt idx="2904">
                  <c:v>5.0684361477915321</c:v>
                </c:pt>
                <c:pt idx="2905">
                  <c:v>5.0701814770435272</c:v>
                </c:pt>
                <c:pt idx="2906">
                  <c:v>5.0719268062955214</c:v>
                </c:pt>
                <c:pt idx="2907">
                  <c:v>5.0736721355475156</c:v>
                </c:pt>
                <c:pt idx="2908">
                  <c:v>5.0754174647995098</c:v>
                </c:pt>
                <c:pt idx="2909">
                  <c:v>5.0771627940515041</c:v>
                </c:pt>
                <c:pt idx="2910">
                  <c:v>5.0789081233034983</c:v>
                </c:pt>
                <c:pt idx="2911">
                  <c:v>5.0806534525554934</c:v>
                </c:pt>
                <c:pt idx="2912">
                  <c:v>5.0823987818074876</c:v>
                </c:pt>
                <c:pt idx="2913">
                  <c:v>5.0841441110594818</c:v>
                </c:pt>
                <c:pt idx="2914">
                  <c:v>5.0858894403114761</c:v>
                </c:pt>
                <c:pt idx="2915">
                  <c:v>5.0876347695634703</c:v>
                </c:pt>
                <c:pt idx="2916">
                  <c:v>5.0893800988154654</c:v>
                </c:pt>
                <c:pt idx="2917">
                  <c:v>5.0911254280674596</c:v>
                </c:pt>
                <c:pt idx="2918">
                  <c:v>5.0928707573194538</c:v>
                </c:pt>
                <c:pt idx="2919">
                  <c:v>5.094616086571448</c:v>
                </c:pt>
                <c:pt idx="2920">
                  <c:v>5.0963614158234423</c:v>
                </c:pt>
                <c:pt idx="2921">
                  <c:v>5.0981067450754365</c:v>
                </c:pt>
                <c:pt idx="2922">
                  <c:v>5.0998520743274307</c:v>
                </c:pt>
                <c:pt idx="2923">
                  <c:v>5.1015974035794249</c:v>
                </c:pt>
                <c:pt idx="2924">
                  <c:v>5.1033427328314191</c:v>
                </c:pt>
                <c:pt idx="2925">
                  <c:v>5.1050880620834143</c:v>
                </c:pt>
                <c:pt idx="2926">
                  <c:v>5.1068333913354085</c:v>
                </c:pt>
                <c:pt idx="2927">
                  <c:v>5.1085787205874027</c:v>
                </c:pt>
                <c:pt idx="2928">
                  <c:v>5.1103240498393969</c:v>
                </c:pt>
                <c:pt idx="2929">
                  <c:v>5.1120693790913911</c:v>
                </c:pt>
                <c:pt idx="2930">
                  <c:v>5.1138147083433854</c:v>
                </c:pt>
                <c:pt idx="2931">
                  <c:v>5.1155600375953796</c:v>
                </c:pt>
                <c:pt idx="2932">
                  <c:v>5.1173053668473738</c:v>
                </c:pt>
                <c:pt idx="2933">
                  <c:v>5.119050696099368</c:v>
                </c:pt>
                <c:pt idx="2934">
                  <c:v>5.1207960253513622</c:v>
                </c:pt>
                <c:pt idx="2935">
                  <c:v>5.1225413546033574</c:v>
                </c:pt>
                <c:pt idx="2936">
                  <c:v>5.1242866838553516</c:v>
                </c:pt>
                <c:pt idx="2937">
                  <c:v>5.1260320131073458</c:v>
                </c:pt>
                <c:pt idx="2938">
                  <c:v>5.1277773423593409</c:v>
                </c:pt>
                <c:pt idx="2939">
                  <c:v>5.1295226716113342</c:v>
                </c:pt>
                <c:pt idx="2940">
                  <c:v>5.1312680008633293</c:v>
                </c:pt>
                <c:pt idx="2941">
                  <c:v>5.1330133301153236</c:v>
                </c:pt>
                <c:pt idx="2942">
                  <c:v>5.1347586593673178</c:v>
                </c:pt>
                <c:pt idx="2943">
                  <c:v>5.136503988619312</c:v>
                </c:pt>
                <c:pt idx="2944">
                  <c:v>5.1382493178713071</c:v>
                </c:pt>
                <c:pt idx="2945">
                  <c:v>5.1399946471233005</c:v>
                </c:pt>
                <c:pt idx="2946">
                  <c:v>5.1417399763752956</c:v>
                </c:pt>
                <c:pt idx="2947">
                  <c:v>5.1434853056272889</c:v>
                </c:pt>
                <c:pt idx="2948">
                  <c:v>5.145230634879284</c:v>
                </c:pt>
                <c:pt idx="2949">
                  <c:v>5.1469759641312773</c:v>
                </c:pt>
                <c:pt idx="2950">
                  <c:v>5.1487212933832724</c:v>
                </c:pt>
                <c:pt idx="2951">
                  <c:v>5.1504666226352667</c:v>
                </c:pt>
                <c:pt idx="2952">
                  <c:v>5.1522119518872609</c:v>
                </c:pt>
                <c:pt idx="2953">
                  <c:v>5.1539572811392551</c:v>
                </c:pt>
                <c:pt idx="2954">
                  <c:v>5.1557026103912484</c:v>
                </c:pt>
                <c:pt idx="2955">
                  <c:v>5.1574479396432436</c:v>
                </c:pt>
                <c:pt idx="2956">
                  <c:v>5.1591932688952369</c:v>
                </c:pt>
                <c:pt idx="2957">
                  <c:v>5.160938598147232</c:v>
                </c:pt>
                <c:pt idx="2958">
                  <c:v>5.1626839273992253</c:v>
                </c:pt>
                <c:pt idx="2959">
                  <c:v>5.1644292566512204</c:v>
                </c:pt>
                <c:pt idx="2960">
                  <c:v>5.1661745859032155</c:v>
                </c:pt>
                <c:pt idx="2961">
                  <c:v>5.1679199151552098</c:v>
                </c:pt>
                <c:pt idx="2962">
                  <c:v>5.169665244407204</c:v>
                </c:pt>
                <c:pt idx="2963">
                  <c:v>5.1714105736591982</c:v>
                </c:pt>
                <c:pt idx="2964">
                  <c:v>5.1731559029111924</c:v>
                </c:pt>
                <c:pt idx="2965">
                  <c:v>5.1749012321631866</c:v>
                </c:pt>
                <c:pt idx="2966">
                  <c:v>5.1766465614151818</c:v>
                </c:pt>
                <c:pt idx="2967">
                  <c:v>5.1783918906671769</c:v>
                </c:pt>
                <c:pt idx="2968">
                  <c:v>5.1801372199191702</c:v>
                </c:pt>
                <c:pt idx="2969">
                  <c:v>5.1818825491711653</c:v>
                </c:pt>
                <c:pt idx="2970">
                  <c:v>5.1836278784231586</c:v>
                </c:pt>
                <c:pt idx="2971">
                  <c:v>5.1853732076751538</c:v>
                </c:pt>
                <c:pt idx="2972">
                  <c:v>5.1871185369271471</c:v>
                </c:pt>
                <c:pt idx="2973">
                  <c:v>5.1888638661791413</c:v>
                </c:pt>
                <c:pt idx="2974">
                  <c:v>5.1906091954311355</c:v>
                </c:pt>
                <c:pt idx="2975">
                  <c:v>5.1923545246831297</c:v>
                </c:pt>
                <c:pt idx="2976">
                  <c:v>5.1940998539351249</c:v>
                </c:pt>
                <c:pt idx="2977">
                  <c:v>5.1958451831871182</c:v>
                </c:pt>
                <c:pt idx="2978">
                  <c:v>5.1975905124391133</c:v>
                </c:pt>
                <c:pt idx="2979">
                  <c:v>5.1993358416911075</c:v>
                </c:pt>
                <c:pt idx="2980">
                  <c:v>5.2010811709431017</c:v>
                </c:pt>
                <c:pt idx="2981">
                  <c:v>5.202826500195096</c:v>
                </c:pt>
                <c:pt idx="2982">
                  <c:v>5.2045718294470902</c:v>
                </c:pt>
                <c:pt idx="2983">
                  <c:v>5.2063171586990844</c:v>
                </c:pt>
                <c:pt idx="2984">
                  <c:v>5.2080624879510786</c:v>
                </c:pt>
                <c:pt idx="2985">
                  <c:v>5.2098078172030728</c:v>
                </c:pt>
                <c:pt idx="2986">
                  <c:v>5.211553146455068</c:v>
                </c:pt>
                <c:pt idx="2987">
                  <c:v>5.2132984757070622</c:v>
                </c:pt>
                <c:pt idx="2988">
                  <c:v>5.2150438049590564</c:v>
                </c:pt>
                <c:pt idx="2989">
                  <c:v>5.2167891342110506</c:v>
                </c:pt>
                <c:pt idx="2990">
                  <c:v>5.2185344634630448</c:v>
                </c:pt>
                <c:pt idx="2991">
                  <c:v>5.2202797927150399</c:v>
                </c:pt>
                <c:pt idx="2992">
                  <c:v>5.2220251219670351</c:v>
                </c:pt>
                <c:pt idx="2993">
                  <c:v>5.2237704512190284</c:v>
                </c:pt>
                <c:pt idx="2994">
                  <c:v>5.2255157804710226</c:v>
                </c:pt>
                <c:pt idx="2995">
                  <c:v>5.2272611097230168</c:v>
                </c:pt>
                <c:pt idx="2996">
                  <c:v>5.2290064389750111</c:v>
                </c:pt>
                <c:pt idx="2997">
                  <c:v>5.2307517682270053</c:v>
                </c:pt>
                <c:pt idx="2998">
                  <c:v>5.2324970974789995</c:v>
                </c:pt>
                <c:pt idx="2999">
                  <c:v>5.2342424267309937</c:v>
                </c:pt>
                <c:pt idx="3000">
                  <c:v>5.2359877559829888</c:v>
                </c:pt>
                <c:pt idx="3001">
                  <c:v>5.237733085234983</c:v>
                </c:pt>
                <c:pt idx="3002">
                  <c:v>5.2394784144869773</c:v>
                </c:pt>
                <c:pt idx="3003">
                  <c:v>5.2412237437389715</c:v>
                </c:pt>
                <c:pt idx="3004">
                  <c:v>5.2429690729909657</c:v>
                </c:pt>
                <c:pt idx="3005">
                  <c:v>5.2447144022429608</c:v>
                </c:pt>
                <c:pt idx="3006">
                  <c:v>5.2464597314949541</c:v>
                </c:pt>
                <c:pt idx="3007">
                  <c:v>5.2482050607469493</c:v>
                </c:pt>
                <c:pt idx="3008">
                  <c:v>5.2499503899989426</c:v>
                </c:pt>
                <c:pt idx="3009">
                  <c:v>5.2516957192509368</c:v>
                </c:pt>
                <c:pt idx="3010">
                  <c:v>5.2534410485029319</c:v>
                </c:pt>
                <c:pt idx="3011">
                  <c:v>5.2551863777549261</c:v>
                </c:pt>
                <c:pt idx="3012">
                  <c:v>5.2569317070069204</c:v>
                </c:pt>
                <c:pt idx="3013">
                  <c:v>5.2586770362589155</c:v>
                </c:pt>
                <c:pt idx="3014">
                  <c:v>5.2604223655109088</c:v>
                </c:pt>
                <c:pt idx="3015">
                  <c:v>5.2621676947629039</c:v>
                </c:pt>
                <c:pt idx="3016">
                  <c:v>5.2639130240148981</c:v>
                </c:pt>
                <c:pt idx="3017">
                  <c:v>5.2656583532668924</c:v>
                </c:pt>
                <c:pt idx="3018">
                  <c:v>5.2674036825188866</c:v>
                </c:pt>
                <c:pt idx="3019">
                  <c:v>5.2691490117708817</c:v>
                </c:pt>
                <c:pt idx="3020">
                  <c:v>5.270894341022875</c:v>
                </c:pt>
                <c:pt idx="3021">
                  <c:v>5.2726396702748701</c:v>
                </c:pt>
                <c:pt idx="3022">
                  <c:v>5.2743849995268635</c:v>
                </c:pt>
                <c:pt idx="3023">
                  <c:v>5.2761303287788586</c:v>
                </c:pt>
                <c:pt idx="3024">
                  <c:v>5.2778756580308519</c:v>
                </c:pt>
                <c:pt idx="3025">
                  <c:v>5.279620987282847</c:v>
                </c:pt>
                <c:pt idx="3026">
                  <c:v>5.2813663165348421</c:v>
                </c:pt>
                <c:pt idx="3027">
                  <c:v>5.2831116457868355</c:v>
                </c:pt>
                <c:pt idx="3028">
                  <c:v>5.2848569750388306</c:v>
                </c:pt>
                <c:pt idx="3029">
                  <c:v>5.2866023042908239</c:v>
                </c:pt>
                <c:pt idx="3030">
                  <c:v>5.2883476335428181</c:v>
                </c:pt>
                <c:pt idx="3031">
                  <c:v>5.2900929627948123</c:v>
                </c:pt>
                <c:pt idx="3032">
                  <c:v>5.2918382920468066</c:v>
                </c:pt>
                <c:pt idx="3033">
                  <c:v>5.2935836212987999</c:v>
                </c:pt>
                <c:pt idx="3034">
                  <c:v>5.295328950550795</c:v>
                </c:pt>
                <c:pt idx="3035">
                  <c:v>5.2970742798027901</c:v>
                </c:pt>
                <c:pt idx="3036">
                  <c:v>5.2988196090547852</c:v>
                </c:pt>
                <c:pt idx="3037">
                  <c:v>5.3005649383067786</c:v>
                </c:pt>
                <c:pt idx="3038">
                  <c:v>5.3023102675587737</c:v>
                </c:pt>
                <c:pt idx="3039">
                  <c:v>5.304055596810767</c:v>
                </c:pt>
                <c:pt idx="3040">
                  <c:v>5.3058009260627612</c:v>
                </c:pt>
                <c:pt idx="3041">
                  <c:v>5.3075462553147563</c:v>
                </c:pt>
                <c:pt idx="3042">
                  <c:v>5.3092915845667514</c:v>
                </c:pt>
                <c:pt idx="3043">
                  <c:v>5.3110369138187448</c:v>
                </c:pt>
                <c:pt idx="3044">
                  <c:v>5.3127822430707399</c:v>
                </c:pt>
                <c:pt idx="3045">
                  <c:v>5.3145275723227332</c:v>
                </c:pt>
                <c:pt idx="3046">
                  <c:v>5.3162729015747283</c:v>
                </c:pt>
                <c:pt idx="3047">
                  <c:v>5.3180182308267216</c:v>
                </c:pt>
                <c:pt idx="3048">
                  <c:v>5.3197635600787168</c:v>
                </c:pt>
                <c:pt idx="3049">
                  <c:v>5.3215088893307101</c:v>
                </c:pt>
                <c:pt idx="3050">
                  <c:v>5.3232542185827052</c:v>
                </c:pt>
                <c:pt idx="3051">
                  <c:v>5.3249995478346994</c:v>
                </c:pt>
                <c:pt idx="3052">
                  <c:v>5.3267448770866928</c:v>
                </c:pt>
                <c:pt idx="3053">
                  <c:v>5.3284902063386879</c:v>
                </c:pt>
                <c:pt idx="3054">
                  <c:v>5.3302355355906821</c:v>
                </c:pt>
                <c:pt idx="3055">
                  <c:v>5.3319808648426763</c:v>
                </c:pt>
                <c:pt idx="3056">
                  <c:v>5.3337261940946705</c:v>
                </c:pt>
                <c:pt idx="3057">
                  <c:v>5.3354715233466647</c:v>
                </c:pt>
                <c:pt idx="3058">
                  <c:v>5.337216852598659</c:v>
                </c:pt>
                <c:pt idx="3059">
                  <c:v>5.3389621818506532</c:v>
                </c:pt>
                <c:pt idx="3060">
                  <c:v>5.3407075111026483</c:v>
                </c:pt>
                <c:pt idx="3061">
                  <c:v>5.3424528403546425</c:v>
                </c:pt>
                <c:pt idx="3062">
                  <c:v>5.3441981696066367</c:v>
                </c:pt>
                <c:pt idx="3063">
                  <c:v>5.345943498858631</c:v>
                </c:pt>
                <c:pt idx="3064">
                  <c:v>5.3476888281106252</c:v>
                </c:pt>
                <c:pt idx="3065">
                  <c:v>5.3494341573626194</c:v>
                </c:pt>
                <c:pt idx="3066">
                  <c:v>5.3511794866146145</c:v>
                </c:pt>
                <c:pt idx="3067">
                  <c:v>5.3529248158666096</c:v>
                </c:pt>
                <c:pt idx="3068">
                  <c:v>5.354670145118603</c:v>
                </c:pt>
                <c:pt idx="3069">
                  <c:v>5.3564154743705981</c:v>
                </c:pt>
                <c:pt idx="3070">
                  <c:v>5.3581608036225914</c:v>
                </c:pt>
                <c:pt idx="3071">
                  <c:v>5.3599061328745865</c:v>
                </c:pt>
                <c:pt idx="3072">
                  <c:v>5.3616514621265798</c:v>
                </c:pt>
                <c:pt idx="3073">
                  <c:v>5.3633967913785749</c:v>
                </c:pt>
                <c:pt idx="3074">
                  <c:v>5.3651421206305692</c:v>
                </c:pt>
                <c:pt idx="3075">
                  <c:v>5.3668874498825634</c:v>
                </c:pt>
                <c:pt idx="3076">
                  <c:v>5.3686327791345576</c:v>
                </c:pt>
                <c:pt idx="3077">
                  <c:v>5.3703781083865518</c:v>
                </c:pt>
                <c:pt idx="3078">
                  <c:v>5.3721234376385461</c:v>
                </c:pt>
                <c:pt idx="3079">
                  <c:v>5.3738687668905403</c:v>
                </c:pt>
                <c:pt idx="3080">
                  <c:v>5.3756140961425354</c:v>
                </c:pt>
                <c:pt idx="3081">
                  <c:v>5.3773594253945287</c:v>
                </c:pt>
                <c:pt idx="3082">
                  <c:v>5.3791047546465238</c:v>
                </c:pt>
                <c:pt idx="3083">
                  <c:v>5.3808500838985172</c:v>
                </c:pt>
                <c:pt idx="3084">
                  <c:v>5.3825954131505123</c:v>
                </c:pt>
                <c:pt idx="3085">
                  <c:v>5.3843407424025065</c:v>
                </c:pt>
                <c:pt idx="3086">
                  <c:v>5.3860860716545016</c:v>
                </c:pt>
                <c:pt idx="3087">
                  <c:v>5.3878314009064949</c:v>
                </c:pt>
                <c:pt idx="3088">
                  <c:v>5.38957673015849</c:v>
                </c:pt>
                <c:pt idx="3089">
                  <c:v>5.3913220594104834</c:v>
                </c:pt>
                <c:pt idx="3090">
                  <c:v>5.3930673886624785</c:v>
                </c:pt>
                <c:pt idx="3091">
                  <c:v>5.3948127179144727</c:v>
                </c:pt>
                <c:pt idx="3092">
                  <c:v>5.3965580471664669</c:v>
                </c:pt>
                <c:pt idx="3093">
                  <c:v>5.398303376418462</c:v>
                </c:pt>
                <c:pt idx="3094">
                  <c:v>5.4000487056704563</c:v>
                </c:pt>
                <c:pt idx="3095">
                  <c:v>5.4017940349224505</c:v>
                </c:pt>
                <c:pt idx="3096">
                  <c:v>5.4035393641744447</c:v>
                </c:pt>
                <c:pt idx="3097">
                  <c:v>5.405284693426438</c:v>
                </c:pt>
                <c:pt idx="3098">
                  <c:v>5.4070300226784331</c:v>
                </c:pt>
                <c:pt idx="3099">
                  <c:v>5.4087753519304265</c:v>
                </c:pt>
                <c:pt idx="3100">
                  <c:v>5.4105206811824216</c:v>
                </c:pt>
                <c:pt idx="3101">
                  <c:v>5.4122660104344167</c:v>
                </c:pt>
                <c:pt idx="3102">
                  <c:v>5.41401133968641</c:v>
                </c:pt>
                <c:pt idx="3103">
                  <c:v>5.4157566689384051</c:v>
                </c:pt>
                <c:pt idx="3104">
                  <c:v>5.4175019981903985</c:v>
                </c:pt>
                <c:pt idx="3105">
                  <c:v>5.4192473274423936</c:v>
                </c:pt>
                <c:pt idx="3106">
                  <c:v>5.4209926566943869</c:v>
                </c:pt>
                <c:pt idx="3107">
                  <c:v>5.422737985946382</c:v>
                </c:pt>
                <c:pt idx="3108">
                  <c:v>5.4244833151983753</c:v>
                </c:pt>
                <c:pt idx="3109">
                  <c:v>5.4262286444503696</c:v>
                </c:pt>
                <c:pt idx="3110">
                  <c:v>5.4279739737023647</c:v>
                </c:pt>
                <c:pt idx="3111">
                  <c:v>5.4297193029543598</c:v>
                </c:pt>
                <c:pt idx="3112">
                  <c:v>5.4314646322063531</c:v>
                </c:pt>
                <c:pt idx="3113">
                  <c:v>5.4332099614583482</c:v>
                </c:pt>
                <c:pt idx="3114">
                  <c:v>5.4349552907103416</c:v>
                </c:pt>
                <c:pt idx="3115">
                  <c:v>5.4367006199623367</c:v>
                </c:pt>
                <c:pt idx="3116">
                  <c:v>5.4384459492143309</c:v>
                </c:pt>
                <c:pt idx="3117">
                  <c:v>5.440191278466326</c:v>
                </c:pt>
                <c:pt idx="3118">
                  <c:v>5.4419366077183193</c:v>
                </c:pt>
                <c:pt idx="3119">
                  <c:v>5.4436819369703144</c:v>
                </c:pt>
                <c:pt idx="3120">
                  <c:v>5.4454272662223078</c:v>
                </c:pt>
                <c:pt idx="3121">
                  <c:v>5.4471725954743029</c:v>
                </c:pt>
                <c:pt idx="3122">
                  <c:v>5.4489179247262962</c:v>
                </c:pt>
                <c:pt idx="3123">
                  <c:v>5.4506632539782913</c:v>
                </c:pt>
                <c:pt idx="3124">
                  <c:v>5.4524085832302847</c:v>
                </c:pt>
                <c:pt idx="3125">
                  <c:v>5.4541539124822798</c:v>
                </c:pt>
                <c:pt idx="3126">
                  <c:v>5.4558992417342749</c:v>
                </c:pt>
                <c:pt idx="3127">
                  <c:v>5.4576445709862682</c:v>
                </c:pt>
                <c:pt idx="3128">
                  <c:v>5.4593899002382624</c:v>
                </c:pt>
                <c:pt idx="3129">
                  <c:v>5.4611352294902566</c:v>
                </c:pt>
                <c:pt idx="3130">
                  <c:v>5.4628805587422509</c:v>
                </c:pt>
                <c:pt idx="3131">
                  <c:v>5.4646258879942451</c:v>
                </c:pt>
                <c:pt idx="3132">
                  <c:v>5.4663712172462393</c:v>
                </c:pt>
                <c:pt idx="3133">
                  <c:v>5.4681165464982335</c:v>
                </c:pt>
                <c:pt idx="3134">
                  <c:v>5.4698618757502278</c:v>
                </c:pt>
                <c:pt idx="3135">
                  <c:v>5.4716072050022229</c:v>
                </c:pt>
                <c:pt idx="3136">
                  <c:v>5.473352534254218</c:v>
                </c:pt>
                <c:pt idx="3137">
                  <c:v>5.4750978635062113</c:v>
                </c:pt>
                <c:pt idx="3138">
                  <c:v>5.4768431927582064</c:v>
                </c:pt>
                <c:pt idx="3139">
                  <c:v>5.4785885220101997</c:v>
                </c:pt>
                <c:pt idx="3140">
                  <c:v>5.480333851262194</c:v>
                </c:pt>
                <c:pt idx="3141">
                  <c:v>5.4820791805141891</c:v>
                </c:pt>
                <c:pt idx="3142">
                  <c:v>5.4838245097661842</c:v>
                </c:pt>
                <c:pt idx="3143">
                  <c:v>5.4855698390181775</c:v>
                </c:pt>
                <c:pt idx="3144">
                  <c:v>5.4873151682701726</c:v>
                </c:pt>
                <c:pt idx="3145">
                  <c:v>5.489060497522166</c:v>
                </c:pt>
                <c:pt idx="3146">
                  <c:v>5.4908058267741611</c:v>
                </c:pt>
                <c:pt idx="3147">
                  <c:v>5.4925511560261544</c:v>
                </c:pt>
                <c:pt idx="3148">
                  <c:v>5.4942964852781495</c:v>
                </c:pt>
                <c:pt idx="3149">
                  <c:v>5.4960418145301437</c:v>
                </c:pt>
                <c:pt idx="3150">
                  <c:v>5.497787143782138</c:v>
                </c:pt>
                <c:pt idx="3151">
                  <c:v>5.4995324730341322</c:v>
                </c:pt>
                <c:pt idx="3152">
                  <c:v>5.5012778022861264</c:v>
                </c:pt>
                <c:pt idx="3153">
                  <c:v>5.5030231315381206</c:v>
                </c:pt>
                <c:pt idx="3154">
                  <c:v>5.5047684607901148</c:v>
                </c:pt>
                <c:pt idx="3155">
                  <c:v>5.5065137900421099</c:v>
                </c:pt>
                <c:pt idx="3156">
                  <c:v>5.5082591192941033</c:v>
                </c:pt>
                <c:pt idx="3157">
                  <c:v>5.5100044485460984</c:v>
                </c:pt>
                <c:pt idx="3158">
                  <c:v>5.5117497777980917</c:v>
                </c:pt>
                <c:pt idx="3159">
                  <c:v>5.5134951070500868</c:v>
                </c:pt>
                <c:pt idx="3160">
                  <c:v>5.5152404363020811</c:v>
                </c:pt>
                <c:pt idx="3161">
                  <c:v>5.5169857655540762</c:v>
                </c:pt>
                <c:pt idx="3162">
                  <c:v>5.5187310948060704</c:v>
                </c:pt>
                <c:pt idx="3163">
                  <c:v>5.5204764240580646</c:v>
                </c:pt>
                <c:pt idx="3164">
                  <c:v>5.5222217533100579</c:v>
                </c:pt>
                <c:pt idx="3165">
                  <c:v>5.523967082562053</c:v>
                </c:pt>
                <c:pt idx="3166">
                  <c:v>5.5257124118140473</c:v>
                </c:pt>
                <c:pt idx="3167">
                  <c:v>5.5274577410660424</c:v>
                </c:pt>
                <c:pt idx="3168">
                  <c:v>5.5292030703180366</c:v>
                </c:pt>
                <c:pt idx="3169">
                  <c:v>5.5309483995700308</c:v>
                </c:pt>
                <c:pt idx="3170">
                  <c:v>5.532693728822025</c:v>
                </c:pt>
                <c:pt idx="3171">
                  <c:v>5.5344390580740193</c:v>
                </c:pt>
                <c:pt idx="3172">
                  <c:v>5.5361843873260135</c:v>
                </c:pt>
                <c:pt idx="3173">
                  <c:v>5.5379297165780077</c:v>
                </c:pt>
                <c:pt idx="3174">
                  <c:v>5.5396750458300019</c:v>
                </c:pt>
                <c:pt idx="3175">
                  <c:v>5.5414203750819961</c:v>
                </c:pt>
                <c:pt idx="3176">
                  <c:v>5.5431657043339913</c:v>
                </c:pt>
                <c:pt idx="3177">
                  <c:v>5.5449110335859846</c:v>
                </c:pt>
                <c:pt idx="3178">
                  <c:v>5.5466563628379797</c:v>
                </c:pt>
                <c:pt idx="3179">
                  <c:v>5.548401692089973</c:v>
                </c:pt>
                <c:pt idx="3180">
                  <c:v>5.5501470213419681</c:v>
                </c:pt>
                <c:pt idx="3181">
                  <c:v>5.5518923505939615</c:v>
                </c:pt>
                <c:pt idx="3182">
                  <c:v>5.5536376798459566</c:v>
                </c:pt>
                <c:pt idx="3183">
                  <c:v>5.5553830090979499</c:v>
                </c:pt>
                <c:pt idx="3184">
                  <c:v>5.557128338349945</c:v>
                </c:pt>
                <c:pt idx="3185">
                  <c:v>5.5588736676019392</c:v>
                </c:pt>
                <c:pt idx="3186">
                  <c:v>5.5606189968539343</c:v>
                </c:pt>
                <c:pt idx="3187">
                  <c:v>5.5623643261059277</c:v>
                </c:pt>
                <c:pt idx="3188">
                  <c:v>5.5641096553579228</c:v>
                </c:pt>
                <c:pt idx="3189">
                  <c:v>5.5658549846099161</c:v>
                </c:pt>
                <c:pt idx="3190">
                  <c:v>5.5676003138619112</c:v>
                </c:pt>
                <c:pt idx="3191">
                  <c:v>5.5693456431139063</c:v>
                </c:pt>
                <c:pt idx="3192">
                  <c:v>5.5710909723659006</c:v>
                </c:pt>
                <c:pt idx="3193">
                  <c:v>5.5728363016178948</c:v>
                </c:pt>
                <c:pt idx="3194">
                  <c:v>5.574581630869889</c:v>
                </c:pt>
                <c:pt idx="3195">
                  <c:v>5.5763269601218823</c:v>
                </c:pt>
                <c:pt idx="3196">
                  <c:v>5.5780722893738774</c:v>
                </c:pt>
                <c:pt idx="3197">
                  <c:v>5.5798176186258708</c:v>
                </c:pt>
                <c:pt idx="3198">
                  <c:v>5.5815629478778659</c:v>
                </c:pt>
                <c:pt idx="3199">
                  <c:v>5.5833082771298592</c:v>
                </c:pt>
                <c:pt idx="3200">
                  <c:v>5.5850536063818543</c:v>
                </c:pt>
                <c:pt idx="3201">
                  <c:v>5.5867989356338477</c:v>
                </c:pt>
                <c:pt idx="3202">
                  <c:v>5.5885442648858437</c:v>
                </c:pt>
                <c:pt idx="3203">
                  <c:v>5.5902895941378379</c:v>
                </c:pt>
                <c:pt idx="3204">
                  <c:v>5.5920349233898312</c:v>
                </c:pt>
                <c:pt idx="3205">
                  <c:v>5.5937802526418263</c:v>
                </c:pt>
                <c:pt idx="3206">
                  <c:v>5.5955255818938205</c:v>
                </c:pt>
                <c:pt idx="3207">
                  <c:v>5.5972709111458139</c:v>
                </c:pt>
                <c:pt idx="3208">
                  <c:v>5.5990162403978081</c:v>
                </c:pt>
                <c:pt idx="3209">
                  <c:v>5.6007615696498041</c:v>
                </c:pt>
                <c:pt idx="3210">
                  <c:v>5.6025068989017974</c:v>
                </c:pt>
                <c:pt idx="3211">
                  <c:v>5.6042522281537925</c:v>
                </c:pt>
                <c:pt idx="3212">
                  <c:v>5.6059975574057859</c:v>
                </c:pt>
                <c:pt idx="3213">
                  <c:v>5.607742886657781</c:v>
                </c:pt>
                <c:pt idx="3214">
                  <c:v>5.6094882159097743</c:v>
                </c:pt>
                <c:pt idx="3215">
                  <c:v>5.6112335451617694</c:v>
                </c:pt>
                <c:pt idx="3216">
                  <c:v>5.6129788744137636</c:v>
                </c:pt>
                <c:pt idx="3217">
                  <c:v>5.6147242036657588</c:v>
                </c:pt>
                <c:pt idx="3218">
                  <c:v>5.6164695329177521</c:v>
                </c:pt>
                <c:pt idx="3219">
                  <c:v>5.6182148621697463</c:v>
                </c:pt>
                <c:pt idx="3220">
                  <c:v>5.6199601914217405</c:v>
                </c:pt>
                <c:pt idx="3221">
                  <c:v>5.6217055206737356</c:v>
                </c:pt>
                <c:pt idx="3222">
                  <c:v>5.6234508499257299</c:v>
                </c:pt>
                <c:pt idx="3223">
                  <c:v>5.6251961791777232</c:v>
                </c:pt>
                <c:pt idx="3224">
                  <c:v>5.6269415084297192</c:v>
                </c:pt>
                <c:pt idx="3225">
                  <c:v>5.6286868376817125</c:v>
                </c:pt>
                <c:pt idx="3226">
                  <c:v>5.6304321669337067</c:v>
                </c:pt>
                <c:pt idx="3227">
                  <c:v>5.6321774961857018</c:v>
                </c:pt>
                <c:pt idx="3228">
                  <c:v>5.6339228254376952</c:v>
                </c:pt>
                <c:pt idx="3229">
                  <c:v>5.6356681546896903</c:v>
                </c:pt>
                <c:pt idx="3230">
                  <c:v>5.6374134839416845</c:v>
                </c:pt>
                <c:pt idx="3231">
                  <c:v>5.6391588131936787</c:v>
                </c:pt>
                <c:pt idx="3232">
                  <c:v>5.640904142445673</c:v>
                </c:pt>
                <c:pt idx="3233">
                  <c:v>5.6426494716976663</c:v>
                </c:pt>
                <c:pt idx="3234">
                  <c:v>5.6443948009496623</c:v>
                </c:pt>
                <c:pt idx="3235">
                  <c:v>5.6461401302016565</c:v>
                </c:pt>
                <c:pt idx="3236">
                  <c:v>5.6478854594536507</c:v>
                </c:pt>
                <c:pt idx="3237">
                  <c:v>5.6496307887056449</c:v>
                </c:pt>
                <c:pt idx="3238">
                  <c:v>5.6513761179576392</c:v>
                </c:pt>
                <c:pt idx="3239">
                  <c:v>5.6531214472096334</c:v>
                </c:pt>
                <c:pt idx="3240">
                  <c:v>5.6548667764616276</c:v>
                </c:pt>
                <c:pt idx="3241">
                  <c:v>5.6566121057136218</c:v>
                </c:pt>
                <c:pt idx="3242">
                  <c:v>5.6583574349656169</c:v>
                </c:pt>
                <c:pt idx="3243">
                  <c:v>5.6601027642176112</c:v>
                </c:pt>
                <c:pt idx="3244">
                  <c:v>5.6618480934696045</c:v>
                </c:pt>
                <c:pt idx="3245">
                  <c:v>5.6635934227215996</c:v>
                </c:pt>
                <c:pt idx="3246">
                  <c:v>5.6653387519735938</c:v>
                </c:pt>
                <c:pt idx="3247">
                  <c:v>5.667084081225588</c:v>
                </c:pt>
                <c:pt idx="3248">
                  <c:v>5.6688294104775814</c:v>
                </c:pt>
                <c:pt idx="3249">
                  <c:v>5.6705747397295774</c:v>
                </c:pt>
                <c:pt idx="3250">
                  <c:v>5.6723200689815707</c:v>
                </c:pt>
                <c:pt idx="3251">
                  <c:v>5.6740653982335649</c:v>
                </c:pt>
                <c:pt idx="3252">
                  <c:v>5.67581072748556</c:v>
                </c:pt>
                <c:pt idx="3253">
                  <c:v>5.6775560567375543</c:v>
                </c:pt>
                <c:pt idx="3254">
                  <c:v>5.6793013859895476</c:v>
                </c:pt>
                <c:pt idx="3255">
                  <c:v>5.6810467152415427</c:v>
                </c:pt>
                <c:pt idx="3256">
                  <c:v>5.6827920444935378</c:v>
                </c:pt>
                <c:pt idx="3257">
                  <c:v>5.6845373737455311</c:v>
                </c:pt>
                <c:pt idx="3258">
                  <c:v>5.6862827029975245</c:v>
                </c:pt>
                <c:pt idx="3259">
                  <c:v>5.6880280322495205</c:v>
                </c:pt>
                <c:pt idx="3260">
                  <c:v>5.6897733615015138</c:v>
                </c:pt>
                <c:pt idx="3261">
                  <c:v>5.6915186907535098</c:v>
                </c:pt>
                <c:pt idx="3262">
                  <c:v>5.6932640200055022</c:v>
                </c:pt>
                <c:pt idx="3263">
                  <c:v>5.6950093492574982</c:v>
                </c:pt>
                <c:pt idx="3264">
                  <c:v>5.6967546785094907</c:v>
                </c:pt>
                <c:pt idx="3265">
                  <c:v>5.6985000077614867</c:v>
                </c:pt>
                <c:pt idx="3266">
                  <c:v>5.7002453370134791</c:v>
                </c:pt>
                <c:pt idx="3267">
                  <c:v>5.7019906662654751</c:v>
                </c:pt>
                <c:pt idx="3268">
                  <c:v>5.7037359955174693</c:v>
                </c:pt>
                <c:pt idx="3269">
                  <c:v>5.7054813247694618</c:v>
                </c:pt>
                <c:pt idx="3270">
                  <c:v>5.7072266540214578</c:v>
                </c:pt>
                <c:pt idx="3271">
                  <c:v>5.708971983273452</c:v>
                </c:pt>
                <c:pt idx="3272">
                  <c:v>5.7107173125254462</c:v>
                </c:pt>
                <c:pt idx="3273">
                  <c:v>5.7124626417774396</c:v>
                </c:pt>
                <c:pt idx="3274">
                  <c:v>5.7142079710294365</c:v>
                </c:pt>
                <c:pt idx="3275">
                  <c:v>5.7159533002814289</c:v>
                </c:pt>
                <c:pt idx="3276">
                  <c:v>5.7176986295334231</c:v>
                </c:pt>
                <c:pt idx="3277">
                  <c:v>5.7194439587854191</c:v>
                </c:pt>
                <c:pt idx="3278">
                  <c:v>5.7211892880374116</c:v>
                </c:pt>
                <c:pt idx="3279">
                  <c:v>5.7229346172894058</c:v>
                </c:pt>
                <c:pt idx="3280">
                  <c:v>5.7246799465414</c:v>
                </c:pt>
                <c:pt idx="3281">
                  <c:v>5.726425275793396</c:v>
                </c:pt>
                <c:pt idx="3282">
                  <c:v>5.7281706050453884</c:v>
                </c:pt>
                <c:pt idx="3283">
                  <c:v>5.7299159342973827</c:v>
                </c:pt>
                <c:pt idx="3284">
                  <c:v>5.7316612635493787</c:v>
                </c:pt>
                <c:pt idx="3285">
                  <c:v>5.7334065928013729</c:v>
                </c:pt>
                <c:pt idx="3286">
                  <c:v>5.7351519220533671</c:v>
                </c:pt>
                <c:pt idx="3287">
                  <c:v>5.7368972513053613</c:v>
                </c:pt>
                <c:pt idx="3288">
                  <c:v>5.7386425805573555</c:v>
                </c:pt>
                <c:pt idx="3289">
                  <c:v>5.7403879098093498</c:v>
                </c:pt>
                <c:pt idx="3290">
                  <c:v>5.742133239061344</c:v>
                </c:pt>
                <c:pt idx="3291">
                  <c:v>5.7438785683133382</c:v>
                </c:pt>
                <c:pt idx="3292">
                  <c:v>5.7456238975653342</c:v>
                </c:pt>
                <c:pt idx="3293">
                  <c:v>5.7473692268173266</c:v>
                </c:pt>
                <c:pt idx="3294">
                  <c:v>5.7491145560693209</c:v>
                </c:pt>
                <c:pt idx="3295">
                  <c:v>5.7508598853213151</c:v>
                </c:pt>
                <c:pt idx="3296">
                  <c:v>5.7526052145733111</c:v>
                </c:pt>
                <c:pt idx="3297">
                  <c:v>5.7543505438253044</c:v>
                </c:pt>
                <c:pt idx="3298">
                  <c:v>5.7560958730772986</c:v>
                </c:pt>
                <c:pt idx="3299">
                  <c:v>5.7578412023292938</c:v>
                </c:pt>
                <c:pt idx="3300">
                  <c:v>5.7595865315812871</c:v>
                </c:pt>
                <c:pt idx="3301">
                  <c:v>5.7613318608332813</c:v>
                </c:pt>
                <c:pt idx="3302">
                  <c:v>5.7630771900852764</c:v>
                </c:pt>
                <c:pt idx="3303">
                  <c:v>5.7648225193372706</c:v>
                </c:pt>
                <c:pt idx="3304">
                  <c:v>5.766567848589264</c:v>
                </c:pt>
                <c:pt idx="3305">
                  <c:v>5.7683131778412591</c:v>
                </c:pt>
                <c:pt idx="3306">
                  <c:v>5.7700585070932533</c:v>
                </c:pt>
                <c:pt idx="3307">
                  <c:v>5.7718038363452475</c:v>
                </c:pt>
                <c:pt idx="3308">
                  <c:v>5.7735491655972409</c:v>
                </c:pt>
                <c:pt idx="3309">
                  <c:v>5.775294494849236</c:v>
                </c:pt>
                <c:pt idx="3310">
                  <c:v>5.7770398241012311</c:v>
                </c:pt>
                <c:pt idx="3311">
                  <c:v>5.7787851533532253</c:v>
                </c:pt>
                <c:pt idx="3312">
                  <c:v>5.7805304826052195</c:v>
                </c:pt>
                <c:pt idx="3313">
                  <c:v>5.7822758118572137</c:v>
                </c:pt>
                <c:pt idx="3314">
                  <c:v>5.784021141109208</c:v>
                </c:pt>
                <c:pt idx="3315">
                  <c:v>5.7857664703612022</c:v>
                </c:pt>
                <c:pt idx="3316">
                  <c:v>5.7875117996131964</c:v>
                </c:pt>
                <c:pt idx="3317">
                  <c:v>5.7892571288651915</c:v>
                </c:pt>
                <c:pt idx="3318">
                  <c:v>5.7910024581171857</c:v>
                </c:pt>
                <c:pt idx="3319">
                  <c:v>5.7927477873691791</c:v>
                </c:pt>
                <c:pt idx="3320">
                  <c:v>5.7944931166211742</c:v>
                </c:pt>
                <c:pt idx="3321">
                  <c:v>5.7962384458731684</c:v>
                </c:pt>
                <c:pt idx="3322">
                  <c:v>5.7979837751251626</c:v>
                </c:pt>
                <c:pt idx="3323">
                  <c:v>5.7997291043771559</c:v>
                </c:pt>
                <c:pt idx="3324">
                  <c:v>5.8014744336291519</c:v>
                </c:pt>
                <c:pt idx="3325">
                  <c:v>5.8032197628811462</c:v>
                </c:pt>
                <c:pt idx="3326">
                  <c:v>5.8049650921331386</c:v>
                </c:pt>
                <c:pt idx="3327">
                  <c:v>5.8067104213851355</c:v>
                </c:pt>
                <c:pt idx="3328">
                  <c:v>5.8084557506371288</c:v>
                </c:pt>
                <c:pt idx="3329">
                  <c:v>5.810201079889123</c:v>
                </c:pt>
                <c:pt idx="3330">
                  <c:v>5.8119464091411173</c:v>
                </c:pt>
                <c:pt idx="3331">
                  <c:v>5.8136917383931115</c:v>
                </c:pt>
                <c:pt idx="3332">
                  <c:v>5.8154370676451057</c:v>
                </c:pt>
                <c:pt idx="3333">
                  <c:v>5.8171823968970999</c:v>
                </c:pt>
                <c:pt idx="3334">
                  <c:v>5.818927726149095</c:v>
                </c:pt>
                <c:pt idx="3335">
                  <c:v>5.8206730554010884</c:v>
                </c:pt>
                <c:pt idx="3336">
                  <c:v>5.8224183846530844</c:v>
                </c:pt>
                <c:pt idx="3337">
                  <c:v>5.8241637139050768</c:v>
                </c:pt>
                <c:pt idx="3338">
                  <c:v>5.8259090431570728</c:v>
                </c:pt>
                <c:pt idx="3339">
                  <c:v>5.8276543724090653</c:v>
                </c:pt>
                <c:pt idx="3340">
                  <c:v>5.8293997016610613</c:v>
                </c:pt>
                <c:pt idx="3341">
                  <c:v>5.8311450309130537</c:v>
                </c:pt>
                <c:pt idx="3342">
                  <c:v>5.8328903601650497</c:v>
                </c:pt>
                <c:pt idx="3343">
                  <c:v>5.8346356894170439</c:v>
                </c:pt>
                <c:pt idx="3344">
                  <c:v>5.8363810186690381</c:v>
                </c:pt>
                <c:pt idx="3345">
                  <c:v>5.8381263479210324</c:v>
                </c:pt>
                <c:pt idx="3346">
                  <c:v>5.8398716771730266</c:v>
                </c:pt>
                <c:pt idx="3347">
                  <c:v>5.8416170064250208</c:v>
                </c:pt>
                <c:pt idx="3348">
                  <c:v>5.8433623356770141</c:v>
                </c:pt>
                <c:pt idx="3349">
                  <c:v>5.845107664929011</c:v>
                </c:pt>
                <c:pt idx="3350">
                  <c:v>5.8468529941810035</c:v>
                </c:pt>
                <c:pt idx="3351">
                  <c:v>5.8485983234329977</c:v>
                </c:pt>
                <c:pt idx="3352">
                  <c:v>5.8503436526849937</c:v>
                </c:pt>
                <c:pt idx="3353">
                  <c:v>5.8520889819369879</c:v>
                </c:pt>
                <c:pt idx="3354">
                  <c:v>5.8538343111889803</c:v>
                </c:pt>
                <c:pt idx="3355">
                  <c:v>5.8555796404409746</c:v>
                </c:pt>
                <c:pt idx="3356">
                  <c:v>5.8573249696929706</c:v>
                </c:pt>
                <c:pt idx="3357">
                  <c:v>5.859070298944963</c:v>
                </c:pt>
                <c:pt idx="3358">
                  <c:v>5.8608156281969581</c:v>
                </c:pt>
                <c:pt idx="3359">
                  <c:v>5.8625609574489532</c:v>
                </c:pt>
                <c:pt idx="3360">
                  <c:v>5.8643062867009474</c:v>
                </c:pt>
                <c:pt idx="3361">
                  <c:v>5.8660516159529417</c:v>
                </c:pt>
                <c:pt idx="3362">
                  <c:v>5.8677969452049359</c:v>
                </c:pt>
                <c:pt idx="3363">
                  <c:v>5.8695422744569301</c:v>
                </c:pt>
                <c:pt idx="3364">
                  <c:v>5.8712876037089243</c:v>
                </c:pt>
                <c:pt idx="3365">
                  <c:v>5.8730329329609186</c:v>
                </c:pt>
                <c:pt idx="3366">
                  <c:v>5.8747782622129128</c:v>
                </c:pt>
                <c:pt idx="3367">
                  <c:v>5.8765235914649088</c:v>
                </c:pt>
                <c:pt idx="3368">
                  <c:v>5.8782689207169012</c:v>
                </c:pt>
                <c:pt idx="3369">
                  <c:v>5.8800142499688954</c:v>
                </c:pt>
                <c:pt idx="3370">
                  <c:v>5.8817595792208897</c:v>
                </c:pt>
                <c:pt idx="3371">
                  <c:v>5.8835049084728857</c:v>
                </c:pt>
                <c:pt idx="3372">
                  <c:v>5.885250237724879</c:v>
                </c:pt>
                <c:pt idx="3373">
                  <c:v>5.8869955669768732</c:v>
                </c:pt>
                <c:pt idx="3374">
                  <c:v>5.8887408962288683</c:v>
                </c:pt>
                <c:pt idx="3375">
                  <c:v>5.8904862254808625</c:v>
                </c:pt>
                <c:pt idx="3376">
                  <c:v>5.8922315547328559</c:v>
                </c:pt>
                <c:pt idx="3377">
                  <c:v>5.893976883984851</c:v>
                </c:pt>
                <c:pt idx="3378">
                  <c:v>5.8957222132368452</c:v>
                </c:pt>
                <c:pt idx="3379">
                  <c:v>5.8974675424888385</c:v>
                </c:pt>
                <c:pt idx="3380">
                  <c:v>5.8992128717408336</c:v>
                </c:pt>
                <c:pt idx="3381">
                  <c:v>5.9009582009928279</c:v>
                </c:pt>
                <c:pt idx="3382">
                  <c:v>5.9027035302448221</c:v>
                </c:pt>
                <c:pt idx="3383">
                  <c:v>5.9044488594968154</c:v>
                </c:pt>
                <c:pt idx="3384">
                  <c:v>5.9061941887488123</c:v>
                </c:pt>
                <c:pt idx="3385">
                  <c:v>5.9079395180008056</c:v>
                </c:pt>
                <c:pt idx="3386">
                  <c:v>5.9096848472527999</c:v>
                </c:pt>
                <c:pt idx="3387">
                  <c:v>5.9114301765047941</c:v>
                </c:pt>
                <c:pt idx="3388">
                  <c:v>5.9131755057567883</c:v>
                </c:pt>
                <c:pt idx="3389">
                  <c:v>5.9149208350087825</c:v>
                </c:pt>
                <c:pt idx="3390">
                  <c:v>5.9166661642607767</c:v>
                </c:pt>
                <c:pt idx="3391">
                  <c:v>5.918411493512771</c:v>
                </c:pt>
                <c:pt idx="3392">
                  <c:v>5.9201568227647661</c:v>
                </c:pt>
                <c:pt idx="3393">
                  <c:v>5.9219021520167603</c:v>
                </c:pt>
                <c:pt idx="3394">
                  <c:v>5.9236474812687536</c:v>
                </c:pt>
                <c:pt idx="3395">
                  <c:v>5.9253928105207487</c:v>
                </c:pt>
                <c:pt idx="3396">
                  <c:v>5.927138139772743</c:v>
                </c:pt>
                <c:pt idx="3397">
                  <c:v>5.9288834690247381</c:v>
                </c:pt>
                <c:pt idx="3398">
                  <c:v>5.9306287982767305</c:v>
                </c:pt>
                <c:pt idx="3399">
                  <c:v>5.9323741275287265</c:v>
                </c:pt>
                <c:pt idx="3400">
                  <c:v>5.9341194567807207</c:v>
                </c:pt>
                <c:pt idx="3401">
                  <c:v>5.9358647860327149</c:v>
                </c:pt>
                <c:pt idx="3402">
                  <c:v>5.9376101152847101</c:v>
                </c:pt>
                <c:pt idx="3403">
                  <c:v>5.9393554445367034</c:v>
                </c:pt>
                <c:pt idx="3404">
                  <c:v>5.9411007737886976</c:v>
                </c:pt>
                <c:pt idx="3405">
                  <c:v>5.9428461030406918</c:v>
                </c:pt>
                <c:pt idx="3406">
                  <c:v>5.9445914322926869</c:v>
                </c:pt>
                <c:pt idx="3407">
                  <c:v>5.9463367615446803</c:v>
                </c:pt>
                <c:pt idx="3408">
                  <c:v>5.9480820907966745</c:v>
                </c:pt>
                <c:pt idx="3409">
                  <c:v>5.9498274200486696</c:v>
                </c:pt>
                <c:pt idx="3410">
                  <c:v>5.9515727493006629</c:v>
                </c:pt>
                <c:pt idx="3411">
                  <c:v>5.9533180785526589</c:v>
                </c:pt>
                <c:pt idx="3412">
                  <c:v>5.9550634078046514</c:v>
                </c:pt>
                <c:pt idx="3413">
                  <c:v>5.9568087370566474</c:v>
                </c:pt>
                <c:pt idx="3414">
                  <c:v>5.9585540663086398</c:v>
                </c:pt>
                <c:pt idx="3415">
                  <c:v>5.9602993955606358</c:v>
                </c:pt>
                <c:pt idx="3416">
                  <c:v>5.9620447248126283</c:v>
                </c:pt>
                <c:pt idx="3417">
                  <c:v>5.9637900540646243</c:v>
                </c:pt>
                <c:pt idx="3418">
                  <c:v>5.9655353833166185</c:v>
                </c:pt>
                <c:pt idx="3419">
                  <c:v>5.9672807125686127</c:v>
                </c:pt>
                <c:pt idx="3420">
                  <c:v>5.9690260418206069</c:v>
                </c:pt>
                <c:pt idx="3421">
                  <c:v>5.9707713710726011</c:v>
                </c:pt>
                <c:pt idx="3422">
                  <c:v>5.9725167003245954</c:v>
                </c:pt>
                <c:pt idx="3423">
                  <c:v>5.9742620295765896</c:v>
                </c:pt>
                <c:pt idx="3424">
                  <c:v>5.9760073588285856</c:v>
                </c:pt>
                <c:pt idx="3425">
                  <c:v>5.977752688080578</c:v>
                </c:pt>
                <c:pt idx="3426">
                  <c:v>5.9794980173325722</c:v>
                </c:pt>
                <c:pt idx="3427">
                  <c:v>5.9812433465845682</c:v>
                </c:pt>
                <c:pt idx="3428">
                  <c:v>5.9829886758365625</c:v>
                </c:pt>
                <c:pt idx="3429">
                  <c:v>5.9847340050885549</c:v>
                </c:pt>
                <c:pt idx="3430">
                  <c:v>5.9864793343405509</c:v>
                </c:pt>
                <c:pt idx="3431">
                  <c:v>5.9882246635925451</c:v>
                </c:pt>
                <c:pt idx="3432">
                  <c:v>5.9899699928445393</c:v>
                </c:pt>
                <c:pt idx="3433">
                  <c:v>5.9917153220965327</c:v>
                </c:pt>
                <c:pt idx="3434">
                  <c:v>5.9934606513485278</c:v>
                </c:pt>
                <c:pt idx="3435">
                  <c:v>5.995205980600522</c:v>
                </c:pt>
                <c:pt idx="3436">
                  <c:v>5.9969513098525162</c:v>
                </c:pt>
                <c:pt idx="3437">
                  <c:v>5.9986966391045105</c:v>
                </c:pt>
                <c:pt idx="3438">
                  <c:v>6.0004419683565047</c:v>
                </c:pt>
                <c:pt idx="3439">
                  <c:v>6.0021872976084989</c:v>
                </c:pt>
                <c:pt idx="3440">
                  <c:v>6.0039326268604931</c:v>
                </c:pt>
                <c:pt idx="3441">
                  <c:v>6.0056779561124873</c:v>
                </c:pt>
                <c:pt idx="3442">
                  <c:v>6.0074232853644833</c:v>
                </c:pt>
                <c:pt idx="3443">
                  <c:v>6.0091686146164758</c:v>
                </c:pt>
                <c:pt idx="3444">
                  <c:v>6.01091394386847</c:v>
                </c:pt>
                <c:pt idx="3445">
                  <c:v>6.0126592731204642</c:v>
                </c:pt>
                <c:pt idx="3446">
                  <c:v>6.0144046023724602</c:v>
                </c:pt>
                <c:pt idx="3447">
                  <c:v>6.0161499316244536</c:v>
                </c:pt>
                <c:pt idx="3448">
                  <c:v>6.0178952608764478</c:v>
                </c:pt>
                <c:pt idx="3449">
                  <c:v>6.0196405901284429</c:v>
                </c:pt>
                <c:pt idx="3450">
                  <c:v>6.0213859193804371</c:v>
                </c:pt>
                <c:pt idx="3451">
                  <c:v>6.0231312486324304</c:v>
                </c:pt>
                <c:pt idx="3452">
                  <c:v>6.0248765778844255</c:v>
                </c:pt>
                <c:pt idx="3453">
                  <c:v>6.0266219071364198</c:v>
                </c:pt>
                <c:pt idx="3454">
                  <c:v>6.028367236388414</c:v>
                </c:pt>
                <c:pt idx="3455">
                  <c:v>6.0301125656404082</c:v>
                </c:pt>
                <c:pt idx="3456">
                  <c:v>6.0318578948924024</c:v>
                </c:pt>
                <c:pt idx="3457">
                  <c:v>6.0336032241443966</c:v>
                </c:pt>
                <c:pt idx="3458">
                  <c:v>6.03534855339639</c:v>
                </c:pt>
                <c:pt idx="3459">
                  <c:v>6.0370938826483869</c:v>
                </c:pt>
                <c:pt idx="3460">
                  <c:v>6.0388392119003802</c:v>
                </c:pt>
                <c:pt idx="3461">
                  <c:v>6.0405845411523753</c:v>
                </c:pt>
                <c:pt idx="3462">
                  <c:v>6.0423298704043686</c:v>
                </c:pt>
                <c:pt idx="3463">
                  <c:v>6.0440751996563638</c:v>
                </c:pt>
                <c:pt idx="3464">
                  <c:v>6.0458205289083571</c:v>
                </c:pt>
                <c:pt idx="3465">
                  <c:v>6.0475658581603513</c:v>
                </c:pt>
                <c:pt idx="3466">
                  <c:v>6.0493111874123455</c:v>
                </c:pt>
                <c:pt idx="3467">
                  <c:v>6.0510565166643406</c:v>
                </c:pt>
                <c:pt idx="3468">
                  <c:v>6.0528018459163349</c:v>
                </c:pt>
                <c:pt idx="3469">
                  <c:v>6.0545471751683282</c:v>
                </c:pt>
                <c:pt idx="3470">
                  <c:v>6.0562925044203233</c:v>
                </c:pt>
                <c:pt idx="3471">
                  <c:v>6.0580378336723175</c:v>
                </c:pt>
                <c:pt idx="3472">
                  <c:v>6.0597831629243126</c:v>
                </c:pt>
                <c:pt idx="3473">
                  <c:v>6.0615284921763051</c:v>
                </c:pt>
                <c:pt idx="3474">
                  <c:v>6.0632738214283011</c:v>
                </c:pt>
                <c:pt idx="3475">
                  <c:v>6.0650191506802953</c:v>
                </c:pt>
                <c:pt idx="3476">
                  <c:v>6.0667644799322895</c:v>
                </c:pt>
                <c:pt idx="3477">
                  <c:v>6.0685098091842846</c:v>
                </c:pt>
                <c:pt idx="3478">
                  <c:v>6.070255138436278</c:v>
                </c:pt>
                <c:pt idx="3479">
                  <c:v>6.0720004676882722</c:v>
                </c:pt>
                <c:pt idx="3480">
                  <c:v>6.0737457969402664</c:v>
                </c:pt>
                <c:pt idx="3481">
                  <c:v>6.0754911261922615</c:v>
                </c:pt>
                <c:pt idx="3482">
                  <c:v>6.0772364554442548</c:v>
                </c:pt>
                <c:pt idx="3483">
                  <c:v>6.0789817846962491</c:v>
                </c:pt>
                <c:pt idx="3484">
                  <c:v>6.0807271139482442</c:v>
                </c:pt>
                <c:pt idx="3485">
                  <c:v>6.0824724432002393</c:v>
                </c:pt>
                <c:pt idx="3486">
                  <c:v>6.0842177724522335</c:v>
                </c:pt>
                <c:pt idx="3487">
                  <c:v>6.0859631017042277</c:v>
                </c:pt>
                <c:pt idx="3488">
                  <c:v>6.0877084309562219</c:v>
                </c:pt>
                <c:pt idx="3489">
                  <c:v>6.0894537602082144</c:v>
                </c:pt>
                <c:pt idx="3490">
                  <c:v>6.0911990894602104</c:v>
                </c:pt>
                <c:pt idx="3491">
                  <c:v>6.0929444187122028</c:v>
                </c:pt>
                <c:pt idx="3492">
                  <c:v>6.0946897479641997</c:v>
                </c:pt>
                <c:pt idx="3493">
                  <c:v>6.096435077216193</c:v>
                </c:pt>
                <c:pt idx="3494">
                  <c:v>6.0981804064681873</c:v>
                </c:pt>
                <c:pt idx="3495">
                  <c:v>6.0999257357201815</c:v>
                </c:pt>
                <c:pt idx="3496">
                  <c:v>6.1016710649721766</c:v>
                </c:pt>
                <c:pt idx="3497">
                  <c:v>6.1034163942241699</c:v>
                </c:pt>
                <c:pt idx="3498">
                  <c:v>6.1051617234761641</c:v>
                </c:pt>
                <c:pt idx="3499">
                  <c:v>6.1069070527281601</c:v>
                </c:pt>
                <c:pt idx="3500">
                  <c:v>6.1086523819801526</c:v>
                </c:pt>
                <c:pt idx="3501">
                  <c:v>6.1103977112321468</c:v>
                </c:pt>
                <c:pt idx="3502">
                  <c:v>6.1121430404841428</c:v>
                </c:pt>
                <c:pt idx="3503">
                  <c:v>6.113888369736137</c:v>
                </c:pt>
                <c:pt idx="3504">
                  <c:v>6.1156336989881295</c:v>
                </c:pt>
                <c:pt idx="3505">
                  <c:v>6.1173790282401255</c:v>
                </c:pt>
                <c:pt idx="3506">
                  <c:v>6.1191243574921197</c:v>
                </c:pt>
                <c:pt idx="3507">
                  <c:v>6.1208696867441139</c:v>
                </c:pt>
                <c:pt idx="3508">
                  <c:v>6.1226150159961072</c:v>
                </c:pt>
                <c:pt idx="3509">
                  <c:v>6.1243603452481024</c:v>
                </c:pt>
                <c:pt idx="3510">
                  <c:v>6.1261056745000966</c:v>
                </c:pt>
                <c:pt idx="3511">
                  <c:v>6.1278510037520908</c:v>
                </c:pt>
                <c:pt idx="3512">
                  <c:v>6.129596333004085</c:v>
                </c:pt>
                <c:pt idx="3513">
                  <c:v>6.1313416622560792</c:v>
                </c:pt>
                <c:pt idx="3514">
                  <c:v>6.1330869915080735</c:v>
                </c:pt>
                <c:pt idx="3515">
                  <c:v>6.1348323207600677</c:v>
                </c:pt>
                <c:pt idx="3516">
                  <c:v>6.1365776500120619</c:v>
                </c:pt>
                <c:pt idx="3517">
                  <c:v>6.1383229792640579</c:v>
                </c:pt>
                <c:pt idx="3518">
                  <c:v>6.1400683085160521</c:v>
                </c:pt>
                <c:pt idx="3519">
                  <c:v>6.1418136377680446</c:v>
                </c:pt>
                <c:pt idx="3520">
                  <c:v>6.1435589670200397</c:v>
                </c:pt>
                <c:pt idx="3521">
                  <c:v>6.1453042962720348</c:v>
                </c:pt>
                <c:pt idx="3522">
                  <c:v>6.1470496255240281</c:v>
                </c:pt>
                <c:pt idx="3523">
                  <c:v>6.1487949547760223</c:v>
                </c:pt>
                <c:pt idx="3524">
                  <c:v>6.1505402840280174</c:v>
                </c:pt>
                <c:pt idx="3525">
                  <c:v>6.1522856132800117</c:v>
                </c:pt>
                <c:pt idx="3526">
                  <c:v>6.154030942532005</c:v>
                </c:pt>
                <c:pt idx="3527">
                  <c:v>6.1557762717840019</c:v>
                </c:pt>
                <c:pt idx="3528">
                  <c:v>6.1575216010359943</c:v>
                </c:pt>
                <c:pt idx="3529">
                  <c:v>6.1592669302879886</c:v>
                </c:pt>
                <c:pt idx="3530">
                  <c:v>6.1610122595399828</c:v>
                </c:pt>
                <c:pt idx="3531">
                  <c:v>6.162757588791977</c:v>
                </c:pt>
                <c:pt idx="3532">
                  <c:v>6.1645029180439712</c:v>
                </c:pt>
                <c:pt idx="3533">
                  <c:v>6.1662482472959663</c:v>
                </c:pt>
                <c:pt idx="3534">
                  <c:v>6.1679935765479614</c:v>
                </c:pt>
                <c:pt idx="3535">
                  <c:v>6.1697389057999548</c:v>
                </c:pt>
                <c:pt idx="3536">
                  <c:v>6.1714842350519499</c:v>
                </c:pt>
                <c:pt idx="3537">
                  <c:v>6.1732295643039432</c:v>
                </c:pt>
                <c:pt idx="3538">
                  <c:v>6.1749748935559383</c:v>
                </c:pt>
                <c:pt idx="3539">
                  <c:v>6.1767202228079316</c:v>
                </c:pt>
                <c:pt idx="3540">
                  <c:v>6.1784655520599268</c:v>
                </c:pt>
                <c:pt idx="3541">
                  <c:v>6.1802108813119201</c:v>
                </c:pt>
                <c:pt idx="3542">
                  <c:v>6.1819562105639152</c:v>
                </c:pt>
                <c:pt idx="3543">
                  <c:v>6.1837015398159094</c:v>
                </c:pt>
                <c:pt idx="3544">
                  <c:v>6.1854468690679028</c:v>
                </c:pt>
                <c:pt idx="3545">
                  <c:v>6.1871921983198979</c:v>
                </c:pt>
                <c:pt idx="3546">
                  <c:v>6.188937527571893</c:v>
                </c:pt>
                <c:pt idx="3547">
                  <c:v>6.1906828568238872</c:v>
                </c:pt>
                <c:pt idx="3548">
                  <c:v>6.1924281860758796</c:v>
                </c:pt>
                <c:pt idx="3549">
                  <c:v>6.1941735153278765</c:v>
                </c:pt>
                <c:pt idx="3550">
                  <c:v>6.1959188445798699</c:v>
                </c:pt>
                <c:pt idx="3551">
                  <c:v>6.1976641738318641</c:v>
                </c:pt>
                <c:pt idx="3552">
                  <c:v>6.1994095030838592</c:v>
                </c:pt>
                <c:pt idx="3553">
                  <c:v>6.2011548323358525</c:v>
                </c:pt>
                <c:pt idx="3554">
                  <c:v>6.2029001615878467</c:v>
                </c:pt>
                <c:pt idx="3555">
                  <c:v>6.204645490839841</c:v>
                </c:pt>
                <c:pt idx="3556">
                  <c:v>6.2063908200918361</c:v>
                </c:pt>
                <c:pt idx="3557">
                  <c:v>6.2081361493438294</c:v>
                </c:pt>
                <c:pt idx="3558">
                  <c:v>6.2098814785958236</c:v>
                </c:pt>
                <c:pt idx="3559">
                  <c:v>6.2116268078478196</c:v>
                </c:pt>
                <c:pt idx="3560">
                  <c:v>6.2133721370998138</c:v>
                </c:pt>
                <c:pt idx="3561">
                  <c:v>6.2151174663518081</c:v>
                </c:pt>
                <c:pt idx="3562">
                  <c:v>6.2168627956038023</c:v>
                </c:pt>
                <c:pt idx="3563">
                  <c:v>6.2186081248557965</c:v>
                </c:pt>
                <c:pt idx="3564">
                  <c:v>6.2203534541077907</c:v>
                </c:pt>
                <c:pt idx="3565">
                  <c:v>6.2220987833597849</c:v>
                </c:pt>
                <c:pt idx="3566">
                  <c:v>6.2238441126117792</c:v>
                </c:pt>
                <c:pt idx="3567">
                  <c:v>6.2255894418637743</c:v>
                </c:pt>
                <c:pt idx="3568">
                  <c:v>6.2273347711157676</c:v>
                </c:pt>
                <c:pt idx="3569">
                  <c:v>6.2290801003677618</c:v>
                </c:pt>
                <c:pt idx="3570">
                  <c:v>6.2308254296197561</c:v>
                </c:pt>
                <c:pt idx="3571">
                  <c:v>6.2325707588717512</c:v>
                </c:pt>
                <c:pt idx="3572">
                  <c:v>6.2343160881237445</c:v>
                </c:pt>
                <c:pt idx="3573">
                  <c:v>6.2360614173757387</c:v>
                </c:pt>
                <c:pt idx="3574">
                  <c:v>6.2378067466277347</c:v>
                </c:pt>
                <c:pt idx="3575">
                  <c:v>6.2395520758797289</c:v>
                </c:pt>
                <c:pt idx="3576">
                  <c:v>6.2412974051317214</c:v>
                </c:pt>
                <c:pt idx="3577">
                  <c:v>6.2430427343837174</c:v>
                </c:pt>
                <c:pt idx="3578">
                  <c:v>6.2447880636357116</c:v>
                </c:pt>
                <c:pt idx="3579">
                  <c:v>6.246533392887704</c:v>
                </c:pt>
                <c:pt idx="3580">
                  <c:v>6.2482787221397</c:v>
                </c:pt>
                <c:pt idx="3581">
                  <c:v>6.2500240513916943</c:v>
                </c:pt>
                <c:pt idx="3582">
                  <c:v>6.2517693806436885</c:v>
                </c:pt>
                <c:pt idx="3583">
                  <c:v>6.2535147098956818</c:v>
                </c:pt>
                <c:pt idx="3584">
                  <c:v>6.2552600391476769</c:v>
                </c:pt>
                <c:pt idx="3585">
                  <c:v>6.2570053683996711</c:v>
                </c:pt>
                <c:pt idx="3586">
                  <c:v>6.2587506976516654</c:v>
                </c:pt>
                <c:pt idx="3587">
                  <c:v>6.2604960269036596</c:v>
                </c:pt>
                <c:pt idx="3588">
                  <c:v>6.2622413561556538</c:v>
                </c:pt>
                <c:pt idx="3589">
                  <c:v>6.263986685407648</c:v>
                </c:pt>
                <c:pt idx="3590">
                  <c:v>6.2657320146596422</c:v>
                </c:pt>
                <c:pt idx="3591">
                  <c:v>6.2674773439116365</c:v>
                </c:pt>
                <c:pt idx="3592">
                  <c:v>6.2692226731636325</c:v>
                </c:pt>
                <c:pt idx="3593">
                  <c:v>6.2709680024156267</c:v>
                </c:pt>
                <c:pt idx="3594">
                  <c:v>6.2727133316676191</c:v>
                </c:pt>
                <c:pt idx="3595">
                  <c:v>6.2744586609196151</c:v>
                </c:pt>
                <c:pt idx="3596">
                  <c:v>6.2762039901716093</c:v>
                </c:pt>
                <c:pt idx="3597">
                  <c:v>6.2779493194236036</c:v>
                </c:pt>
                <c:pt idx="3598">
                  <c:v>6.2796946486755969</c:v>
                </c:pt>
                <c:pt idx="3599">
                  <c:v>6.281439977927592</c:v>
                </c:pt>
                <c:pt idx="3600">
                  <c:v>6.2831853071795862</c:v>
                </c:pt>
              </c:numCache>
            </c:numRef>
          </c:xVal>
          <c:yVal>
            <c:numRef>
              <c:f>'1.Properties'!$K$8:$K$3608</c:f>
              <c:numCache>
                <c:formatCode>General</c:formatCode>
                <c:ptCount val="3601"/>
                <c:pt idx="0">
                  <c:v>6.4224695402142974E-5</c:v>
                </c:pt>
                <c:pt idx="1">
                  <c:v>8.6716022407723383E-5</c:v>
                </c:pt>
                <c:pt idx="2">
                  <c:v>1.3167710345682852E-4</c:v>
                </c:pt>
                <c:pt idx="3">
                  <c:v>1.7659553756860995E-4</c:v>
                </c:pt>
                <c:pt idx="4">
                  <c:v>2.2147090454396171E-4</c:v>
                </c:pt>
                <c:pt idx="5">
                  <c:v>2.6630168608472596E-4</c:v>
                </c:pt>
                <c:pt idx="6">
                  <c:v>3.1108836148086288E-4</c:v>
                </c:pt>
                <c:pt idx="7">
                  <c:v>3.5582836357785173E-4</c:v>
                </c:pt>
                <c:pt idx="8">
                  <c:v>4.0051923355347404E-4</c:v>
                </c:pt>
                <c:pt idx="9">
                  <c:v>4.4516428047657351E-4</c:v>
                </c:pt>
                <c:pt idx="10">
                  <c:v>4.8976414941880226E-4</c:v>
                </c:pt>
                <c:pt idx="11">
                  <c:v>5.3431340733565915E-4</c:v>
                </c:pt>
                <c:pt idx="12">
                  <c:v>5.7881196559104585E-4</c:v>
                </c:pt>
                <c:pt idx="13">
                  <c:v>6.2325187815227584E-4</c:v>
                </c:pt>
                <c:pt idx="14">
                  <c:v>6.6764128309666293E-4</c:v>
                </c:pt>
                <c:pt idx="15">
                  <c:v>7.1198885195694454E-4</c:v>
                </c:pt>
                <c:pt idx="16">
                  <c:v>7.5626037953222013E-4</c:v>
                </c:pt>
                <c:pt idx="17">
                  <c:v>8.0048449517670711E-4</c:v>
                </c:pt>
                <c:pt idx="18">
                  <c:v>8.4467686444238512E-4</c:v>
                </c:pt>
                <c:pt idx="19">
                  <c:v>8.8877124686286924E-4</c:v>
                </c:pt>
                <c:pt idx="20">
                  <c:v>9.3281550411330343E-4</c:v>
                </c:pt>
                <c:pt idx="21">
                  <c:v>9.7684038459904064E-4</c:v>
                </c:pt>
                <c:pt idx="22">
                  <c:v>1.0207516208945509E-3</c:v>
                </c:pt>
                <c:pt idx="23">
                  <c:v>1.0646114730637867E-3</c:v>
                </c:pt>
                <c:pt idx="24">
                  <c:v>1.1084632954885048E-3</c:v>
                </c:pt>
                <c:pt idx="25">
                  <c:v>1.1521813304233713E-3</c:v>
                </c:pt>
                <c:pt idx="26">
                  <c:v>1.1958174609812155E-3</c:v>
                </c:pt>
                <c:pt idx="27">
                  <c:v>1.2394458572473255E-3</c:v>
                </c:pt>
                <c:pt idx="28">
                  <c:v>1.2830448986590416E-3</c:v>
                </c:pt>
                <c:pt idx="29">
                  <c:v>1.3265876530729765E-3</c:v>
                </c:pt>
                <c:pt idx="30">
                  <c:v>1.369949554402336E-3</c:v>
                </c:pt>
                <c:pt idx="31">
                  <c:v>1.4132189429658755E-3</c:v>
                </c:pt>
                <c:pt idx="32">
                  <c:v>1.456516338791863E-3</c:v>
                </c:pt>
                <c:pt idx="33">
                  <c:v>1.4997289348058405E-3</c:v>
                </c:pt>
                <c:pt idx="34">
                  <c:v>1.5428553981880532E-3</c:v>
                </c:pt>
                <c:pt idx="35">
                  <c:v>1.5859945233542381E-3</c:v>
                </c:pt>
                <c:pt idx="36">
                  <c:v>1.6290827124971386E-3</c:v>
                </c:pt>
                <c:pt idx="37">
                  <c:v>1.6719203217485394E-3</c:v>
                </c:pt>
                <c:pt idx="38">
                  <c:v>1.7146483230200754E-3</c:v>
                </c:pt>
                <c:pt idx="39">
                  <c:v>1.7574443407565104E-3</c:v>
                </c:pt>
                <c:pt idx="40">
                  <c:v>1.8001460500320558E-3</c:v>
                </c:pt>
                <c:pt idx="41">
                  <c:v>1.8428294281169306E-3</c:v>
                </c:pt>
                <c:pt idx="42">
                  <c:v>1.8854981911480347E-3</c:v>
                </c:pt>
                <c:pt idx="43">
                  <c:v>1.9278591549727446E-3</c:v>
                </c:pt>
                <c:pt idx="44">
                  <c:v>1.970094183780427E-3</c:v>
                </c:pt>
                <c:pt idx="45">
                  <c:v>2.012428062811517E-3</c:v>
                </c:pt>
                <c:pt idx="46">
                  <c:v>2.0546587730872821E-3</c:v>
                </c:pt>
                <c:pt idx="47">
                  <c:v>2.0968808856934714E-3</c:v>
                </c:pt>
                <c:pt idx="48">
                  <c:v>2.1390986633538036E-3</c:v>
                </c:pt>
                <c:pt idx="49">
                  <c:v>2.1809476800938319E-3</c:v>
                </c:pt>
                <c:pt idx="50">
                  <c:v>2.2226544232895528E-3</c:v>
                </c:pt>
                <c:pt idx="51">
                  <c:v>2.2644988293282734E-3</c:v>
                </c:pt>
                <c:pt idx="52">
                  <c:v>2.3062305399076618E-3</c:v>
                </c:pt>
                <c:pt idx="53">
                  <c:v>2.3478383902036412E-3</c:v>
                </c:pt>
                <c:pt idx="54">
                  <c:v>2.3893948498075897E-3</c:v>
                </c:pt>
                <c:pt idx="55">
                  <c:v>2.4308457622627499E-3</c:v>
                </c:pt>
                <c:pt idx="56">
                  <c:v>2.4722121736416355E-3</c:v>
                </c:pt>
                <c:pt idx="57">
                  <c:v>2.51363890986999E-3</c:v>
                </c:pt>
                <c:pt idx="58">
                  <c:v>2.5550373942662902E-3</c:v>
                </c:pt>
                <c:pt idx="59">
                  <c:v>2.5959622993775842E-3</c:v>
                </c:pt>
                <c:pt idx="60">
                  <c:v>2.6367171009538028E-3</c:v>
                </c:pt>
                <c:pt idx="61">
                  <c:v>2.6776869526080396E-3</c:v>
                </c:pt>
                <c:pt idx="62">
                  <c:v>2.7185267033639311E-3</c:v>
                </c:pt>
                <c:pt idx="63">
                  <c:v>2.7592212621606509E-3</c:v>
                </c:pt>
                <c:pt idx="64">
                  <c:v>2.7998701078789756E-3</c:v>
                </c:pt>
                <c:pt idx="65">
                  <c:v>2.8403997959337056E-3</c:v>
                </c:pt>
                <c:pt idx="66">
                  <c:v>2.8808391674200679E-3</c:v>
                </c:pt>
                <c:pt idx="67">
                  <c:v>2.9211838118878915E-3</c:v>
                </c:pt>
                <c:pt idx="68">
                  <c:v>2.9614282897269858E-3</c:v>
                </c:pt>
                <c:pt idx="69">
                  <c:v>3.0015764697247128E-3</c:v>
                </c:pt>
                <c:pt idx="70">
                  <c:v>3.0418298374033132E-3</c:v>
                </c:pt>
                <c:pt idx="71">
                  <c:v>3.0820723849519578E-3</c:v>
                </c:pt>
                <c:pt idx="72">
                  <c:v>3.1216860846821743E-3</c:v>
                </c:pt>
                <c:pt idx="73">
                  <c:v>3.1610903495744554E-3</c:v>
                </c:pt>
                <c:pt idx="74">
                  <c:v>3.2008165264569631E-3</c:v>
                </c:pt>
                <c:pt idx="75">
                  <c:v>3.240390760289087E-3</c:v>
                </c:pt>
                <c:pt idx="76">
                  <c:v>3.2797913484381522E-3</c:v>
                </c:pt>
                <c:pt idx="77">
                  <c:v>3.3191553726900952E-3</c:v>
                </c:pt>
                <c:pt idx="78">
                  <c:v>3.3583828190662697E-3</c:v>
                </c:pt>
                <c:pt idx="79">
                  <c:v>3.3975132437423579E-3</c:v>
                </c:pt>
                <c:pt idx="80">
                  <c:v>3.4365410347609441E-3</c:v>
                </c:pt>
                <c:pt idx="81">
                  <c:v>3.4754589765132061E-3</c:v>
                </c:pt>
                <c:pt idx="82">
                  <c:v>3.5142727318403263E-3</c:v>
                </c:pt>
                <c:pt idx="83">
                  <c:v>3.5532455325695128E-3</c:v>
                </c:pt>
                <c:pt idx="84">
                  <c:v>3.5922258919605342E-3</c:v>
                </c:pt>
                <c:pt idx="85">
                  <c:v>3.6304083537784149E-3</c:v>
                </c:pt>
                <c:pt idx="86">
                  <c:v>3.6683397416420994E-3</c:v>
                </c:pt>
                <c:pt idx="87">
                  <c:v>3.7067128688521916E-3</c:v>
                </c:pt>
                <c:pt idx="88">
                  <c:v>3.7449117643985411E-3</c:v>
                </c:pt>
                <c:pt idx="89">
                  <c:v>3.7829073902168739E-3</c:v>
                </c:pt>
                <c:pt idx="90">
                  <c:v>3.820878276806678E-3</c:v>
                </c:pt>
                <c:pt idx="91">
                  <c:v>3.8586951800822656E-3</c:v>
                </c:pt>
                <c:pt idx="92">
                  <c:v>3.8964093348014387E-3</c:v>
                </c:pt>
                <c:pt idx="93">
                  <c:v>3.9340138405057849E-3</c:v>
                </c:pt>
                <c:pt idx="94">
                  <c:v>3.9714996415735606E-3</c:v>
                </c:pt>
                <c:pt idx="95">
                  <c:v>4.0092035473711669E-3</c:v>
                </c:pt>
                <c:pt idx="96">
                  <c:v>4.0469341095566184E-3</c:v>
                </c:pt>
                <c:pt idx="97">
                  <c:v>4.0836987437259005E-3</c:v>
                </c:pt>
                <c:pt idx="98">
                  <c:v>4.1201722126688912E-3</c:v>
                </c:pt>
                <c:pt idx="99">
                  <c:v>4.1572086041126955E-3</c:v>
                </c:pt>
                <c:pt idx="100">
                  <c:v>4.1940500313296294E-3</c:v>
                </c:pt>
                <c:pt idx="101">
                  <c:v>4.2306597531501719E-3</c:v>
                </c:pt>
                <c:pt idx="102">
                  <c:v>4.2672579506782722E-3</c:v>
                </c:pt>
                <c:pt idx="103">
                  <c:v>4.3036861940395407E-3</c:v>
                </c:pt>
                <c:pt idx="104">
                  <c:v>4.3400072603389595E-3</c:v>
                </c:pt>
                <c:pt idx="105">
                  <c:v>4.3762129507673459E-3</c:v>
                </c:pt>
                <c:pt idx="106">
                  <c:v>4.4122924911553178E-3</c:v>
                </c:pt>
                <c:pt idx="107">
                  <c:v>4.4482551455818781E-3</c:v>
                </c:pt>
                <c:pt idx="108">
                  <c:v>4.4840956254451284E-3</c:v>
                </c:pt>
                <c:pt idx="109">
                  <c:v>4.5198145380653081E-3</c:v>
                </c:pt>
                <c:pt idx="110">
                  <c:v>4.5554117586961663E-3</c:v>
                </c:pt>
                <c:pt idx="111">
                  <c:v>4.5908862975701705E-3</c:v>
                </c:pt>
                <c:pt idx="112">
                  <c:v>4.6262380069618109E-3</c:v>
                </c:pt>
                <c:pt idx="113">
                  <c:v>4.6614662861182935E-3</c:v>
                </c:pt>
                <c:pt idx="114">
                  <c:v>4.6965706787280336E-3</c:v>
                </c:pt>
                <c:pt idx="115">
                  <c:v>4.7319921182092904E-3</c:v>
                </c:pt>
                <c:pt idx="116">
                  <c:v>4.7674791218992709E-3</c:v>
                </c:pt>
                <c:pt idx="117">
                  <c:v>4.8017019464091431E-3</c:v>
                </c:pt>
                <c:pt idx="118">
                  <c:v>4.8355636786346166E-3</c:v>
                </c:pt>
                <c:pt idx="119">
                  <c:v>4.8702082222966533E-3</c:v>
                </c:pt>
                <c:pt idx="120">
                  <c:v>4.9046228020908789E-3</c:v>
                </c:pt>
                <c:pt idx="121">
                  <c:v>4.9387574947400625E-3</c:v>
                </c:pt>
                <c:pt idx="122">
                  <c:v>4.9729067138078115E-3</c:v>
                </c:pt>
                <c:pt idx="123">
                  <c:v>5.0068596949183562E-3</c:v>
                </c:pt>
                <c:pt idx="124">
                  <c:v>5.0407000659224745E-3</c:v>
                </c:pt>
                <c:pt idx="125">
                  <c:v>5.0744172414114311E-3</c:v>
                </c:pt>
                <c:pt idx="126">
                  <c:v>5.107997212009021E-3</c:v>
                </c:pt>
                <c:pt idx="127">
                  <c:v>5.1414525344498779E-3</c:v>
                </c:pt>
                <c:pt idx="128">
                  <c:v>5.1747764133247796E-3</c:v>
                </c:pt>
                <c:pt idx="129">
                  <c:v>5.2079699861250286E-3</c:v>
                </c:pt>
                <c:pt idx="130">
                  <c:v>5.2410333332800589E-3</c:v>
                </c:pt>
                <c:pt idx="131">
                  <c:v>5.2739652811873922E-3</c:v>
                </c:pt>
                <c:pt idx="132">
                  <c:v>5.3067660350217512E-3</c:v>
                </c:pt>
                <c:pt idx="133">
                  <c:v>5.3394350350644861E-3</c:v>
                </c:pt>
                <c:pt idx="134">
                  <c:v>5.3719717741216146E-3</c:v>
                </c:pt>
                <c:pt idx="135">
                  <c:v>5.4043760404531684E-3</c:v>
                </c:pt>
                <c:pt idx="136">
                  <c:v>5.4366474729503214E-3</c:v>
                </c:pt>
                <c:pt idx="137">
                  <c:v>5.4687856530543583E-3</c:v>
                </c:pt>
                <c:pt idx="138">
                  <c:v>5.5007903099346181E-3</c:v>
                </c:pt>
                <c:pt idx="139">
                  <c:v>5.5326610595021856E-3</c:v>
                </c:pt>
                <c:pt idx="140">
                  <c:v>5.5649909046137517E-3</c:v>
                </c:pt>
                <c:pt idx="141">
                  <c:v>5.5974417999270342E-3</c:v>
                </c:pt>
                <c:pt idx="142">
                  <c:v>5.6282276919699028E-3</c:v>
                </c:pt>
                <c:pt idx="143">
                  <c:v>5.6585616236489496E-3</c:v>
                </c:pt>
                <c:pt idx="144">
                  <c:v>5.6899802191668529E-3</c:v>
                </c:pt>
                <c:pt idx="145">
                  <c:v>5.721125522697666E-3</c:v>
                </c:pt>
                <c:pt idx="146">
                  <c:v>5.751929278131185E-3</c:v>
                </c:pt>
                <c:pt idx="147">
                  <c:v>5.7827864481069646E-3</c:v>
                </c:pt>
                <c:pt idx="148">
                  <c:v>5.8134154958704313E-3</c:v>
                </c:pt>
                <c:pt idx="149">
                  <c:v>5.8439283125915151E-3</c:v>
                </c:pt>
                <c:pt idx="150">
                  <c:v>5.8743111449532466E-3</c:v>
                </c:pt>
                <c:pt idx="151">
                  <c:v>5.9045454992669028E-3</c:v>
                </c:pt>
                <c:pt idx="152">
                  <c:v>5.9346482606468234E-3</c:v>
                </c:pt>
                <c:pt idx="153">
                  <c:v>5.9646107772567836E-3</c:v>
                </c:pt>
                <c:pt idx="154">
                  <c:v>5.9944347134795939E-3</c:v>
                </c:pt>
                <c:pt idx="155">
                  <c:v>6.0241204254993241E-3</c:v>
                </c:pt>
                <c:pt idx="156">
                  <c:v>6.0536667479203317E-3</c:v>
                </c:pt>
                <c:pt idx="157">
                  <c:v>6.0830739712704812E-3</c:v>
                </c:pt>
                <c:pt idx="158">
                  <c:v>6.1123416162595211E-3</c:v>
                </c:pt>
                <c:pt idx="159">
                  <c:v>6.1414695023346098E-3</c:v>
                </c:pt>
                <c:pt idx="160">
                  <c:v>6.1704574013400522E-3</c:v>
                </c:pt>
                <c:pt idx="161">
                  <c:v>6.1993050276713813E-3</c:v>
                </c:pt>
                <c:pt idx="162">
                  <c:v>6.2280121564563216E-3</c:v>
                </c:pt>
                <c:pt idx="163">
                  <c:v>6.2565784692633075E-3</c:v>
                </c:pt>
                <c:pt idx="164">
                  <c:v>6.2850038298552149E-3</c:v>
                </c:pt>
                <c:pt idx="165">
                  <c:v>6.3132880494703994E-3</c:v>
                </c:pt>
                <c:pt idx="166">
                  <c:v>6.3414308638438778E-3</c:v>
                </c:pt>
                <c:pt idx="167">
                  <c:v>6.3694321104765831E-3</c:v>
                </c:pt>
                <c:pt idx="168">
                  <c:v>6.3972915628544907E-3</c:v>
                </c:pt>
                <c:pt idx="169">
                  <c:v>6.4250089911811253E-3</c:v>
                </c:pt>
                <c:pt idx="170">
                  <c:v>6.4525841443221245E-3</c:v>
                </c:pt>
                <c:pt idx="171">
                  <c:v>6.4800168187430238E-3</c:v>
                </c:pt>
                <c:pt idx="172">
                  <c:v>6.5073069274501696E-3</c:v>
                </c:pt>
                <c:pt idx="173">
                  <c:v>6.5344542143839146E-3</c:v>
                </c:pt>
                <c:pt idx="174">
                  <c:v>6.5614584497478987E-3</c:v>
                </c:pt>
                <c:pt idx="175">
                  <c:v>6.5883196023563285E-3</c:v>
                </c:pt>
                <c:pt idx="176">
                  <c:v>6.6150374358463467E-3</c:v>
                </c:pt>
                <c:pt idx="177">
                  <c:v>6.6416116974419206E-3</c:v>
                </c:pt>
                <c:pt idx="178">
                  <c:v>6.6680423182048105E-3</c:v>
                </c:pt>
                <c:pt idx="179">
                  <c:v>6.6943291487660504E-3</c:v>
                </c:pt>
                <c:pt idx="180">
                  <c:v>6.7204719839506861E-3</c:v>
                </c:pt>
                <c:pt idx="181">
                  <c:v>6.7464706169426507E-3</c:v>
                </c:pt>
                <c:pt idx="182">
                  <c:v>6.772324911505122E-3</c:v>
                </c:pt>
                <c:pt idx="183">
                  <c:v>6.7980347510984921E-3</c:v>
                </c:pt>
                <c:pt idx="184">
                  <c:v>6.8236000421628461E-3</c:v>
                </c:pt>
                <c:pt idx="185">
                  <c:v>6.8490206517438246E-3</c:v>
                </c:pt>
                <c:pt idx="186">
                  <c:v>6.8742963385555241E-3</c:v>
                </c:pt>
                <c:pt idx="187">
                  <c:v>6.8994270418662679E-3</c:v>
                </c:pt>
                <c:pt idx="188">
                  <c:v>6.9244126927372335E-3</c:v>
                </c:pt>
                <c:pt idx="189">
                  <c:v>6.9492530942001762E-3</c:v>
                </c:pt>
                <c:pt idx="190">
                  <c:v>6.9739480870380736E-3</c:v>
                </c:pt>
                <c:pt idx="191">
                  <c:v>6.9984975990299977E-3</c:v>
                </c:pt>
                <c:pt idx="192">
                  <c:v>7.0229015940648648E-3</c:v>
                </c:pt>
                <c:pt idx="193">
                  <c:v>7.0471599408303293E-3</c:v>
                </c:pt>
                <c:pt idx="194">
                  <c:v>7.0712725178627743E-3</c:v>
                </c:pt>
                <c:pt idx="195">
                  <c:v>7.0952392381674776E-3</c:v>
                </c:pt>
                <c:pt idx="196">
                  <c:v>7.1190600081846283E-3</c:v>
                </c:pt>
                <c:pt idx="197">
                  <c:v>7.1427347245062384E-3</c:v>
                </c:pt>
                <c:pt idx="198">
                  <c:v>7.1662632525365654E-3</c:v>
                </c:pt>
                <c:pt idx="199">
                  <c:v>7.1896455512408522E-3</c:v>
                </c:pt>
                <c:pt idx="200">
                  <c:v>7.212881595998282E-3</c:v>
                </c:pt>
                <c:pt idx="201">
                  <c:v>7.2369647541613482E-3</c:v>
                </c:pt>
                <c:pt idx="202">
                  <c:v>7.2613287711805795E-3</c:v>
                </c:pt>
                <c:pt idx="203">
                  <c:v>7.2829868103193715E-3</c:v>
                </c:pt>
                <c:pt idx="204">
                  <c:v>7.3039671469148368E-3</c:v>
                </c:pt>
                <c:pt idx="205">
                  <c:v>7.3268400624055549E-3</c:v>
                </c:pt>
                <c:pt idx="206">
                  <c:v>7.3504301775245166E-3</c:v>
                </c:pt>
                <c:pt idx="207">
                  <c:v>7.3738911798705278E-3</c:v>
                </c:pt>
                <c:pt idx="208">
                  <c:v>7.3947936844101746E-3</c:v>
                </c:pt>
                <c:pt idx="209">
                  <c:v>7.4149962404692453E-3</c:v>
                </c:pt>
                <c:pt idx="210">
                  <c:v>7.4382647259190618E-3</c:v>
                </c:pt>
                <c:pt idx="211">
                  <c:v>7.4617384852498905E-3</c:v>
                </c:pt>
                <c:pt idx="212">
                  <c:v>7.4817946068082069E-3</c:v>
                </c:pt>
                <c:pt idx="213">
                  <c:v>7.5011784391709937E-3</c:v>
                </c:pt>
                <c:pt idx="214">
                  <c:v>7.5238374223799143E-3</c:v>
                </c:pt>
                <c:pt idx="215">
                  <c:v>7.5468591655384852E-3</c:v>
                </c:pt>
                <c:pt idx="216">
                  <c:v>7.5662789626860386E-3</c:v>
                </c:pt>
                <c:pt idx="217">
                  <c:v>7.5850159131339084E-3</c:v>
                </c:pt>
                <c:pt idx="218">
                  <c:v>7.607112901233678E-3</c:v>
                </c:pt>
                <c:pt idx="219">
                  <c:v>7.6296036882179761E-3</c:v>
                </c:pt>
                <c:pt idx="220">
                  <c:v>7.6483991743852512E-3</c:v>
                </c:pt>
                <c:pt idx="221">
                  <c:v>7.6664987154546347E-3</c:v>
                </c:pt>
                <c:pt idx="222">
                  <c:v>7.6880425917197036E-3</c:v>
                </c:pt>
                <c:pt idx="223">
                  <c:v>7.709994852377465E-3</c:v>
                </c:pt>
                <c:pt idx="224">
                  <c:v>7.728166126048844E-3</c:v>
                </c:pt>
                <c:pt idx="225">
                  <c:v>7.7456282971347656E-3</c:v>
                </c:pt>
                <c:pt idx="226">
                  <c:v>7.7666200185024731E-3</c:v>
                </c:pt>
                <c:pt idx="227">
                  <c:v>7.7880333588966578E-3</c:v>
                </c:pt>
                <c:pt idx="228">
                  <c:v>7.8055807171661428E-3</c:v>
                </c:pt>
                <c:pt idx="229">
                  <c:v>7.8224060550067115E-3</c:v>
                </c:pt>
                <c:pt idx="230">
                  <c:v>7.8428459120059354E-3</c:v>
                </c:pt>
                <c:pt idx="231">
                  <c:v>7.8629171902811594E-3</c:v>
                </c:pt>
                <c:pt idx="232">
                  <c:v>7.8809202956313107E-3</c:v>
                </c:pt>
                <c:pt idx="233">
                  <c:v>7.8985801343360047E-3</c:v>
                </c:pt>
                <c:pt idx="234">
                  <c:v>7.9153788338444941E-3</c:v>
                </c:pt>
                <c:pt idx="235">
                  <c:v>7.9346144081070442E-3</c:v>
                </c:pt>
                <c:pt idx="236">
                  <c:v>7.9548117166009999E-3</c:v>
                </c:pt>
                <c:pt idx="237">
                  <c:v>7.9710835864216373E-3</c:v>
                </c:pt>
                <c:pt idx="238">
                  <c:v>7.9865831514278427E-3</c:v>
                </c:pt>
                <c:pt idx="239">
                  <c:v>8.0057776840454873E-3</c:v>
                </c:pt>
                <c:pt idx="240">
                  <c:v>8.0254104877249249E-3</c:v>
                </c:pt>
                <c:pt idx="241">
                  <c:v>8.0409457598161586E-3</c:v>
                </c:pt>
                <c:pt idx="242">
                  <c:v>8.0557152976291901E-3</c:v>
                </c:pt>
                <c:pt idx="243">
                  <c:v>8.0743685004036145E-3</c:v>
                </c:pt>
                <c:pt idx="244">
                  <c:v>8.0934915548370491E-3</c:v>
                </c:pt>
                <c:pt idx="245">
                  <c:v>8.1083963869478196E-3</c:v>
                </c:pt>
                <c:pt idx="246">
                  <c:v>8.1225247516456562E-3</c:v>
                </c:pt>
                <c:pt idx="247">
                  <c:v>8.1406261573496487E-3</c:v>
                </c:pt>
                <c:pt idx="248">
                  <c:v>8.1592174874312983E-3</c:v>
                </c:pt>
                <c:pt idx="249">
                  <c:v>8.1735030411042766E-3</c:v>
                </c:pt>
                <c:pt idx="250">
                  <c:v>8.1869999973944382E-3</c:v>
                </c:pt>
                <c:pt idx="251">
                  <c:v>8.2045533139567806E-3</c:v>
                </c:pt>
                <c:pt idx="252">
                  <c:v>8.2226103804363872E-3</c:v>
                </c:pt>
                <c:pt idx="253">
                  <c:v>8.2362788797724559E-3</c:v>
                </c:pt>
                <c:pt idx="254">
                  <c:v>8.2491463727173107E-3</c:v>
                </c:pt>
                <c:pt idx="255">
                  <c:v>8.2661532185618891E-3</c:v>
                </c:pt>
                <c:pt idx="256">
                  <c:v>8.28276301554484E-3</c:v>
                </c:pt>
                <c:pt idx="257">
                  <c:v>8.2970403162422358E-3</c:v>
                </c:pt>
                <c:pt idx="258">
                  <c:v>8.310953703082876E-3</c:v>
                </c:pt>
                <c:pt idx="259">
                  <c:v>8.3239119048917603E-3</c:v>
                </c:pt>
                <c:pt idx="260">
                  <c:v>8.3396532173994255E-3</c:v>
                </c:pt>
                <c:pt idx="261">
                  <c:v>8.3565072699466284E-3</c:v>
                </c:pt>
                <c:pt idx="262">
                  <c:v>8.3689375850042394E-3</c:v>
                </c:pt>
                <c:pt idx="263">
                  <c:v>8.3805153060105917E-3</c:v>
                </c:pt>
                <c:pt idx="264">
                  <c:v>8.3962926637312744E-3</c:v>
                </c:pt>
                <c:pt idx="265">
                  <c:v>8.4125866810060065E-3</c:v>
                </c:pt>
                <c:pt idx="266">
                  <c:v>8.4242758155356114E-3</c:v>
                </c:pt>
                <c:pt idx="267">
                  <c:v>8.4351223439522918E-3</c:v>
                </c:pt>
                <c:pt idx="268">
                  <c:v>8.4503685977721215E-3</c:v>
                </c:pt>
                <c:pt idx="269">
                  <c:v>8.4661652830157197E-3</c:v>
                </c:pt>
                <c:pt idx="270">
                  <c:v>8.4772348026193461E-3</c:v>
                </c:pt>
                <c:pt idx="271">
                  <c:v>8.4874520892808409E-3</c:v>
                </c:pt>
                <c:pt idx="272">
                  <c:v>8.5021561843490016E-3</c:v>
                </c:pt>
                <c:pt idx="273">
                  <c:v>8.5174315336813116E-3</c:v>
                </c:pt>
                <c:pt idx="274">
                  <c:v>8.5278951013995768E-3</c:v>
                </c:pt>
                <c:pt idx="275">
                  <c:v>8.5374949069589676E-3</c:v>
                </c:pt>
                <c:pt idx="276">
                  <c:v>8.5516617527126703E-3</c:v>
                </c:pt>
                <c:pt idx="277">
                  <c:v>8.5664136503654665E-3</c:v>
                </c:pt>
                <c:pt idx="278">
                  <c:v>8.5762746721091548E-3</c:v>
                </c:pt>
                <c:pt idx="279">
                  <c:v>8.5852605042453494E-3</c:v>
                </c:pt>
                <c:pt idx="280">
                  <c:v>8.5988929649327504E-3</c:v>
                </c:pt>
                <c:pt idx="281">
                  <c:v>8.6121025624103908E-3</c:v>
                </c:pt>
                <c:pt idx="282">
                  <c:v>8.6227269712255521E-3</c:v>
                </c:pt>
                <c:pt idx="283">
                  <c:v>8.6329697948374154E-3</c:v>
                </c:pt>
                <c:pt idx="284">
                  <c:v>8.6421688140598859E-3</c:v>
                </c:pt>
                <c:pt idx="285">
                  <c:v>8.6544849350571763E-3</c:v>
                </c:pt>
                <c:pt idx="286">
                  <c:v>8.6680605687249942E-3</c:v>
                </c:pt>
                <c:pt idx="287">
                  <c:v>8.6767362429589628E-3</c:v>
                </c:pt>
                <c:pt idx="288">
                  <c:v>8.6844840582404655E-3</c:v>
                </c:pt>
                <c:pt idx="289">
                  <c:v>8.6969167205045318E-3</c:v>
                </c:pt>
                <c:pt idx="290">
                  <c:v>8.7099427024156639E-3</c:v>
                </c:pt>
                <c:pt idx="291">
                  <c:v>8.7178800718602616E-3</c:v>
                </c:pt>
                <c:pt idx="292">
                  <c:v>8.7249030352924851E-3</c:v>
                </c:pt>
                <c:pt idx="293">
                  <c:v>8.7368205382458413E-3</c:v>
                </c:pt>
                <c:pt idx="294">
                  <c:v>8.7493671696980899E-3</c:v>
                </c:pt>
                <c:pt idx="295">
                  <c:v>8.756702411725931E-3</c:v>
                </c:pt>
                <c:pt idx="296">
                  <c:v>8.7631147797427207E-3</c:v>
                </c:pt>
                <c:pt idx="297">
                  <c:v>8.7745055777556664E-3</c:v>
                </c:pt>
                <c:pt idx="298">
                  <c:v>8.7865467325348359E-3</c:v>
                </c:pt>
                <c:pt idx="299">
                  <c:v>8.7932956981762941E-3</c:v>
                </c:pt>
                <c:pt idx="300">
                  <c:v>8.7991111682869157E-3</c:v>
                </c:pt>
                <c:pt idx="301">
                  <c:v>8.8099812606878929E-3</c:v>
                </c:pt>
                <c:pt idx="302">
                  <c:v>8.821515205471692E-3</c:v>
                </c:pt>
                <c:pt idx="303">
                  <c:v>8.8276822165421209E-3</c:v>
                </c:pt>
                <c:pt idx="304">
                  <c:v>8.8329049053861419E-3</c:v>
                </c:pt>
                <c:pt idx="305">
                  <c:v>8.8432578014944214E-3</c:v>
                </c:pt>
                <c:pt idx="306">
                  <c:v>8.8542871264174674E-3</c:v>
                </c:pt>
                <c:pt idx="307">
                  <c:v>8.8598761222838749E-3</c:v>
                </c:pt>
                <c:pt idx="308">
                  <c:v>8.8645102548329541E-3</c:v>
                </c:pt>
                <c:pt idx="309">
                  <c:v>8.872641595455923E-3</c:v>
                </c:pt>
                <c:pt idx="310">
                  <c:v>8.8822290970574976E-3</c:v>
                </c:pt>
                <c:pt idx="311">
                  <c:v>8.8915133806089681E-3</c:v>
                </c:pt>
                <c:pt idx="312">
                  <c:v>8.896755388767651E-3</c:v>
                </c:pt>
                <c:pt idx="313">
                  <c:v>8.9009578930134472E-3</c:v>
                </c:pt>
                <c:pt idx="314">
                  <c:v>8.9102806264347925E-3</c:v>
                </c:pt>
                <c:pt idx="315">
                  <c:v>8.9200316314893002E-3</c:v>
                </c:pt>
                <c:pt idx="316">
                  <c:v>8.9243518325492106E-3</c:v>
                </c:pt>
                <c:pt idx="317">
                  <c:v>8.9276899065856962E-3</c:v>
                </c:pt>
                <c:pt idx="318">
                  <c:v>8.9364031837249804E-3</c:v>
                </c:pt>
                <c:pt idx="319">
                  <c:v>8.9458010687900047E-3</c:v>
                </c:pt>
                <c:pt idx="320">
                  <c:v>8.9495382910431843E-3</c:v>
                </c:pt>
                <c:pt idx="321">
                  <c:v>8.952287546160051E-3</c:v>
                </c:pt>
                <c:pt idx="322">
                  <c:v>8.9604814587138995E-3</c:v>
                </c:pt>
                <c:pt idx="323">
                  <c:v>8.969400830435249E-3</c:v>
                </c:pt>
                <c:pt idx="324">
                  <c:v>8.9725775184286722E-3</c:v>
                </c:pt>
                <c:pt idx="325">
                  <c:v>8.9747563695282504E-3</c:v>
                </c:pt>
                <c:pt idx="326">
                  <c:v>8.9824495211594385E-3</c:v>
                </c:pt>
                <c:pt idx="327">
                  <c:v>8.9908821216385122E-3</c:v>
                </c:pt>
                <c:pt idx="328">
                  <c:v>8.9935026382215316E-3</c:v>
                </c:pt>
                <c:pt idx="329">
                  <c:v>8.9951155367892586E-3</c:v>
                </c:pt>
                <c:pt idx="330">
                  <c:v>9.0023130716560852E-3</c:v>
                </c:pt>
                <c:pt idx="331">
                  <c:v>9.0102618898874436E-3</c:v>
                </c:pt>
                <c:pt idx="332">
                  <c:v>9.0123304649557621E-3</c:v>
                </c:pt>
                <c:pt idx="333">
                  <c:v>9.0133819560364817E-3</c:v>
                </c:pt>
                <c:pt idx="334">
                  <c:v>9.0182406177674573E-3</c:v>
                </c:pt>
                <c:pt idx="335">
                  <c:v>9.0246913732802431E-3</c:v>
                </c:pt>
                <c:pt idx="336">
                  <c:v>9.0308291985606842E-3</c:v>
                </c:pt>
                <c:pt idx="337">
                  <c:v>9.0326150304424774E-3</c:v>
                </c:pt>
                <c:pt idx="338">
                  <c:v>9.0332939492648329E-3</c:v>
                </c:pt>
                <c:pt idx="339">
                  <c:v>9.0395220238164743E-3</c:v>
                </c:pt>
                <c:pt idx="340">
                  <c:v>9.0462291123388026E-3</c:v>
                </c:pt>
                <c:pt idx="341">
                  <c:v>9.0470915548088206E-3</c:v>
                </c:pt>
                <c:pt idx="342">
                  <c:v>9.0469112105592015E-3</c:v>
                </c:pt>
                <c:pt idx="343">
                  <c:v>9.0525445653462568E-3</c:v>
                </c:pt>
                <c:pt idx="344">
                  <c:v>9.058932737439197E-3</c:v>
                </c:pt>
                <c:pt idx="345">
                  <c:v>9.0592387196116834E-3</c:v>
                </c:pt>
                <c:pt idx="346">
                  <c:v>9.0584973847915636E-3</c:v>
                </c:pt>
                <c:pt idx="347">
                  <c:v>9.0636338917623183E-3</c:v>
                </c:pt>
                <c:pt idx="348">
                  <c:v>9.069567772698222E-3</c:v>
                </c:pt>
                <c:pt idx="349">
                  <c:v>9.0693420584232309E-3</c:v>
                </c:pt>
                <c:pt idx="350">
                  <c:v>9.0680601241853176E-3</c:v>
                </c:pt>
                <c:pt idx="351">
                  <c:v>9.0727200005016485E-3</c:v>
                </c:pt>
                <c:pt idx="352">
                  <c:v>9.0781906561230395E-3</c:v>
                </c:pt>
                <c:pt idx="353">
                  <c:v>9.0774378626672543E-3</c:v>
                </c:pt>
                <c:pt idx="354">
                  <c:v>9.075620197412558E-3</c:v>
                </c:pt>
                <c:pt idx="355">
                  <c:v>9.0798093340712909E-3</c:v>
                </c:pt>
                <c:pt idx="356">
                  <c:v>9.084820227739366E-3</c:v>
                </c:pt>
                <c:pt idx="357">
                  <c:v>9.0835452202223995E-3</c:v>
                </c:pt>
                <c:pt idx="358">
                  <c:v>9.0811966463930291E-3</c:v>
                </c:pt>
                <c:pt idx="359">
                  <c:v>9.0829429582105926E-3</c:v>
                </c:pt>
                <c:pt idx="360">
                  <c:v>9.0864083066493524E-3</c:v>
                </c:pt>
                <c:pt idx="361">
                  <c:v>9.0895530545781287E-3</c:v>
                </c:pt>
                <c:pt idx="362">
                  <c:v>9.0880612882822693E-3</c:v>
                </c:pt>
                <c:pt idx="363">
                  <c:v>9.0854013911542721E-3</c:v>
                </c:pt>
                <c:pt idx="364">
                  <c:v>9.0886874146542465E-3</c:v>
                </c:pt>
                <c:pt idx="365">
                  <c:v>9.0925004845073768E-3</c:v>
                </c:pt>
                <c:pt idx="366">
                  <c:v>9.0941467577255013E-3</c:v>
                </c:pt>
                <c:pt idx="367">
                  <c:v>9.0954111470053084E-3</c:v>
                </c:pt>
                <c:pt idx="368">
                  <c:v>9.0959761343920188E-3</c:v>
                </c:pt>
                <c:pt idx="369">
                  <c:v>9.0962899329268022E-3</c:v>
                </c:pt>
                <c:pt idx="370">
                  <c:v>9.0912268803900794E-3</c:v>
                </c:pt>
                <c:pt idx="371">
                  <c:v>9.0853989668015622E-3</c:v>
                </c:pt>
                <c:pt idx="372">
                  <c:v>9.0881283806368684E-3</c:v>
                </c:pt>
                <c:pt idx="373">
                  <c:v>9.0915741947368532E-3</c:v>
                </c:pt>
                <c:pt idx="374">
                  <c:v>9.0879121208448481E-3</c:v>
                </c:pt>
                <c:pt idx="375">
                  <c:v>9.0831825062314703E-3</c:v>
                </c:pt>
                <c:pt idx="376">
                  <c:v>9.0849379376846586E-3</c:v>
                </c:pt>
                <c:pt idx="377">
                  <c:v>9.0876772475395034E-3</c:v>
                </c:pt>
                <c:pt idx="378">
                  <c:v>9.0837283121808308E-3</c:v>
                </c:pt>
                <c:pt idx="379">
                  <c:v>9.0786661197393946E-3</c:v>
                </c:pt>
                <c:pt idx="380">
                  <c:v>9.0800016178875839E-3</c:v>
                </c:pt>
                <c:pt idx="381">
                  <c:v>9.0822409891630172E-3</c:v>
                </c:pt>
                <c:pt idx="382">
                  <c:v>9.0778162881700111E-3</c:v>
                </c:pt>
                <c:pt idx="383">
                  <c:v>9.0722677134978825E-3</c:v>
                </c:pt>
                <c:pt idx="384">
                  <c:v>9.0710779259921513E-3</c:v>
                </c:pt>
                <c:pt idx="385">
                  <c:v>9.0717256351756734E-3</c:v>
                </c:pt>
                <c:pt idx="386">
                  <c:v>9.0720456776079306E-3</c:v>
                </c:pt>
                <c:pt idx="387">
                  <c:v>9.0674706240832809E-3</c:v>
                </c:pt>
                <c:pt idx="388">
                  <c:v>9.0616728351671331E-3</c:v>
                </c:pt>
                <c:pt idx="389">
                  <c:v>9.0621841470284199E-3</c:v>
                </c:pt>
                <c:pt idx="390">
                  <c:v>9.0632673516606848E-3</c:v>
                </c:pt>
                <c:pt idx="391">
                  <c:v>9.0577806693787673E-3</c:v>
                </c:pt>
                <c:pt idx="392">
                  <c:v>9.0511479380613463E-3</c:v>
                </c:pt>
                <c:pt idx="393">
                  <c:v>9.0511033230815975E-3</c:v>
                </c:pt>
                <c:pt idx="394">
                  <c:v>9.0519401793592875E-3</c:v>
                </c:pt>
                <c:pt idx="395">
                  <c:v>9.045958205310135E-3</c:v>
                </c:pt>
                <c:pt idx="396">
                  <c:v>9.0388284423386107E-3</c:v>
                </c:pt>
                <c:pt idx="397">
                  <c:v>9.0383391761633958E-3</c:v>
                </c:pt>
                <c:pt idx="398">
                  <c:v>9.038776299884645E-3</c:v>
                </c:pt>
                <c:pt idx="399">
                  <c:v>9.0323270085031441E-3</c:v>
                </c:pt>
                <c:pt idx="400">
                  <c:v>9.0247228356955169E-3</c:v>
                </c:pt>
                <c:pt idx="401">
                  <c:v>9.021644361062087E-3</c:v>
                </c:pt>
                <c:pt idx="402">
                  <c:v>9.0204755178614916E-3</c:v>
                </c:pt>
                <c:pt idx="403">
                  <c:v>9.0183586510695964E-3</c:v>
                </c:pt>
                <c:pt idx="404">
                  <c:v>9.0123502635607814E-3</c:v>
                </c:pt>
                <c:pt idx="405">
                  <c:v>9.0066533257388403E-3</c:v>
                </c:pt>
                <c:pt idx="406">
                  <c:v>9.005539197071288E-3</c:v>
                </c:pt>
                <c:pt idx="407">
                  <c:v>9.0019999214749277E-3</c:v>
                </c:pt>
                <c:pt idx="408">
                  <c:v>8.9938150891649849E-3</c:v>
                </c:pt>
                <c:pt idx="409">
                  <c:v>8.9888359747040125E-3</c:v>
                </c:pt>
                <c:pt idx="410">
                  <c:v>8.9866706028067147E-3</c:v>
                </c:pt>
                <c:pt idx="411">
                  <c:v>8.9801050229338028E-3</c:v>
                </c:pt>
                <c:pt idx="412">
                  <c:v>8.9721637879855657E-3</c:v>
                </c:pt>
                <c:pt idx="413">
                  <c:v>8.9675677934401218E-3</c:v>
                </c:pt>
                <c:pt idx="414">
                  <c:v>8.9627266996477207E-3</c:v>
                </c:pt>
                <c:pt idx="415">
                  <c:v>8.9590923589039535E-3</c:v>
                </c:pt>
                <c:pt idx="416">
                  <c:v>8.956192830043213E-3</c:v>
                </c:pt>
                <c:pt idx="417">
                  <c:v>8.9488446816621669E-3</c:v>
                </c:pt>
                <c:pt idx="418">
                  <c:v>8.9420098460129618E-3</c:v>
                </c:pt>
                <c:pt idx="419">
                  <c:v>8.9362406880927406E-3</c:v>
                </c:pt>
                <c:pt idx="420">
                  <c:v>8.9288277469637637E-3</c:v>
                </c:pt>
                <c:pt idx="421">
                  <c:v>8.9229386139615483E-3</c:v>
                </c:pt>
                <c:pt idx="422">
                  <c:v>8.9172580179494709E-3</c:v>
                </c:pt>
                <c:pt idx="423">
                  <c:v>8.9129718874940197E-3</c:v>
                </c:pt>
                <c:pt idx="424">
                  <c:v>8.9092043550900221E-3</c:v>
                </c:pt>
                <c:pt idx="425">
                  <c:v>8.9009791311303096E-3</c:v>
                </c:pt>
                <c:pt idx="426">
                  <c:v>8.8932715203772078E-3</c:v>
                </c:pt>
                <c:pt idx="427">
                  <c:v>8.8866929570059205E-3</c:v>
                </c:pt>
                <c:pt idx="428">
                  <c:v>8.8784498499585741E-3</c:v>
                </c:pt>
                <c:pt idx="429">
                  <c:v>8.8717388778762427E-3</c:v>
                </c:pt>
                <c:pt idx="430">
                  <c:v>8.8652457561052903E-3</c:v>
                </c:pt>
                <c:pt idx="431">
                  <c:v>8.8601717455612881E-3</c:v>
                </c:pt>
                <c:pt idx="432">
                  <c:v>8.855624740334779E-3</c:v>
                </c:pt>
                <c:pt idx="433">
                  <c:v>8.8465654078046241E-3</c:v>
                </c:pt>
                <c:pt idx="434">
                  <c:v>8.8380343773019031E-3</c:v>
                </c:pt>
                <c:pt idx="435">
                  <c:v>8.830651966271523E-3</c:v>
                </c:pt>
                <c:pt idx="436">
                  <c:v>8.8215871087789586E-3</c:v>
                </c:pt>
                <c:pt idx="437">
                  <c:v>8.8140777811727133E-3</c:v>
                </c:pt>
                <c:pt idx="438">
                  <c:v>8.8067933816082158E-3</c:v>
                </c:pt>
                <c:pt idx="439">
                  <c:v>8.7987532734558945E-3</c:v>
                </c:pt>
                <c:pt idx="440">
                  <c:v>8.7933259853466492E-3</c:v>
                </c:pt>
                <c:pt idx="441">
                  <c:v>8.7877876481070247E-3</c:v>
                </c:pt>
                <c:pt idx="442">
                  <c:v>8.7776537217481038E-3</c:v>
                </c:pt>
                <c:pt idx="443">
                  <c:v>8.7682422343745292E-3</c:v>
                </c:pt>
                <c:pt idx="444">
                  <c:v>8.7600107878543308E-3</c:v>
                </c:pt>
                <c:pt idx="445">
                  <c:v>8.7500718963032225E-3</c:v>
                </c:pt>
                <c:pt idx="446">
                  <c:v>8.7416943419211003E-3</c:v>
                </c:pt>
                <c:pt idx="447">
                  <c:v>8.7335327272574474E-3</c:v>
                </c:pt>
                <c:pt idx="448">
                  <c:v>8.7268530403198773E-3</c:v>
                </c:pt>
                <c:pt idx="449">
                  <c:v>8.7207119338746746E-3</c:v>
                </c:pt>
                <c:pt idx="450">
                  <c:v>8.7099486475783264E-3</c:v>
                </c:pt>
                <c:pt idx="451">
                  <c:v>8.6997381267799687E-3</c:v>
                </c:pt>
                <c:pt idx="452">
                  <c:v>8.6907149740604213E-3</c:v>
                </c:pt>
                <c:pt idx="453">
                  <c:v>8.6799742997351968E-3</c:v>
                </c:pt>
                <c:pt idx="454">
                  <c:v>8.6708361289693815E-3</c:v>
                </c:pt>
                <c:pt idx="455">
                  <c:v>8.6619359403261667E-3</c:v>
                </c:pt>
                <c:pt idx="456">
                  <c:v>8.6545191254852726E-3</c:v>
                </c:pt>
                <c:pt idx="457">
                  <c:v>8.6476608013567515E-3</c:v>
                </c:pt>
                <c:pt idx="458">
                  <c:v>8.6361324045153981E-3</c:v>
                </c:pt>
                <c:pt idx="459">
                  <c:v>8.625163468457089E-3</c:v>
                </c:pt>
                <c:pt idx="460">
                  <c:v>8.6153991647545721E-3</c:v>
                </c:pt>
                <c:pt idx="461">
                  <c:v>8.6039019283110779E-3</c:v>
                </c:pt>
                <c:pt idx="462">
                  <c:v>8.5940282759693135E-3</c:v>
                </c:pt>
                <c:pt idx="463">
                  <c:v>8.5843992731312532E-3</c:v>
                </c:pt>
                <c:pt idx="464">
                  <c:v>8.5739985005746887E-3</c:v>
                </c:pt>
                <c:pt idx="465">
                  <c:v>8.5663150348625223E-3</c:v>
                </c:pt>
                <c:pt idx="466">
                  <c:v>8.5585274516652068E-3</c:v>
                </c:pt>
                <c:pt idx="467">
                  <c:v>8.5459927679868465E-3</c:v>
                </c:pt>
                <c:pt idx="468">
                  <c:v>8.5342171512058536E-3</c:v>
                </c:pt>
                <c:pt idx="469">
                  <c:v>8.5236758023160154E-3</c:v>
                </c:pt>
                <c:pt idx="470">
                  <c:v>8.5113786690710763E-3</c:v>
                </c:pt>
                <c:pt idx="471">
                  <c:v>8.5007075623350255E-3</c:v>
                </c:pt>
                <c:pt idx="472">
                  <c:v>8.4902716161509191E-3</c:v>
                </c:pt>
                <c:pt idx="473">
                  <c:v>8.4813775762039995E-3</c:v>
                </c:pt>
                <c:pt idx="474">
                  <c:v>8.4730509233752593E-3</c:v>
                </c:pt>
                <c:pt idx="475">
                  <c:v>8.459958052643957E-3</c:v>
                </c:pt>
                <c:pt idx="476">
                  <c:v>8.4474473826935872E-3</c:v>
                </c:pt>
                <c:pt idx="477">
                  <c:v>8.4361759081257575E-3</c:v>
                </c:pt>
                <c:pt idx="478">
                  <c:v>8.4231409428145079E-3</c:v>
                </c:pt>
                <c:pt idx="479">
                  <c:v>8.41409943756527E-3</c:v>
                </c:pt>
                <c:pt idx="480">
                  <c:v>8.4065742228166696E-3</c:v>
                </c:pt>
                <c:pt idx="481">
                  <c:v>8.3968324506555093E-3</c:v>
                </c:pt>
                <c:pt idx="482">
                  <c:v>8.3840779863754624E-3</c:v>
                </c:pt>
                <c:pt idx="483">
                  <c:v>8.3671367999395962E-3</c:v>
                </c:pt>
                <c:pt idx="484">
                  <c:v>8.3536630268279521E-3</c:v>
                </c:pt>
                <c:pt idx="485">
                  <c:v>8.3425452434056826E-3</c:v>
                </c:pt>
                <c:pt idx="486">
                  <c:v>8.3295007234862571E-3</c:v>
                </c:pt>
                <c:pt idx="487">
                  <c:v>8.3174813649000388E-3</c:v>
                </c:pt>
                <c:pt idx="488">
                  <c:v>8.3055131590032468E-3</c:v>
                </c:pt>
                <c:pt idx="489">
                  <c:v>8.2930839830785592E-3</c:v>
                </c:pt>
                <c:pt idx="490">
                  <c:v>8.2832629426331794E-3</c:v>
                </c:pt>
                <c:pt idx="491">
                  <c:v>8.2734205344024269E-3</c:v>
                </c:pt>
                <c:pt idx="492">
                  <c:v>8.2587168792307361E-3</c:v>
                </c:pt>
                <c:pt idx="493">
                  <c:v>8.2447651968119897E-3</c:v>
                </c:pt>
                <c:pt idx="494">
                  <c:v>8.2321053561408095E-3</c:v>
                </c:pt>
                <c:pt idx="495">
                  <c:v>8.2176490013360255E-3</c:v>
                </c:pt>
                <c:pt idx="496">
                  <c:v>8.2048763256871576E-3</c:v>
                </c:pt>
                <c:pt idx="497">
                  <c:v>8.1923597745897307E-3</c:v>
                </c:pt>
                <c:pt idx="498">
                  <c:v>8.1814350825536904E-3</c:v>
                </c:pt>
                <c:pt idx="499">
                  <c:v>8.1711060032047395E-3</c:v>
                </c:pt>
                <c:pt idx="500">
                  <c:v>8.1558854357034211E-3</c:v>
                </c:pt>
                <c:pt idx="501">
                  <c:v>8.1412726371219418E-3</c:v>
                </c:pt>
                <c:pt idx="502">
                  <c:v>8.1279453428293093E-3</c:v>
                </c:pt>
                <c:pt idx="503">
                  <c:v>8.1128152067938622E-3</c:v>
                </c:pt>
                <c:pt idx="504">
                  <c:v>8.099406505469928E-3</c:v>
                </c:pt>
                <c:pt idx="505">
                  <c:v>8.0862724634218515E-3</c:v>
                </c:pt>
                <c:pt idx="506">
                  <c:v>8.074729658344269E-3</c:v>
                </c:pt>
                <c:pt idx="507">
                  <c:v>8.0637993461443874E-3</c:v>
                </c:pt>
                <c:pt idx="508">
                  <c:v>8.0479414135820014E-3</c:v>
                </c:pt>
                <c:pt idx="509">
                  <c:v>8.0326966058377504E-3</c:v>
                </c:pt>
                <c:pt idx="510">
                  <c:v>8.0187507504016833E-3</c:v>
                </c:pt>
                <c:pt idx="511">
                  <c:v>8.0029909064530374E-3</c:v>
                </c:pt>
                <c:pt idx="512">
                  <c:v>7.9889692690721693E-3</c:v>
                </c:pt>
                <c:pt idx="513">
                  <c:v>7.9752275664371694E-3</c:v>
                </c:pt>
                <c:pt idx="514">
                  <c:v>7.9606893171044781E-3</c:v>
                </c:pt>
                <c:pt idx="515">
                  <c:v>7.9490415032589315E-3</c:v>
                </c:pt>
                <c:pt idx="516">
                  <c:v>7.9373035648879278E-3</c:v>
                </c:pt>
                <c:pt idx="517">
                  <c:v>7.9205724435889961E-3</c:v>
                </c:pt>
                <c:pt idx="518">
                  <c:v>7.9046625015277375E-3</c:v>
                </c:pt>
                <c:pt idx="519">
                  <c:v>7.8900778727068396E-3</c:v>
                </c:pt>
                <c:pt idx="520">
                  <c:v>7.8736606205223828E-3</c:v>
                </c:pt>
                <c:pt idx="521">
                  <c:v>7.8589778636960726E-3</c:v>
                </c:pt>
                <c:pt idx="522">
                  <c:v>7.844563302299639E-3</c:v>
                </c:pt>
                <c:pt idx="523">
                  <c:v>7.8317907054380673E-3</c:v>
                </c:pt>
                <c:pt idx="524">
                  <c:v>7.8196356766727579E-3</c:v>
                </c:pt>
                <c:pt idx="525">
                  <c:v>7.8024809387590918E-3</c:v>
                </c:pt>
                <c:pt idx="526">
                  <c:v>7.7859580327370006E-3</c:v>
                </c:pt>
                <c:pt idx="527">
                  <c:v>7.7707613837627587E-3</c:v>
                </c:pt>
                <c:pt idx="528">
                  <c:v>7.7537286923828339E-3</c:v>
                </c:pt>
                <c:pt idx="529">
                  <c:v>7.7384666334931193E-3</c:v>
                </c:pt>
                <c:pt idx="530">
                  <c:v>7.723494684406391E-3</c:v>
                </c:pt>
                <c:pt idx="531">
                  <c:v>7.7101584937075019E-3</c:v>
                </c:pt>
                <c:pt idx="532">
                  <c:v>7.6974580266671441E-3</c:v>
                </c:pt>
                <c:pt idx="533">
                  <c:v>7.6797269691212889E-3</c:v>
                </c:pt>
                <c:pt idx="534">
                  <c:v>7.662631398869078E-3</c:v>
                </c:pt>
                <c:pt idx="535">
                  <c:v>7.6468741483360402E-3</c:v>
                </c:pt>
                <c:pt idx="536">
                  <c:v>7.6292714813457549E-3</c:v>
                </c:pt>
                <c:pt idx="537">
                  <c:v>7.6134540192218944E-3</c:v>
                </c:pt>
                <c:pt idx="538">
                  <c:v>7.5979318849222714E-3</c:v>
                </c:pt>
                <c:pt idx="539">
                  <c:v>7.5816044371896287E-3</c:v>
                </c:pt>
                <c:pt idx="540">
                  <c:v>7.5682378444220681E-3</c:v>
                </c:pt>
                <c:pt idx="541">
                  <c:v>7.5547878503182337E-3</c:v>
                </c:pt>
                <c:pt idx="542">
                  <c:v>7.5362468341680765E-3</c:v>
                </c:pt>
                <c:pt idx="543">
                  <c:v>7.5185528427871243E-3</c:v>
                </c:pt>
                <c:pt idx="544">
                  <c:v>7.5022219513911376E-3</c:v>
                </c:pt>
                <c:pt idx="545">
                  <c:v>7.4840285565297079E-3</c:v>
                </c:pt>
                <c:pt idx="546">
                  <c:v>7.4676138386726024E-3</c:v>
                </c:pt>
                <c:pt idx="547">
                  <c:v>7.451481734332366E-3</c:v>
                </c:pt>
                <c:pt idx="548">
                  <c:v>7.4370331006880811E-3</c:v>
                </c:pt>
                <c:pt idx="549">
                  <c:v>7.4232231485098013E-3</c:v>
                </c:pt>
                <c:pt idx="550">
                  <c:v>7.4043207741677497E-3</c:v>
                </c:pt>
                <c:pt idx="551">
                  <c:v>7.3860711070805069E-3</c:v>
                </c:pt>
                <c:pt idx="552">
                  <c:v>7.3691836733158871E-3</c:v>
                </c:pt>
                <c:pt idx="553">
                  <c:v>7.3504319863505595E-3</c:v>
                </c:pt>
                <c:pt idx="554">
                  <c:v>7.3334939267893319E-3</c:v>
                </c:pt>
                <c:pt idx="555">
                  <c:v>7.3168603622885565E-3</c:v>
                </c:pt>
                <c:pt idx="556">
                  <c:v>7.3019015198059929E-3</c:v>
                </c:pt>
                <c:pt idx="557">
                  <c:v>7.2875988971825159E-3</c:v>
                </c:pt>
                <c:pt idx="558">
                  <c:v>7.2681778361542134E-3</c:v>
                </c:pt>
                <c:pt idx="559">
                  <c:v>7.2494123138009334E-3</c:v>
                </c:pt>
                <c:pt idx="560">
                  <c:v>7.2320194640953855E-3</c:v>
                </c:pt>
                <c:pt idx="561">
                  <c:v>7.2127546006337719E-3</c:v>
                </c:pt>
                <c:pt idx="562">
                  <c:v>7.195316131410682E-3</c:v>
                </c:pt>
                <c:pt idx="563">
                  <c:v>7.1781869944642449E-3</c:v>
                </c:pt>
                <c:pt idx="564">
                  <c:v>7.160245842234637E-3</c:v>
                </c:pt>
                <c:pt idx="565">
                  <c:v>7.1453265887552863E-3</c:v>
                </c:pt>
                <c:pt idx="566">
                  <c:v>7.1303298429903272E-3</c:v>
                </c:pt>
                <c:pt idx="567">
                  <c:v>7.1101589331846893E-3</c:v>
                </c:pt>
                <c:pt idx="568">
                  <c:v>7.0908582608718053E-3</c:v>
                </c:pt>
                <c:pt idx="569">
                  <c:v>7.0729534115563999E-3</c:v>
                </c:pt>
                <c:pt idx="570">
                  <c:v>7.053160833692779E-3</c:v>
                </c:pt>
                <c:pt idx="571">
                  <c:v>7.0351860655260209E-3</c:v>
                </c:pt>
                <c:pt idx="572">
                  <c:v>7.0175072571248658E-3</c:v>
                </c:pt>
                <c:pt idx="573">
                  <c:v>7.00154758711234E-3</c:v>
                </c:pt>
                <c:pt idx="574">
                  <c:v>6.9862449560170042E-3</c:v>
                </c:pt>
                <c:pt idx="575">
                  <c:v>6.9657713320719133E-3</c:v>
                </c:pt>
                <c:pt idx="576">
                  <c:v>6.9459690026319413E-3</c:v>
                </c:pt>
                <c:pt idx="577">
                  <c:v>6.9275601621129257E-3</c:v>
                </c:pt>
                <c:pt idx="578">
                  <c:v>6.9072637703160109E-3</c:v>
                </c:pt>
                <c:pt idx="579">
                  <c:v>6.8888187007470963E-3</c:v>
                </c:pt>
                <c:pt idx="580">
                  <c:v>6.8706910243857668E-3</c:v>
                </c:pt>
                <c:pt idx="581">
                  <c:v>6.854271922340509E-3</c:v>
                </c:pt>
                <c:pt idx="582">
                  <c:v>6.8385270594780515E-3</c:v>
                </c:pt>
                <c:pt idx="583">
                  <c:v>6.8175892385085417E-3</c:v>
                </c:pt>
                <c:pt idx="584">
                  <c:v>6.7973247161966562E-3</c:v>
                </c:pt>
                <c:pt idx="585">
                  <c:v>6.7784628960019608E-3</c:v>
                </c:pt>
                <c:pt idx="586">
                  <c:v>6.7577072560104047E-3</c:v>
                </c:pt>
                <c:pt idx="587">
                  <c:v>6.7388136828721535E-3</c:v>
                </c:pt>
                <c:pt idx="588">
                  <c:v>6.7202414012744426E-3</c:v>
                </c:pt>
                <c:pt idx="589">
                  <c:v>6.700851984857651E-3</c:v>
                </c:pt>
                <c:pt idx="590">
                  <c:v>6.6845379293335415E-3</c:v>
                </c:pt>
                <c:pt idx="591">
                  <c:v>6.6681524235291285E-3</c:v>
                </c:pt>
                <c:pt idx="592">
                  <c:v>6.6465219287775877E-3</c:v>
                </c:pt>
                <c:pt idx="593">
                  <c:v>6.6257816720169671E-3</c:v>
                </c:pt>
                <c:pt idx="594">
                  <c:v>6.6064660744255587E-3</c:v>
                </c:pt>
                <c:pt idx="595">
                  <c:v>6.5852423833958817E-3</c:v>
                </c:pt>
                <c:pt idx="596">
                  <c:v>6.5658700966623983E-3</c:v>
                </c:pt>
                <c:pt idx="597">
                  <c:v>6.5468051429769403E-3</c:v>
                </c:pt>
                <c:pt idx="598">
                  <c:v>6.529490596410178E-3</c:v>
                </c:pt>
                <c:pt idx="599">
                  <c:v>6.5128495930699155E-3</c:v>
                </c:pt>
                <c:pt idx="600">
                  <c:v>6.4909712694184918E-3</c:v>
                </c:pt>
                <c:pt idx="601">
                  <c:v>6.4697806608693632E-3</c:v>
                </c:pt>
                <c:pt idx="602">
                  <c:v>6.4500106687128004E-3</c:v>
                </c:pt>
                <c:pt idx="603">
                  <c:v>6.4283338749019916E-3</c:v>
                </c:pt>
                <c:pt idx="604">
                  <c:v>6.4085410147157133E-3</c:v>
                </c:pt>
                <c:pt idx="605">
                  <c:v>6.3890771081402771E-3</c:v>
                </c:pt>
                <c:pt idx="606">
                  <c:v>6.3713513966437716E-3</c:v>
                </c:pt>
                <c:pt idx="607">
                  <c:v>6.3543158508642074E-3</c:v>
                </c:pt>
                <c:pt idx="608">
                  <c:v>6.3320244549718756E-3</c:v>
                </c:pt>
                <c:pt idx="609">
                  <c:v>6.3104221168505401E-3</c:v>
                </c:pt>
                <c:pt idx="610">
                  <c:v>6.2902484166590727E-3</c:v>
                </c:pt>
                <c:pt idx="611">
                  <c:v>6.2681624784852313E-3</c:v>
                </c:pt>
                <c:pt idx="612">
                  <c:v>6.250548612199959E-3</c:v>
                </c:pt>
                <c:pt idx="613">
                  <c:v>6.2346618828620906E-3</c:v>
                </c:pt>
                <c:pt idx="614">
                  <c:v>6.2163590917616385E-3</c:v>
                </c:pt>
                <c:pt idx="615">
                  <c:v>6.1947672635442172E-3</c:v>
                </c:pt>
                <c:pt idx="616">
                  <c:v>6.168591690573203E-3</c:v>
                </c:pt>
                <c:pt idx="617">
                  <c:v>6.1475478743508718E-3</c:v>
                </c:pt>
                <c:pt idx="618">
                  <c:v>6.1309319795554177E-3</c:v>
                </c:pt>
                <c:pt idx="619">
                  <c:v>6.108084779926728E-3</c:v>
                </c:pt>
                <c:pt idx="620">
                  <c:v>6.0836551330436181E-3</c:v>
                </c:pt>
                <c:pt idx="621">
                  <c:v>6.0636860288344483E-3</c:v>
                </c:pt>
                <c:pt idx="622">
                  <c:v>6.0433842253307564E-3</c:v>
                </c:pt>
                <c:pt idx="623">
                  <c:v>6.0246517838174647E-3</c:v>
                </c:pt>
                <c:pt idx="624">
                  <c:v>6.0069141885622252E-3</c:v>
                </c:pt>
                <c:pt idx="625">
                  <c:v>5.9838149432701274E-3</c:v>
                </c:pt>
                <c:pt idx="626">
                  <c:v>5.9614308836037607E-3</c:v>
                </c:pt>
                <c:pt idx="627">
                  <c:v>5.9404306367869314E-3</c:v>
                </c:pt>
                <c:pt idx="628">
                  <c:v>5.9175105079745582E-3</c:v>
                </c:pt>
                <c:pt idx="629">
                  <c:v>5.8965238585422346E-3</c:v>
                </c:pt>
                <c:pt idx="630">
                  <c:v>5.8758731649460431E-3</c:v>
                </c:pt>
                <c:pt idx="631">
                  <c:v>5.8569835705689563E-3</c:v>
                </c:pt>
                <c:pt idx="632">
                  <c:v>5.838801407829811E-3</c:v>
                </c:pt>
                <c:pt idx="633">
                  <c:v>5.815309906572072E-3</c:v>
                </c:pt>
                <c:pt idx="634">
                  <c:v>5.7925211408970797E-3</c:v>
                </c:pt>
                <c:pt idx="635">
                  <c:v>5.7711830998734533E-3</c:v>
                </c:pt>
                <c:pt idx="636">
                  <c:v>5.7479181106122098E-3</c:v>
                </c:pt>
                <c:pt idx="637">
                  <c:v>5.7265740407144959E-3</c:v>
                </c:pt>
                <c:pt idx="638">
                  <c:v>5.7055727319102051E-3</c:v>
                </c:pt>
                <c:pt idx="639">
                  <c:v>5.6863424380419435E-3</c:v>
                </c:pt>
                <c:pt idx="640">
                  <c:v>5.6678209660795233E-3</c:v>
                </c:pt>
                <c:pt idx="641">
                  <c:v>5.6439756455937259E-3</c:v>
                </c:pt>
                <c:pt idx="642">
                  <c:v>5.6209423436742569E-3</c:v>
                </c:pt>
                <c:pt idx="643">
                  <c:v>5.6015370286272275E-3</c:v>
                </c:pt>
                <c:pt idx="644">
                  <c:v>5.5783352580094803E-3</c:v>
                </c:pt>
                <c:pt idx="645">
                  <c:v>5.5534206240875905E-3</c:v>
                </c:pt>
                <c:pt idx="646">
                  <c:v>5.5321566398924618E-3</c:v>
                </c:pt>
                <c:pt idx="647">
                  <c:v>5.5107478346955955E-3</c:v>
                </c:pt>
                <c:pt idx="648">
                  <c:v>5.4910253923461409E-3</c:v>
                </c:pt>
                <c:pt idx="649">
                  <c:v>5.472199430246372E-3</c:v>
                </c:pt>
                <c:pt idx="650">
                  <c:v>5.447985516265505E-3</c:v>
                </c:pt>
                <c:pt idx="651">
                  <c:v>5.4244997369390681E-3</c:v>
                </c:pt>
                <c:pt idx="652">
                  <c:v>5.4064551927239437E-3</c:v>
                </c:pt>
                <c:pt idx="653">
                  <c:v>5.3854437466130459E-3</c:v>
                </c:pt>
                <c:pt idx="654">
                  <c:v>5.3587437814383351E-3</c:v>
                </c:pt>
                <c:pt idx="655">
                  <c:v>5.3353578224059114E-3</c:v>
                </c:pt>
                <c:pt idx="656">
                  <c:v>5.3173070999489105E-3</c:v>
                </c:pt>
                <c:pt idx="657">
                  <c:v>5.2965252910677956E-3</c:v>
                </c:pt>
                <c:pt idx="658">
                  <c:v>5.2702810778986024E-3</c:v>
                </c:pt>
                <c:pt idx="659">
                  <c:v>5.2465734054836545E-3</c:v>
                </c:pt>
                <c:pt idx="660">
                  <c:v>5.2245663761255204E-3</c:v>
                </c:pt>
                <c:pt idx="661">
                  <c:v>5.2005521257088355E-3</c:v>
                </c:pt>
                <c:pt idx="662">
                  <c:v>5.1782409623998245E-3</c:v>
                </c:pt>
                <c:pt idx="663">
                  <c:v>5.1561273337548605E-3</c:v>
                </c:pt>
                <c:pt idx="664">
                  <c:v>5.1359987951291675E-3</c:v>
                </c:pt>
                <c:pt idx="665">
                  <c:v>5.1164825885244535E-3</c:v>
                </c:pt>
                <c:pt idx="666">
                  <c:v>5.0915973849624731E-3</c:v>
                </c:pt>
                <c:pt idx="667">
                  <c:v>5.0675747486172923E-3</c:v>
                </c:pt>
                <c:pt idx="668">
                  <c:v>5.0472183602522699E-3</c:v>
                </c:pt>
                <c:pt idx="669">
                  <c:v>5.0230194831646403E-3</c:v>
                </c:pt>
                <c:pt idx="670">
                  <c:v>4.9970993699762316E-3</c:v>
                </c:pt>
                <c:pt idx="671">
                  <c:v>4.9748740865216464E-3</c:v>
                </c:pt>
                <c:pt idx="672">
                  <c:v>4.9525078705490297E-3</c:v>
                </c:pt>
                <c:pt idx="673">
                  <c:v>4.9318461910419671E-3</c:v>
                </c:pt>
                <c:pt idx="674">
                  <c:v>4.9120952604994753E-3</c:v>
                </c:pt>
                <c:pt idx="675">
                  <c:v>4.8869165822564955E-3</c:v>
                </c:pt>
                <c:pt idx="676">
                  <c:v>4.8624772658674414E-3</c:v>
                </c:pt>
                <c:pt idx="677">
                  <c:v>4.839478851972283E-3</c:v>
                </c:pt>
                <c:pt idx="678">
                  <c:v>4.8145365768212439E-3</c:v>
                </c:pt>
                <c:pt idx="679">
                  <c:v>4.7915669859650185E-3</c:v>
                </c:pt>
                <c:pt idx="680">
                  <c:v>4.7689513522151212E-3</c:v>
                </c:pt>
                <c:pt idx="681">
                  <c:v>4.7481396156296412E-3</c:v>
                </c:pt>
                <c:pt idx="682">
                  <c:v>4.7280583576228864E-3</c:v>
                </c:pt>
                <c:pt idx="683">
                  <c:v>4.702586457474984E-3</c:v>
                </c:pt>
                <c:pt idx="684">
                  <c:v>4.6778399557639381E-3</c:v>
                </c:pt>
                <c:pt idx="685">
                  <c:v>4.654581374540943E-3</c:v>
                </c:pt>
                <c:pt idx="686">
                  <c:v>4.6293743262854339E-3</c:v>
                </c:pt>
                <c:pt idx="687">
                  <c:v>4.6061318423043967E-3</c:v>
                </c:pt>
                <c:pt idx="688">
                  <c:v>4.5832492425340737E-3</c:v>
                </c:pt>
                <c:pt idx="689">
                  <c:v>4.5621777243496885E-3</c:v>
                </c:pt>
                <c:pt idx="690">
                  <c:v>4.5418380274130929E-3</c:v>
                </c:pt>
                <c:pt idx="691">
                  <c:v>4.516097506712973E-3</c:v>
                </c:pt>
                <c:pt idx="692">
                  <c:v>4.4911926309337616E-3</c:v>
                </c:pt>
                <c:pt idx="693">
                  <c:v>4.4699856937046841E-3</c:v>
                </c:pt>
                <c:pt idx="694">
                  <c:v>4.4449323809124903E-3</c:v>
                </c:pt>
                <c:pt idx="695">
                  <c:v>4.4181498695719341E-3</c:v>
                </c:pt>
                <c:pt idx="696">
                  <c:v>4.3950871635558483E-3</c:v>
                </c:pt>
                <c:pt idx="697">
                  <c:v>4.3718883786507314E-3</c:v>
                </c:pt>
                <c:pt idx="698">
                  <c:v>4.3504126600106708E-3</c:v>
                </c:pt>
                <c:pt idx="699">
                  <c:v>4.3298582576908398E-3</c:v>
                </c:pt>
                <c:pt idx="700">
                  <c:v>4.3038429217804033E-3</c:v>
                </c:pt>
                <c:pt idx="701">
                  <c:v>4.2785770850288004E-3</c:v>
                </c:pt>
                <c:pt idx="702">
                  <c:v>4.2547678901862802E-3</c:v>
                </c:pt>
                <c:pt idx="703">
                  <c:v>4.2290064120491912E-3</c:v>
                </c:pt>
                <c:pt idx="704">
                  <c:v>4.2052358443488373E-3</c:v>
                </c:pt>
                <c:pt idx="705">
                  <c:v>4.1818272306692874E-3</c:v>
                </c:pt>
                <c:pt idx="706">
                  <c:v>4.160239817825458E-3</c:v>
                </c:pt>
                <c:pt idx="707">
                  <c:v>4.1393924775635959E-3</c:v>
                </c:pt>
                <c:pt idx="708">
                  <c:v>4.11312344802025E-3</c:v>
                </c:pt>
                <c:pt idx="709">
                  <c:v>4.0875896636897065E-3</c:v>
                </c:pt>
                <c:pt idx="710">
                  <c:v>4.063558807196976E-3</c:v>
                </c:pt>
                <c:pt idx="711">
                  <c:v>4.037571394837158E-3</c:v>
                </c:pt>
                <c:pt idx="712">
                  <c:v>4.0135661901933043E-3</c:v>
                </c:pt>
                <c:pt idx="713">
                  <c:v>3.9899287238756177E-3</c:v>
                </c:pt>
                <c:pt idx="714">
                  <c:v>3.9681189189587525E-3</c:v>
                </c:pt>
                <c:pt idx="715">
                  <c:v>3.9470503979770694E-3</c:v>
                </c:pt>
                <c:pt idx="716">
                  <c:v>3.9205516327203106E-3</c:v>
                </c:pt>
                <c:pt idx="717">
                  <c:v>3.8948984773455831E-3</c:v>
                </c:pt>
                <c:pt idx="718">
                  <c:v>3.8729715057864863E-3</c:v>
                </c:pt>
                <c:pt idx="719">
                  <c:v>3.8471792923746805E-3</c:v>
                </c:pt>
                <c:pt idx="720">
                  <c:v>3.8196514953568114E-3</c:v>
                </c:pt>
                <c:pt idx="721">
                  <c:v>3.7958715470355398E-3</c:v>
                </c:pt>
                <c:pt idx="722">
                  <c:v>3.7719600845685058E-3</c:v>
                </c:pt>
                <c:pt idx="723">
                  <c:v>3.7497862262758667E-3</c:v>
                </c:pt>
                <c:pt idx="724">
                  <c:v>3.7285442024136877E-3</c:v>
                </c:pt>
                <c:pt idx="725">
                  <c:v>3.70181362835276E-3</c:v>
                </c:pt>
                <c:pt idx="726">
                  <c:v>3.6758415286425191E-3</c:v>
                </c:pt>
                <c:pt idx="727">
                  <c:v>3.651339372773104E-3</c:v>
                </c:pt>
                <c:pt idx="728">
                  <c:v>3.6248781775946376E-3</c:v>
                </c:pt>
                <c:pt idx="729">
                  <c:v>3.6004248748085417E-3</c:v>
                </c:pt>
                <c:pt idx="730">
                  <c:v>3.5763403674116683E-3</c:v>
                </c:pt>
                <c:pt idx="731">
                  <c:v>3.5540916463607688E-3</c:v>
                </c:pt>
                <c:pt idx="732">
                  <c:v>3.5325924655050423E-3</c:v>
                </c:pt>
                <c:pt idx="733">
                  <c:v>3.5056456201611711E-3</c:v>
                </c:pt>
                <c:pt idx="734">
                  <c:v>3.4794424026769392E-3</c:v>
                </c:pt>
                <c:pt idx="735">
                  <c:v>3.4547554428666105E-3</c:v>
                </c:pt>
                <c:pt idx="736">
                  <c:v>3.4281057571533624E-3</c:v>
                </c:pt>
                <c:pt idx="737">
                  <c:v>3.403453962764418E-3</c:v>
                </c:pt>
                <c:pt idx="738">
                  <c:v>3.3791766200402811E-3</c:v>
                </c:pt>
                <c:pt idx="739">
                  <c:v>3.3567412927862244E-3</c:v>
                </c:pt>
                <c:pt idx="740">
                  <c:v>3.3350561622877439E-3</c:v>
                </c:pt>
                <c:pt idx="741">
                  <c:v>3.307916266592454E-3</c:v>
                </c:pt>
                <c:pt idx="742">
                  <c:v>3.2816307458715939E-3</c:v>
                </c:pt>
                <c:pt idx="743">
                  <c:v>3.2590956853197641E-3</c:v>
                </c:pt>
                <c:pt idx="744">
                  <c:v>3.2326799799878526E-3</c:v>
                </c:pt>
                <c:pt idx="745">
                  <c:v>3.2045243347658472E-3</c:v>
                </c:pt>
                <c:pt idx="746">
                  <c:v>3.180140396035903E-3</c:v>
                </c:pt>
                <c:pt idx="747">
                  <c:v>3.1556290335369346E-3</c:v>
                </c:pt>
                <c:pt idx="748">
                  <c:v>3.1328688824441247E-3</c:v>
                </c:pt>
                <c:pt idx="749">
                  <c:v>3.1110498561231596E-3</c:v>
                </c:pt>
                <c:pt idx="750">
                  <c:v>3.0837188748351571E-3</c:v>
                </c:pt>
                <c:pt idx="751">
                  <c:v>3.0571543828716761E-3</c:v>
                </c:pt>
                <c:pt idx="752">
                  <c:v>3.0320719318899609E-3</c:v>
                </c:pt>
                <c:pt idx="753">
                  <c:v>3.0050255305193894E-3</c:v>
                </c:pt>
                <c:pt idx="754">
                  <c:v>2.980001278770301E-3</c:v>
                </c:pt>
                <c:pt idx="755">
                  <c:v>2.9553521959781305E-3</c:v>
                </c:pt>
                <c:pt idx="756">
                  <c:v>2.9325523984330597E-3</c:v>
                </c:pt>
                <c:pt idx="757">
                  <c:v>2.9105102381241981E-3</c:v>
                </c:pt>
                <c:pt idx="758">
                  <c:v>2.8829986680177725E-3</c:v>
                </c:pt>
                <c:pt idx="759">
                  <c:v>2.8562384485734341E-3</c:v>
                </c:pt>
                <c:pt idx="760">
                  <c:v>2.8310061194255888E-3</c:v>
                </c:pt>
                <c:pt idx="761">
                  <c:v>2.8038066752651236E-3</c:v>
                </c:pt>
                <c:pt idx="762">
                  <c:v>2.7786192335712855E-3</c:v>
                </c:pt>
                <c:pt idx="763">
                  <c:v>2.7538121542341749E-3</c:v>
                </c:pt>
                <c:pt idx="764">
                  <c:v>2.7308596520269732E-3</c:v>
                </c:pt>
                <c:pt idx="765">
                  <c:v>2.7086654846514733E-3</c:v>
                </c:pt>
                <c:pt idx="766">
                  <c:v>2.6809962840331188E-3</c:v>
                </c:pt>
                <c:pt idx="767">
                  <c:v>2.6541893601033E-3</c:v>
                </c:pt>
                <c:pt idx="768">
                  <c:v>2.631153873475232E-3</c:v>
                </c:pt>
                <c:pt idx="769">
                  <c:v>2.6042252706871081E-3</c:v>
                </c:pt>
                <c:pt idx="770">
                  <c:v>2.5776639482730634E-3</c:v>
                </c:pt>
                <c:pt idx="771">
                  <c:v>2.5559083113012335E-3</c:v>
                </c:pt>
                <c:pt idx="772">
                  <c:v>2.5324163126982956E-3</c:v>
                </c:pt>
                <c:pt idx="773">
                  <c:v>2.5095665574059573E-3</c:v>
                </c:pt>
                <c:pt idx="774">
                  <c:v>2.4828038889876895E-3</c:v>
                </c:pt>
                <c:pt idx="775">
                  <c:v>2.4501380880401469E-3</c:v>
                </c:pt>
                <c:pt idx="776">
                  <c:v>2.4234894216387933E-3</c:v>
                </c:pt>
                <c:pt idx="777">
                  <c:v>2.3989400622976853E-3</c:v>
                </c:pt>
                <c:pt idx="778">
                  <c:v>2.3722289011116472E-3</c:v>
                </c:pt>
                <c:pt idx="779">
                  <c:v>2.3468808234950187E-3</c:v>
                </c:pt>
                <c:pt idx="780">
                  <c:v>2.3214675756072782E-3</c:v>
                </c:pt>
                <c:pt idx="781">
                  <c:v>2.298465027017037E-3</c:v>
                </c:pt>
                <c:pt idx="782">
                  <c:v>2.2759191561847474E-3</c:v>
                </c:pt>
                <c:pt idx="783">
                  <c:v>2.247876176876495E-3</c:v>
                </c:pt>
                <c:pt idx="784">
                  <c:v>2.2206760958500332E-3</c:v>
                </c:pt>
                <c:pt idx="785">
                  <c:v>2.1950204225623564E-3</c:v>
                </c:pt>
                <c:pt idx="786">
                  <c:v>2.1673912606919206E-3</c:v>
                </c:pt>
                <c:pt idx="787">
                  <c:v>2.1417769688182671E-3</c:v>
                </c:pt>
                <c:pt idx="788">
                  <c:v>2.1165416949936251E-3</c:v>
                </c:pt>
                <c:pt idx="789">
                  <c:v>2.0931811186185451E-3</c:v>
                </c:pt>
                <c:pt idx="790">
                  <c:v>2.0705812456219236E-3</c:v>
                </c:pt>
                <c:pt idx="791">
                  <c:v>2.0424893557815615E-3</c:v>
                </c:pt>
                <c:pt idx="792">
                  <c:v>2.0151594791585439E-3</c:v>
                </c:pt>
                <c:pt idx="793">
                  <c:v>1.9893713249377297E-3</c:v>
                </c:pt>
                <c:pt idx="794">
                  <c:v>1.9616115369183616E-3</c:v>
                </c:pt>
                <c:pt idx="795">
                  <c:v>1.9358792773997505E-3</c:v>
                </c:pt>
                <c:pt idx="796">
                  <c:v>1.9105353656644244E-3</c:v>
                </c:pt>
                <c:pt idx="797">
                  <c:v>1.8843660923981722E-3</c:v>
                </c:pt>
                <c:pt idx="798">
                  <c:v>1.8615083533213249E-3</c:v>
                </c:pt>
                <c:pt idx="799">
                  <c:v>1.8386200660882087E-3</c:v>
                </c:pt>
                <c:pt idx="800">
                  <c:v>1.81020498888776E-3</c:v>
                </c:pt>
                <c:pt idx="801">
                  <c:v>1.7829484468765901E-3</c:v>
                </c:pt>
                <c:pt idx="802">
                  <c:v>1.7590476781508832E-3</c:v>
                </c:pt>
                <c:pt idx="803">
                  <c:v>1.7343221486478546E-3</c:v>
                </c:pt>
                <c:pt idx="804">
                  <c:v>1.7115482951203834E-3</c:v>
                </c:pt>
                <c:pt idx="805">
                  <c:v>1.6852700129860465E-3</c:v>
                </c:pt>
                <c:pt idx="806">
                  <c:v>1.6532585574147805E-3</c:v>
                </c:pt>
                <c:pt idx="807">
                  <c:v>1.6273012172030572E-3</c:v>
                </c:pt>
                <c:pt idx="808">
                  <c:v>1.6044028681685947E-3</c:v>
                </c:pt>
                <c:pt idx="809">
                  <c:v>1.5769234318125111E-3</c:v>
                </c:pt>
                <c:pt idx="810">
                  <c:v>1.5501819768894863E-3</c:v>
                </c:pt>
                <c:pt idx="811">
                  <c:v>1.5259445202624694E-3</c:v>
                </c:pt>
                <c:pt idx="812">
                  <c:v>1.5031948905637191E-3</c:v>
                </c:pt>
                <c:pt idx="813">
                  <c:v>1.4772181407584366E-3</c:v>
                </c:pt>
                <c:pt idx="814">
                  <c:v>1.4458265824336147E-3</c:v>
                </c:pt>
                <c:pt idx="815">
                  <c:v>1.4193399504287515E-3</c:v>
                </c:pt>
                <c:pt idx="816">
                  <c:v>1.3962192027545575E-3</c:v>
                </c:pt>
                <c:pt idx="817">
                  <c:v>1.3689414472487435E-3</c:v>
                </c:pt>
                <c:pt idx="818">
                  <c:v>1.3420387178985824E-3</c:v>
                </c:pt>
                <c:pt idx="819">
                  <c:v>1.3170076165738293E-3</c:v>
                </c:pt>
                <c:pt idx="820">
                  <c:v>1.2919819909693775E-3</c:v>
                </c:pt>
                <c:pt idx="821">
                  <c:v>1.2691383975042773E-3</c:v>
                </c:pt>
                <c:pt idx="822">
                  <c:v>1.2428847265692643E-3</c:v>
                </c:pt>
                <c:pt idx="823">
                  <c:v>1.2109460229097631E-3</c:v>
                </c:pt>
                <c:pt idx="824">
                  <c:v>1.1846859406555881E-3</c:v>
                </c:pt>
                <c:pt idx="825">
                  <c:v>1.1615516136531444E-3</c:v>
                </c:pt>
                <c:pt idx="826">
                  <c:v>1.1339965627764682E-3</c:v>
                </c:pt>
                <c:pt idx="827">
                  <c:v>1.1070715497363175E-3</c:v>
                </c:pt>
                <c:pt idx="828">
                  <c:v>1.082623350072453E-3</c:v>
                </c:pt>
                <c:pt idx="829">
                  <c:v>1.0597297364866162E-3</c:v>
                </c:pt>
                <c:pt idx="830">
                  <c:v>1.0336077996473264E-3</c:v>
                </c:pt>
                <c:pt idx="831">
                  <c:v>1.0020569989524603E-3</c:v>
                </c:pt>
                <c:pt idx="832">
                  <c:v>9.7541768854834748E-4</c:v>
                </c:pt>
                <c:pt idx="833">
                  <c:v>9.5214689528606172E-4</c:v>
                </c:pt>
                <c:pt idx="834">
                  <c:v>9.2472044998991325E-4</c:v>
                </c:pt>
                <c:pt idx="835">
                  <c:v>8.9767278473878076E-4</c:v>
                </c:pt>
                <c:pt idx="836">
                  <c:v>8.7307319681954702E-4</c:v>
                </c:pt>
                <c:pt idx="837">
                  <c:v>8.5014776135053751E-4</c:v>
                </c:pt>
                <c:pt idx="838">
                  <c:v>8.2400003642481702E-4</c:v>
                </c:pt>
                <c:pt idx="839">
                  <c:v>7.9240955480780332E-4</c:v>
                </c:pt>
                <c:pt idx="840">
                  <c:v>7.6571267547085198E-4</c:v>
                </c:pt>
                <c:pt idx="841">
                  <c:v>7.4237970257338872E-4</c:v>
                </c:pt>
                <c:pt idx="842">
                  <c:v>7.1490511163914893E-4</c:v>
                </c:pt>
                <c:pt idx="843">
                  <c:v>6.8780719975494958E-4</c:v>
                </c:pt>
                <c:pt idx="844">
                  <c:v>6.6258039393003699E-4</c:v>
                </c:pt>
                <c:pt idx="845">
                  <c:v>6.3736750556130973E-4</c:v>
                </c:pt>
                <c:pt idx="846">
                  <c:v>6.1434762211239405E-4</c:v>
                </c:pt>
                <c:pt idx="847">
                  <c:v>5.8791511537816237E-4</c:v>
                </c:pt>
                <c:pt idx="848">
                  <c:v>5.5578873039624716E-4</c:v>
                </c:pt>
                <c:pt idx="849">
                  <c:v>5.2935515182498966E-4</c:v>
                </c:pt>
                <c:pt idx="850">
                  <c:v>5.060592418119601E-4</c:v>
                </c:pt>
                <c:pt idx="851">
                  <c:v>4.783383780285982E-4</c:v>
                </c:pt>
                <c:pt idx="852">
                  <c:v>4.5125210040966758E-4</c:v>
                </c:pt>
                <c:pt idx="853">
                  <c:v>4.2665170491921778E-4</c:v>
                </c:pt>
                <c:pt idx="854">
                  <c:v>4.0361401224495196E-4</c:v>
                </c:pt>
                <c:pt idx="855">
                  <c:v>3.7734554570247714E-4</c:v>
                </c:pt>
                <c:pt idx="856">
                  <c:v>3.456407666172755E-4</c:v>
                </c:pt>
                <c:pt idx="857">
                  <c:v>3.1886160209763925E-4</c:v>
                </c:pt>
                <c:pt idx="858">
                  <c:v>2.9546224921503329E-4</c:v>
                </c:pt>
                <c:pt idx="859">
                  <c:v>2.6790331642025518E-4</c:v>
                </c:pt>
                <c:pt idx="860">
                  <c:v>2.4072790732505828E-4</c:v>
                </c:pt>
                <c:pt idx="861">
                  <c:v>2.1600935050245673E-4</c:v>
                </c:pt>
                <c:pt idx="862">
                  <c:v>1.9297245226867067E-4</c:v>
                </c:pt>
                <c:pt idx="863">
                  <c:v>1.6671155751922347E-4</c:v>
                </c:pt>
                <c:pt idx="864">
                  <c:v>1.3500185750561064E-4</c:v>
                </c:pt>
                <c:pt idx="865">
                  <c:v>1.0819871536911247E-4</c:v>
                </c:pt>
                <c:pt idx="866">
                  <c:v>8.4769953465779529E-5</c:v>
                </c:pt>
                <c:pt idx="867">
                  <c:v>5.7196719124489394E-5</c:v>
                </c:pt>
                <c:pt idx="868">
                  <c:v>3.0004918978129785E-5</c:v>
                </c:pt>
                <c:pt idx="869">
                  <c:v>5.2668573622150232E-6</c:v>
                </c:pt>
                <c:pt idx="870">
                  <c:v>-1.7783318182554268E-5</c:v>
                </c:pt>
                <c:pt idx="871">
                  <c:v>-4.4057834938104524E-5</c:v>
                </c:pt>
                <c:pt idx="872">
                  <c:v>-7.5783105300504796E-5</c:v>
                </c:pt>
                <c:pt idx="873">
                  <c:v>-1.0259722514136935E-4</c:v>
                </c:pt>
                <c:pt idx="874">
                  <c:v>-1.2603477183564389E-4</c:v>
                </c:pt>
                <c:pt idx="875">
                  <c:v>-1.5361735889217606E-4</c:v>
                </c:pt>
                <c:pt idx="876">
                  <c:v>-1.8081653057979032E-4</c:v>
                </c:pt>
                <c:pt idx="877">
                  <c:v>-2.0613546672359107E-4</c:v>
                </c:pt>
                <c:pt idx="878">
                  <c:v>-2.3143499491800354E-4</c:v>
                </c:pt>
                <c:pt idx="879">
                  <c:v>-2.5453126106343037E-4</c:v>
                </c:pt>
                <c:pt idx="880">
                  <c:v>-2.8104111071450315E-4</c:v>
                </c:pt>
                <c:pt idx="881">
                  <c:v>-3.132506376907413E-4</c:v>
                </c:pt>
                <c:pt idx="882">
                  <c:v>-3.3975111164859473E-4</c:v>
                </c:pt>
                <c:pt idx="883">
                  <c:v>-3.6310194465413948E-4</c:v>
                </c:pt>
                <c:pt idx="884">
                  <c:v>-3.9087996373817445E-4</c:v>
                </c:pt>
                <c:pt idx="885">
                  <c:v>-4.1801695414912321E-4</c:v>
                </c:pt>
                <c:pt idx="886">
                  <c:v>-4.4265832891045011E-4</c:v>
                </c:pt>
                <c:pt idx="887">
                  <c:v>-4.6572848689817087E-4</c:v>
                </c:pt>
                <c:pt idx="888">
                  <c:v>-4.9202881635865357E-4</c:v>
                </c:pt>
                <c:pt idx="889">
                  <c:v>-5.2376899394512919E-4</c:v>
                </c:pt>
                <c:pt idx="890">
                  <c:v>-5.5057035680181261E-4</c:v>
                </c:pt>
                <c:pt idx="891">
                  <c:v>-5.7398050683518632E-4</c:v>
                </c:pt>
                <c:pt idx="892">
                  <c:v>-6.0155063235870702E-4</c:v>
                </c:pt>
                <c:pt idx="893">
                  <c:v>-6.2873126603926277E-4</c:v>
                </c:pt>
                <c:pt idx="894">
                  <c:v>-6.5344593601770757E-4</c:v>
                </c:pt>
                <c:pt idx="895">
                  <c:v>-6.7647082082234659E-4</c:v>
                </c:pt>
                <c:pt idx="896">
                  <c:v>-7.0271828232923569E-4</c:v>
                </c:pt>
                <c:pt idx="897">
                  <c:v>-7.3441619050088058E-4</c:v>
                </c:pt>
                <c:pt idx="898">
                  <c:v>-7.6119568001858007E-4</c:v>
                </c:pt>
                <c:pt idx="899">
                  <c:v>-7.8459050098755878E-4</c:v>
                </c:pt>
                <c:pt idx="900">
                  <c:v>-8.1212883253104764E-4</c:v>
                </c:pt>
                <c:pt idx="901">
                  <c:v>-8.3927978635963297E-4</c:v>
                </c:pt>
                <c:pt idx="902">
                  <c:v>-8.6454474660155106E-4</c:v>
                </c:pt>
                <c:pt idx="903">
                  <c:v>-8.8978571281255912E-4</c:v>
                </c:pt>
                <c:pt idx="904">
                  <c:v>-9.1281786739159693E-4</c:v>
                </c:pt>
                <c:pt idx="905">
                  <c:v>-9.3926090044479374E-4</c:v>
                </c:pt>
                <c:pt idx="906">
                  <c:v>-9.7140247332922413E-4</c:v>
                </c:pt>
                <c:pt idx="907">
                  <c:v>-9.9782791710579014E-4</c:v>
                </c:pt>
                <c:pt idx="908">
                  <c:v>-1.0210973693421076E-3</c:v>
                </c:pt>
                <c:pt idx="909">
                  <c:v>-1.0487914109566739E-3</c:v>
                </c:pt>
                <c:pt idx="910">
                  <c:v>-1.0758399133230922E-3</c:v>
                </c:pt>
                <c:pt idx="911">
                  <c:v>-1.1003874917417749E-3</c:v>
                </c:pt>
                <c:pt idx="912">
                  <c:v>-1.1233588930653082E-3</c:v>
                </c:pt>
                <c:pt idx="913">
                  <c:v>-1.1495568531346705E-3</c:v>
                </c:pt>
                <c:pt idx="914">
                  <c:v>-1.1811917855913407E-3</c:v>
                </c:pt>
                <c:pt idx="915">
                  <c:v>-1.2078824046166704E-3</c:v>
                </c:pt>
                <c:pt idx="916">
                  <c:v>-1.2311763055526663E-3</c:v>
                </c:pt>
                <c:pt idx="917">
                  <c:v>-1.2586262458939876E-3</c:v>
                </c:pt>
                <c:pt idx="918">
                  <c:v>-1.2856823315426584E-3</c:v>
                </c:pt>
                <c:pt idx="919">
                  <c:v>-1.3102679133695861E-3</c:v>
                </c:pt>
                <c:pt idx="920">
                  <c:v>-1.3331591058852944E-3</c:v>
                </c:pt>
                <c:pt idx="921">
                  <c:v>-1.3592680329632722E-3</c:v>
                </c:pt>
                <c:pt idx="922">
                  <c:v>-1.3908228436071218E-3</c:v>
                </c:pt>
                <c:pt idx="923">
                  <c:v>-1.4174552765310183E-3</c:v>
                </c:pt>
                <c:pt idx="924">
                  <c:v>-1.440698535255398E-3</c:v>
                </c:pt>
                <c:pt idx="925">
                  <c:v>-1.4680800225184928E-3</c:v>
                </c:pt>
                <c:pt idx="926">
                  <c:v>-1.495069749520401E-3</c:v>
                </c:pt>
                <c:pt idx="927">
                  <c:v>-1.5201693679377255E-3</c:v>
                </c:pt>
                <c:pt idx="928">
                  <c:v>-1.5452404489198017E-3</c:v>
                </c:pt>
                <c:pt idx="929">
                  <c:v>-1.5680989955681275E-3</c:v>
                </c:pt>
                <c:pt idx="930">
                  <c:v>-1.5943623163108141E-3</c:v>
                </c:pt>
                <c:pt idx="931">
                  <c:v>-1.6263173880424727E-3</c:v>
                </c:pt>
                <c:pt idx="932">
                  <c:v>-1.6525544282806777E-3</c:v>
                </c:pt>
                <c:pt idx="933">
                  <c:v>-1.6756319216983504E-3</c:v>
                </c:pt>
                <c:pt idx="934">
                  <c:v>-1.7031269792882227E-3</c:v>
                </c:pt>
                <c:pt idx="935">
                  <c:v>-1.7299724532133852E-3</c:v>
                </c:pt>
                <c:pt idx="936">
                  <c:v>-1.7543138927323821E-3</c:v>
                </c:pt>
                <c:pt idx="937">
                  <c:v>-1.7770755686889116E-3</c:v>
                </c:pt>
                <c:pt idx="938">
                  <c:v>-1.8030567092468545E-3</c:v>
                </c:pt>
                <c:pt idx="939">
                  <c:v>-1.8344661047004255E-3</c:v>
                </c:pt>
                <c:pt idx="940">
                  <c:v>-1.8609305104644734E-3</c:v>
                </c:pt>
                <c:pt idx="941">
                  <c:v>-1.8839960314878479E-3</c:v>
                </c:pt>
                <c:pt idx="942">
                  <c:v>-1.9112091173506872E-3</c:v>
                </c:pt>
                <c:pt idx="943">
                  <c:v>-1.938024084155368E-3</c:v>
                </c:pt>
                <c:pt idx="944">
                  <c:v>-1.9623662130630677E-3</c:v>
                </c:pt>
                <c:pt idx="945">
                  <c:v>-1.9850110342457305E-3</c:v>
                </c:pt>
                <c:pt idx="946">
                  <c:v>-2.0108654748924471E-3</c:v>
                </c:pt>
                <c:pt idx="947">
                  <c:v>-2.0421550068785697E-3</c:v>
                </c:pt>
                <c:pt idx="948">
                  <c:v>-2.0685229654342401E-3</c:v>
                </c:pt>
                <c:pt idx="949">
                  <c:v>-2.0915007124218407E-3</c:v>
                </c:pt>
                <c:pt idx="950">
                  <c:v>-2.1186067049342211E-3</c:v>
                </c:pt>
                <c:pt idx="951">
                  <c:v>-2.1453167581733895E-3</c:v>
                </c:pt>
                <c:pt idx="952">
                  <c:v>-2.1701344229196041E-3</c:v>
                </c:pt>
                <c:pt idx="953">
                  <c:v>-2.1949188722307973E-3</c:v>
                </c:pt>
                <c:pt idx="954">
                  <c:v>-2.2174893165108249E-3</c:v>
                </c:pt>
                <c:pt idx="955">
                  <c:v>-2.2434541021280419E-3</c:v>
                </c:pt>
                <c:pt idx="956">
                  <c:v>-2.2750970216514109E-3</c:v>
                </c:pt>
                <c:pt idx="957">
                  <c:v>-2.3010264498023159E-3</c:v>
                </c:pt>
                <c:pt idx="958">
                  <c:v>-2.3237961965394032E-3</c:v>
                </c:pt>
                <c:pt idx="959">
                  <c:v>-2.3509709753354812E-3</c:v>
                </c:pt>
                <c:pt idx="960">
                  <c:v>-2.3774926102620936E-3</c:v>
                </c:pt>
                <c:pt idx="961">
                  <c:v>-2.4015098644463036E-3</c:v>
                </c:pt>
                <c:pt idx="962">
                  <c:v>-2.4239454297033218E-3</c:v>
                </c:pt>
                <c:pt idx="963">
                  <c:v>-2.449589174914535E-3</c:v>
                </c:pt>
                <c:pt idx="964">
                  <c:v>-2.4806456079531779E-3</c:v>
                </c:pt>
                <c:pt idx="965">
                  <c:v>-2.5067620493758546E-3</c:v>
                </c:pt>
                <c:pt idx="966">
                  <c:v>-2.5294812228386608E-3</c:v>
                </c:pt>
                <c:pt idx="967">
                  <c:v>-2.556334266915334E-3</c:v>
                </c:pt>
                <c:pt idx="968">
                  <c:v>-2.5827851869103528E-3</c:v>
                </c:pt>
                <c:pt idx="969">
                  <c:v>-2.6067637302418377E-3</c:v>
                </c:pt>
                <c:pt idx="970">
                  <c:v>-2.6290440269665519E-3</c:v>
                </c:pt>
                <c:pt idx="971">
                  <c:v>-2.6545210581396571E-3</c:v>
                </c:pt>
                <c:pt idx="972">
                  <c:v>-2.6854149512286008E-3</c:v>
                </c:pt>
                <c:pt idx="973">
                  <c:v>-2.7113944864950021E-3</c:v>
                </c:pt>
                <c:pt idx="974">
                  <c:v>-2.7339868927493956E-3</c:v>
                </c:pt>
                <c:pt idx="975">
                  <c:v>-2.7606917886997665E-3</c:v>
                </c:pt>
                <c:pt idx="976">
                  <c:v>-2.7869967846704024E-3</c:v>
                </c:pt>
                <c:pt idx="977">
                  <c:v>-2.8114092723246593E-3</c:v>
                </c:pt>
                <c:pt idx="978">
                  <c:v>-2.83578359735594E-3</c:v>
                </c:pt>
                <c:pt idx="979">
                  <c:v>-2.8579452468926207E-3</c:v>
                </c:pt>
                <c:pt idx="980">
                  <c:v>-2.8834859398876923E-3</c:v>
                </c:pt>
                <c:pt idx="981">
                  <c:v>-2.9146830067092819E-3</c:v>
                </c:pt>
                <c:pt idx="982">
                  <c:v>-2.9401785184423527E-3</c:v>
                </c:pt>
                <c:pt idx="983">
                  <c:v>-2.9625182405259806E-3</c:v>
                </c:pt>
                <c:pt idx="984">
                  <c:v>-2.9892442120923427E-3</c:v>
                </c:pt>
                <c:pt idx="985">
                  <c:v>-3.0153139851399609E-3</c:v>
                </c:pt>
                <c:pt idx="986">
                  <c:v>-3.0388822400513496E-3</c:v>
                </c:pt>
                <c:pt idx="987">
                  <c:v>-3.0608690030034269E-3</c:v>
                </c:pt>
                <c:pt idx="988">
                  <c:v>-3.0860474169805744E-3</c:v>
                </c:pt>
                <c:pt idx="989">
                  <c:v>-3.1166147496252635E-3</c:v>
                </c:pt>
                <c:pt idx="990">
                  <c:v>-3.1422542288299478E-3</c:v>
                </c:pt>
                <c:pt idx="991">
                  <c:v>-3.1645025625097337E-3</c:v>
                </c:pt>
                <c:pt idx="992">
                  <c:v>-3.19086453486713E-3</c:v>
                </c:pt>
                <c:pt idx="993">
                  <c:v>-3.2168207113243454E-3</c:v>
                </c:pt>
                <c:pt idx="994">
                  <c:v>-3.2403083618497055E-3</c:v>
                </c:pt>
                <c:pt idx="995">
                  <c:v>-3.2620991166422242E-3</c:v>
                </c:pt>
                <c:pt idx="996">
                  <c:v>-3.2870685028491228E-3</c:v>
                </c:pt>
                <c:pt idx="997">
                  <c:v>-3.3174278959729694E-3</c:v>
                </c:pt>
                <c:pt idx="998">
                  <c:v>-3.3428873165322484E-3</c:v>
                </c:pt>
                <c:pt idx="999">
                  <c:v>-3.3649674999470442E-3</c:v>
                </c:pt>
                <c:pt idx="1000">
                  <c:v>-3.3911377416413883E-3</c:v>
                </c:pt>
                <c:pt idx="1001">
                  <c:v>-3.4169043885562745E-3</c:v>
                </c:pt>
                <c:pt idx="1002">
                  <c:v>-3.4407810253723648E-3</c:v>
                </c:pt>
                <c:pt idx="1003">
                  <c:v>-3.4646143160136111E-3</c:v>
                </c:pt>
                <c:pt idx="1004">
                  <c:v>-3.4862395894607896E-3</c:v>
                </c:pt>
                <c:pt idx="1005">
                  <c:v>-3.5112226895911707E-3</c:v>
                </c:pt>
                <c:pt idx="1006">
                  <c:v>-3.5418305648953767E-3</c:v>
                </c:pt>
                <c:pt idx="1007">
                  <c:v>-3.5667579246156924E-3</c:v>
                </c:pt>
                <c:pt idx="1008">
                  <c:v>-3.5885383976572349E-3</c:v>
                </c:pt>
                <c:pt idx="1009">
                  <c:v>-3.6146785557143275E-3</c:v>
                </c:pt>
                <c:pt idx="1010">
                  <c:v>-3.6401601565544694E-3</c:v>
                </c:pt>
                <c:pt idx="1011">
                  <c:v>-3.6631468573967403E-3</c:v>
                </c:pt>
                <c:pt idx="1012">
                  <c:v>-3.6845547992164578E-3</c:v>
                </c:pt>
                <c:pt idx="1013">
                  <c:v>-3.709132362788001E-3</c:v>
                </c:pt>
                <c:pt idx="1014">
                  <c:v>-3.7390649336385751E-3</c:v>
                </c:pt>
                <c:pt idx="1015">
                  <c:v>-3.7640897467483029E-3</c:v>
                </c:pt>
                <c:pt idx="1016">
                  <c:v>-3.7857354622311467E-3</c:v>
                </c:pt>
                <c:pt idx="1017">
                  <c:v>-3.8114669962499505E-3</c:v>
                </c:pt>
                <c:pt idx="1018">
                  <c:v>-3.8367891840146951E-3</c:v>
                </c:pt>
                <c:pt idx="1019">
                  <c:v>-3.8596506802637681E-3</c:v>
                </c:pt>
                <c:pt idx="1020">
                  <c:v>-3.8808195796143159E-3</c:v>
                </c:pt>
                <c:pt idx="1021">
                  <c:v>-3.9051429357942215E-3</c:v>
                </c:pt>
                <c:pt idx="1022">
                  <c:v>-3.9348189586116801E-3</c:v>
                </c:pt>
                <c:pt idx="1023">
                  <c:v>-3.9596179638856765E-3</c:v>
                </c:pt>
                <c:pt idx="1024">
                  <c:v>-3.9810515411395969E-3</c:v>
                </c:pt>
                <c:pt idx="1025">
                  <c:v>-4.0065448008672656E-3</c:v>
                </c:pt>
                <c:pt idx="1026">
                  <c:v>-4.0316311091464887E-3</c:v>
                </c:pt>
                <c:pt idx="1027">
                  <c:v>-4.0548329618339592E-3</c:v>
                </c:pt>
                <c:pt idx="1028">
                  <c:v>-4.0779859466664034E-3</c:v>
                </c:pt>
                <c:pt idx="1029">
                  <c:v>-4.0989395973295749E-3</c:v>
                </c:pt>
                <c:pt idx="1030">
                  <c:v>-4.1232232036479523E-3</c:v>
                </c:pt>
                <c:pt idx="1031">
                  <c:v>-4.153088545906629E-3</c:v>
                </c:pt>
                <c:pt idx="1032">
                  <c:v>-4.1773048120195312E-3</c:v>
                </c:pt>
                <c:pt idx="1033">
                  <c:v>-4.1983888508268325E-3</c:v>
                </c:pt>
                <c:pt idx="1034">
                  <c:v>-4.2237972762717768E-3</c:v>
                </c:pt>
                <c:pt idx="1035">
                  <c:v>-4.2485456114299425E-3</c:v>
                </c:pt>
                <c:pt idx="1036">
                  <c:v>-4.2708100538406063E-3</c:v>
                </c:pt>
                <c:pt idx="1037">
                  <c:v>-4.2915015346637452E-3</c:v>
                </c:pt>
                <c:pt idx="1038">
                  <c:v>-4.3153337009434033E-3</c:v>
                </c:pt>
                <c:pt idx="1039">
                  <c:v>-4.3444755044758331E-3</c:v>
                </c:pt>
                <c:pt idx="1040">
                  <c:v>-4.3687393909768064E-3</c:v>
                </c:pt>
                <c:pt idx="1041">
                  <c:v>-4.389642673542556E-3</c:v>
                </c:pt>
                <c:pt idx="1042">
                  <c:v>-4.4145951418064037E-3</c:v>
                </c:pt>
                <c:pt idx="1043">
                  <c:v>-4.4391351664872965E-3</c:v>
                </c:pt>
                <c:pt idx="1044">
                  <c:v>-4.4612270055056904E-3</c:v>
                </c:pt>
                <c:pt idx="1045">
                  <c:v>-4.4816339540136359E-3</c:v>
                </c:pt>
                <c:pt idx="1046">
                  <c:v>-4.5051640118314142E-3</c:v>
                </c:pt>
                <c:pt idx="1047">
                  <c:v>-4.5339971987385401E-3</c:v>
                </c:pt>
                <c:pt idx="1048">
                  <c:v>-4.5579864834133258E-3</c:v>
                </c:pt>
                <c:pt idx="1049">
                  <c:v>-4.578631143211327E-3</c:v>
                </c:pt>
                <c:pt idx="1050">
                  <c:v>-4.6032958308220295E-3</c:v>
                </c:pt>
                <c:pt idx="1051">
                  <c:v>-4.6275506305150692E-3</c:v>
                </c:pt>
                <c:pt idx="1052">
                  <c:v>-4.6499302173588775E-3</c:v>
                </c:pt>
                <c:pt idx="1053">
                  <c:v>-4.6722550453510963E-3</c:v>
                </c:pt>
                <c:pt idx="1054">
                  <c:v>-4.6923939839059303E-3</c:v>
                </c:pt>
                <c:pt idx="1055">
                  <c:v>-4.7158272629508006E-3</c:v>
                </c:pt>
                <c:pt idx="1056">
                  <c:v>-4.7447857430870819E-3</c:v>
                </c:pt>
                <c:pt idx="1057">
                  <c:v>-4.7681389118092313E-3</c:v>
                </c:pt>
                <c:pt idx="1058">
                  <c:v>-4.7883815492936318E-3</c:v>
                </c:pt>
                <c:pt idx="1059">
                  <c:v>-4.8129028045296521E-3</c:v>
                </c:pt>
                <c:pt idx="1060">
                  <c:v>-4.8367634064774385E-3</c:v>
                </c:pt>
                <c:pt idx="1061">
                  <c:v>-4.8581567627887061E-3</c:v>
                </c:pt>
                <c:pt idx="1062">
                  <c:v>-4.8779863263906419E-3</c:v>
                </c:pt>
                <c:pt idx="1063">
                  <c:v>-4.9009193861770158E-3</c:v>
                </c:pt>
                <c:pt idx="1064">
                  <c:v>-4.9291035524208285E-3</c:v>
                </c:pt>
                <c:pt idx="1065">
                  <c:v>-4.9524511206758114E-3</c:v>
                </c:pt>
                <c:pt idx="1066">
                  <c:v>-4.9724641603250729E-3</c:v>
                </c:pt>
                <c:pt idx="1067">
                  <c:v>-4.9964794316936676E-3</c:v>
                </c:pt>
                <c:pt idx="1068">
                  <c:v>-5.0200798892938332E-3</c:v>
                </c:pt>
                <c:pt idx="1069">
                  <c:v>-5.0412503529025767E-3</c:v>
                </c:pt>
                <c:pt idx="1070">
                  <c:v>-5.0607473222625699E-3</c:v>
                </c:pt>
                <c:pt idx="1071">
                  <c:v>-5.0833275772089407E-3</c:v>
                </c:pt>
                <c:pt idx="1072">
                  <c:v>-5.1111477081326913E-3</c:v>
                </c:pt>
                <c:pt idx="1073">
                  <c:v>-5.1341689818498485E-3</c:v>
                </c:pt>
                <c:pt idx="1074">
                  <c:v>-5.1538743388319106E-3</c:v>
                </c:pt>
                <c:pt idx="1075">
                  <c:v>-5.1775493735861031E-3</c:v>
                </c:pt>
                <c:pt idx="1076">
                  <c:v>-5.2008122749826616E-3</c:v>
                </c:pt>
                <c:pt idx="1077">
                  <c:v>-5.2222135871736637E-3</c:v>
                </c:pt>
                <c:pt idx="1078">
                  <c:v>-5.2435542839872852E-3</c:v>
                </c:pt>
                <c:pt idx="1079">
                  <c:v>-5.2627277705350516E-3</c:v>
                </c:pt>
                <c:pt idx="1080">
                  <c:v>-5.2851500617636668E-3</c:v>
                </c:pt>
                <c:pt idx="1081">
                  <c:v>-5.3130262301912482E-3</c:v>
                </c:pt>
                <c:pt idx="1082">
                  <c:v>-5.33535577721747E-3</c:v>
                </c:pt>
                <c:pt idx="1083">
                  <c:v>-5.354603929552529E-3</c:v>
                </c:pt>
                <c:pt idx="1084">
                  <c:v>-5.3780730798227592E-3</c:v>
                </c:pt>
                <c:pt idx="1085">
                  <c:v>-5.40088253045975E-3</c:v>
                </c:pt>
                <c:pt idx="1086">
                  <c:v>-5.4212472046294086E-3</c:v>
                </c:pt>
                <c:pt idx="1087">
                  <c:v>-5.440061320722612E-3</c:v>
                </c:pt>
                <c:pt idx="1088">
                  <c:v>-5.4619333151229585E-3</c:v>
                </c:pt>
                <c:pt idx="1089">
                  <c:v>-5.4889825823845649E-3</c:v>
                </c:pt>
                <c:pt idx="1090">
                  <c:v>-5.5112491339973594E-3</c:v>
                </c:pt>
                <c:pt idx="1091">
                  <c:v>-5.5302162616942671E-3</c:v>
                </c:pt>
                <c:pt idx="1092">
                  <c:v>-5.5531273217546782E-3</c:v>
                </c:pt>
                <c:pt idx="1093">
                  <c:v>-5.575621616417269E-3</c:v>
                </c:pt>
                <c:pt idx="1094">
                  <c:v>-5.5957100440734084E-3</c:v>
                </c:pt>
                <c:pt idx="1095">
                  <c:v>-5.61414127497237E-3</c:v>
                </c:pt>
                <c:pt idx="1096">
                  <c:v>-5.635607269938162E-3</c:v>
                </c:pt>
                <c:pt idx="1097">
                  <c:v>-5.6622338660330318E-3</c:v>
                </c:pt>
                <c:pt idx="1098">
                  <c:v>-5.6841196170349315E-3</c:v>
                </c:pt>
                <c:pt idx="1099">
                  <c:v>-5.702727543343819E-3</c:v>
                </c:pt>
                <c:pt idx="1100">
                  <c:v>-5.725243112232048E-3</c:v>
                </c:pt>
                <c:pt idx="1101">
                  <c:v>-5.7473447799731171E-3</c:v>
                </c:pt>
                <c:pt idx="1102">
                  <c:v>-5.7676032602805207E-3</c:v>
                </c:pt>
                <c:pt idx="1103">
                  <c:v>-5.7877950733558206E-3</c:v>
                </c:pt>
                <c:pt idx="1104">
                  <c:v>-5.8058446632447882E-3</c:v>
                </c:pt>
                <c:pt idx="1105">
                  <c:v>-5.8270876916463763E-3</c:v>
                </c:pt>
                <c:pt idx="1106">
                  <c:v>-5.8536960386199426E-3</c:v>
                </c:pt>
                <c:pt idx="1107">
                  <c:v>-5.8748324266971021E-3</c:v>
                </c:pt>
                <c:pt idx="1108">
                  <c:v>-5.892925700889627E-3</c:v>
                </c:pt>
                <c:pt idx="1109">
                  <c:v>-5.9151691316988485E-3</c:v>
                </c:pt>
                <c:pt idx="1110">
                  <c:v>-5.9367552133634833E-3</c:v>
                </c:pt>
                <c:pt idx="1111">
                  <c:v>-5.9559262624255841E-3</c:v>
                </c:pt>
                <c:pt idx="1112">
                  <c:v>-5.9735645593547897E-3</c:v>
                </c:pt>
                <c:pt idx="1113">
                  <c:v>-5.9942046100929297E-3</c:v>
                </c:pt>
                <c:pt idx="1114">
                  <c:v>-6.0199312937651199E-3</c:v>
                </c:pt>
                <c:pt idx="1115">
                  <c:v>-6.0409441531233433E-3</c:v>
                </c:pt>
                <c:pt idx="1116">
                  <c:v>-6.0587026138961934E-3</c:v>
                </c:pt>
                <c:pt idx="1117">
                  <c:v>-6.0803335173568503E-3</c:v>
                </c:pt>
                <c:pt idx="1118">
                  <c:v>-6.1015467641389919E-3</c:v>
                </c:pt>
                <c:pt idx="1119">
                  <c:v>-6.1203860150395384E-3</c:v>
                </c:pt>
                <c:pt idx="1120">
                  <c:v>-6.1375891431591093E-3</c:v>
                </c:pt>
                <c:pt idx="1121">
                  <c:v>-6.1577673440782518E-3</c:v>
                </c:pt>
                <c:pt idx="1122">
                  <c:v>-6.1830096463910255E-3</c:v>
                </c:pt>
                <c:pt idx="1123">
                  <c:v>-6.2035848879658127E-3</c:v>
                </c:pt>
                <c:pt idx="1124">
                  <c:v>-6.2209305325575271E-3</c:v>
                </c:pt>
                <c:pt idx="1125">
                  <c:v>-6.2421081165733947E-3</c:v>
                </c:pt>
                <c:pt idx="1126">
                  <c:v>-6.2628712315139414E-3</c:v>
                </c:pt>
                <c:pt idx="1127">
                  <c:v>-6.2818153467379288E-3</c:v>
                </c:pt>
                <c:pt idx="1128">
                  <c:v>-6.3006862389678592E-3</c:v>
                </c:pt>
                <c:pt idx="1129">
                  <c:v>-6.3174468989574085E-3</c:v>
                </c:pt>
                <c:pt idx="1130">
                  <c:v>-6.3373346913367361E-3</c:v>
                </c:pt>
                <c:pt idx="1131">
                  <c:v>-6.3624801131109705E-3</c:v>
                </c:pt>
                <c:pt idx="1132">
                  <c:v>-6.3822462364804796E-3</c:v>
                </c:pt>
                <c:pt idx="1133">
                  <c:v>-6.3990178479115534E-3</c:v>
                </c:pt>
                <c:pt idx="1134">
                  <c:v>-6.4198541136263991E-3</c:v>
                </c:pt>
                <c:pt idx="1135">
                  <c:v>-6.4400370286556543E-3</c:v>
                </c:pt>
                <c:pt idx="1136">
                  <c:v>-6.4578425911337315E-3</c:v>
                </c:pt>
                <c:pt idx="1137">
                  <c:v>-6.474138420517239E-3</c:v>
                </c:pt>
                <c:pt idx="1138">
                  <c:v>-6.4933688063050698E-3</c:v>
                </c:pt>
                <c:pt idx="1139">
                  <c:v>-6.5175765551760186E-3</c:v>
                </c:pt>
                <c:pt idx="1140">
                  <c:v>-6.5371557145160256E-3</c:v>
                </c:pt>
                <c:pt idx="1141">
                  <c:v>-6.5535366342405381E-3</c:v>
                </c:pt>
                <c:pt idx="1142">
                  <c:v>-6.5737043301798822E-3</c:v>
                </c:pt>
                <c:pt idx="1143">
                  <c:v>-6.5934544843372044E-3</c:v>
                </c:pt>
                <c:pt idx="1144">
                  <c:v>-6.6108703727782193E-3</c:v>
                </c:pt>
                <c:pt idx="1145">
                  <c:v>-6.6266770114902229E-3</c:v>
                </c:pt>
                <c:pt idx="1146">
                  <c:v>-6.6453881114787337E-3</c:v>
                </c:pt>
                <c:pt idx="1147">
                  <c:v>-6.6690476185586366E-3</c:v>
                </c:pt>
                <c:pt idx="1148">
                  <c:v>-6.6881302206107688E-3</c:v>
                </c:pt>
                <c:pt idx="1149">
                  <c:v>-6.7040430269216409E-3</c:v>
                </c:pt>
                <c:pt idx="1150">
                  <c:v>-6.723697699015662E-3</c:v>
                </c:pt>
                <c:pt idx="1151">
                  <c:v>-6.7429382943314294E-3</c:v>
                </c:pt>
                <c:pt idx="1152">
                  <c:v>-6.7603903395999738E-3</c:v>
                </c:pt>
                <c:pt idx="1153">
                  <c:v>-6.7777626323717822E-3</c:v>
                </c:pt>
                <c:pt idx="1154">
                  <c:v>-6.7930643721854705E-3</c:v>
                </c:pt>
                <c:pt idx="1155">
                  <c:v>-6.8114144668835423E-3</c:v>
                </c:pt>
                <c:pt idx="1156">
                  <c:v>-6.834894035140174E-3</c:v>
                </c:pt>
                <c:pt idx="1157">
                  <c:v>-6.853107153102978E-3</c:v>
                </c:pt>
                <c:pt idx="1158">
                  <c:v>-6.868385310875991E-3</c:v>
                </c:pt>
                <c:pt idx="1159">
                  <c:v>-6.8876266760087386E-3</c:v>
                </c:pt>
                <c:pt idx="1160">
                  <c:v>-6.9062207406693143E-3</c:v>
                </c:pt>
                <c:pt idx="1161">
                  <c:v>-6.922483645145896E-3</c:v>
                </c:pt>
                <c:pt idx="1162">
                  <c:v>-6.9372656609052018E-3</c:v>
                </c:pt>
                <c:pt idx="1163">
                  <c:v>-6.9549036361200708E-3</c:v>
                </c:pt>
                <c:pt idx="1164">
                  <c:v>-6.9773893413192199E-3</c:v>
                </c:pt>
                <c:pt idx="1165">
                  <c:v>-6.9953491480959041E-3</c:v>
                </c:pt>
                <c:pt idx="1166">
                  <c:v>-7.0101793488872924E-3</c:v>
                </c:pt>
                <c:pt idx="1167">
                  <c:v>-7.0286954140672733E-3</c:v>
                </c:pt>
                <c:pt idx="1168">
                  <c:v>-7.0467951110706846E-3</c:v>
                </c:pt>
                <c:pt idx="1169">
                  <c:v>-7.0626090556688819E-3</c:v>
                </c:pt>
                <c:pt idx="1170">
                  <c:v>-7.0768471350373839E-3</c:v>
                </c:pt>
                <c:pt idx="1171">
                  <c:v>-7.0939070359571582E-3</c:v>
                </c:pt>
                <c:pt idx="1172">
                  <c:v>-7.1157786741739065E-3</c:v>
                </c:pt>
                <c:pt idx="1173">
                  <c:v>-7.1331818220419091E-3</c:v>
                </c:pt>
                <c:pt idx="1174">
                  <c:v>-7.147487835805091E-3</c:v>
                </c:pt>
                <c:pt idx="1175">
                  <c:v>-7.1654298711102404E-3</c:v>
                </c:pt>
                <c:pt idx="1176">
                  <c:v>-7.1829593446496327E-3</c:v>
                </c:pt>
                <c:pt idx="1177">
                  <c:v>-7.1987377364539683E-3</c:v>
                </c:pt>
                <c:pt idx="1178">
                  <c:v>-7.2144302221412125E-3</c:v>
                </c:pt>
                <c:pt idx="1179">
                  <c:v>-7.2281000756351374E-3</c:v>
                </c:pt>
                <c:pt idx="1180">
                  <c:v>-7.2447257466274262E-3</c:v>
                </c:pt>
                <c:pt idx="1181">
                  <c:v>-7.2663309096037193E-3</c:v>
                </c:pt>
                <c:pt idx="1182">
                  <c:v>-7.2828046588843953E-3</c:v>
                </c:pt>
                <c:pt idx="1183">
                  <c:v>-7.2964148161852949E-3</c:v>
                </c:pt>
                <c:pt idx="1184">
                  <c:v>-7.3138695205281837E-3</c:v>
                </c:pt>
                <c:pt idx="1185">
                  <c:v>-7.3306855975722842E-3</c:v>
                </c:pt>
                <c:pt idx="1186">
                  <c:v>-7.3452266290836938E-3</c:v>
                </c:pt>
                <c:pt idx="1187">
                  <c:v>-7.3583214399546744E-3</c:v>
                </c:pt>
                <c:pt idx="1188">
                  <c:v>-7.3741800586218428E-3</c:v>
                </c:pt>
                <c:pt idx="1189">
                  <c:v>-7.3947358003271435E-3</c:v>
                </c:pt>
                <c:pt idx="1190">
                  <c:v>-7.4108882137499353E-3</c:v>
                </c:pt>
                <c:pt idx="1191">
                  <c:v>-7.4239924462731815E-3</c:v>
                </c:pt>
                <c:pt idx="1192">
                  <c:v>-7.440665158240144E-3</c:v>
                </c:pt>
                <c:pt idx="1193">
                  <c:v>-7.4569244844589792E-3</c:v>
                </c:pt>
                <c:pt idx="1194">
                  <c:v>-7.4709563379315794E-3</c:v>
                </c:pt>
                <c:pt idx="1195">
                  <c:v>-7.4834522024250661E-3</c:v>
                </c:pt>
                <c:pt idx="1196">
                  <c:v>-7.4986740715597003E-3</c:v>
                </c:pt>
                <c:pt idx="1197">
                  <c:v>-7.518549491042326E-3</c:v>
                </c:pt>
                <c:pt idx="1198">
                  <c:v>-7.5340846679317411E-3</c:v>
                </c:pt>
                <c:pt idx="1199">
                  <c:v>-7.5466085216323205E-3</c:v>
                </c:pt>
                <c:pt idx="1200">
                  <c:v>-7.5626459580456209E-3</c:v>
                </c:pt>
                <c:pt idx="1201">
                  <c:v>-7.5782741237070484E-3</c:v>
                </c:pt>
                <c:pt idx="1202">
                  <c:v>-7.5917004963769567E-3</c:v>
                </c:pt>
                <c:pt idx="1203">
                  <c:v>-7.6036017281013229E-3</c:v>
                </c:pt>
                <c:pt idx="1204">
                  <c:v>-7.6181960165801199E-3</c:v>
                </c:pt>
                <c:pt idx="1205">
                  <c:v>-7.637389221302639E-3</c:v>
                </c:pt>
                <c:pt idx="1206">
                  <c:v>-7.6522862321279101E-3</c:v>
                </c:pt>
                <c:pt idx="1207">
                  <c:v>-7.664202945566463E-3</c:v>
                </c:pt>
                <c:pt idx="1208">
                  <c:v>-7.6795908803829879E-3</c:v>
                </c:pt>
                <c:pt idx="1209">
                  <c:v>-7.6945704882573152E-3</c:v>
                </c:pt>
                <c:pt idx="1210">
                  <c:v>-7.7078599482070338E-3</c:v>
                </c:pt>
                <c:pt idx="1211">
                  <c:v>-7.7210552507038736E-3</c:v>
                </c:pt>
                <c:pt idx="1212">
                  <c:v>-7.732305116198491E-3</c:v>
                </c:pt>
                <c:pt idx="1213">
                  <c:v>-7.7463683926945895E-3</c:v>
                </c:pt>
                <c:pt idx="1214">
                  <c:v>-7.7651774631151234E-3</c:v>
                </c:pt>
                <c:pt idx="1215">
                  <c:v>-7.7790681674060136E-3</c:v>
                </c:pt>
                <c:pt idx="1216">
                  <c:v>-7.7902095394334469E-3</c:v>
                </c:pt>
                <c:pt idx="1217">
                  <c:v>-7.8050116410434932E-3</c:v>
                </c:pt>
                <c:pt idx="1218">
                  <c:v>-7.819190239244175E-3</c:v>
                </c:pt>
                <c:pt idx="1219">
                  <c:v>-7.8311831302045557E-3</c:v>
                </c:pt>
                <c:pt idx="1220">
                  <c:v>-7.8417860415621668E-3</c:v>
                </c:pt>
                <c:pt idx="1221">
                  <c:v>-7.8550117789567293E-3</c:v>
                </c:pt>
                <c:pt idx="1222">
                  <c:v>-7.8727012318576227E-3</c:v>
                </c:pt>
                <c:pt idx="1223">
                  <c:v>-7.8861797108715163E-3</c:v>
                </c:pt>
                <c:pt idx="1224">
                  <c:v>-7.8967394615325915E-3</c:v>
                </c:pt>
                <c:pt idx="1225">
                  <c:v>-7.9106868303436551E-3</c:v>
                </c:pt>
                <c:pt idx="1226">
                  <c:v>-7.9242269473299813E-3</c:v>
                </c:pt>
                <c:pt idx="1227">
                  <c:v>-7.9356322061050373E-3</c:v>
                </c:pt>
                <c:pt idx="1228">
                  <c:v>-7.9455653133516466E-3</c:v>
                </c:pt>
                <c:pt idx="1229">
                  <c:v>-7.9580779349298792E-3</c:v>
                </c:pt>
                <c:pt idx="1230">
                  <c:v>-7.9750006719939964E-3</c:v>
                </c:pt>
                <c:pt idx="1231">
                  <c:v>-7.9877835817919463E-3</c:v>
                </c:pt>
                <c:pt idx="1232">
                  <c:v>-7.997690275578527E-3</c:v>
                </c:pt>
                <c:pt idx="1233">
                  <c:v>-8.0109230398202752E-3</c:v>
                </c:pt>
                <c:pt idx="1234">
                  <c:v>-8.023753479729983E-3</c:v>
                </c:pt>
                <c:pt idx="1235">
                  <c:v>-8.0349490738705221E-3</c:v>
                </c:pt>
                <c:pt idx="1236">
                  <c:v>-8.046044483326055E-3</c:v>
                </c:pt>
                <c:pt idx="1237">
                  <c:v>-8.0552641645314817E-3</c:v>
                </c:pt>
                <c:pt idx="1238">
                  <c:v>-8.0671725823195928E-3</c:v>
                </c:pt>
                <c:pt idx="1239">
                  <c:v>-8.0836221044884183E-3</c:v>
                </c:pt>
                <c:pt idx="1240">
                  <c:v>-8.0953431085014228E-3</c:v>
                </c:pt>
                <c:pt idx="1241">
                  <c:v>-8.1044169034348214E-3</c:v>
                </c:pt>
                <c:pt idx="1242">
                  <c:v>-8.1169907181655402E-3</c:v>
                </c:pt>
                <c:pt idx="1243">
                  <c:v>-8.1289560007235893E-3</c:v>
                </c:pt>
                <c:pt idx="1244">
                  <c:v>-8.1388156174251932E-3</c:v>
                </c:pt>
                <c:pt idx="1245">
                  <c:v>-8.1473359623940173E-3</c:v>
                </c:pt>
                <c:pt idx="1246">
                  <c:v>-8.1583569916656301E-3</c:v>
                </c:pt>
                <c:pt idx="1247">
                  <c:v>-8.1736381893172689E-3</c:v>
                </c:pt>
                <c:pt idx="1248">
                  <c:v>-8.1848786676273592E-3</c:v>
                </c:pt>
                <c:pt idx="1249">
                  <c:v>-8.1933156440873491E-3</c:v>
                </c:pt>
                <c:pt idx="1250">
                  <c:v>-8.2049830546462449E-3</c:v>
                </c:pt>
                <c:pt idx="1251">
                  <c:v>-8.2162501039914296E-3</c:v>
                </c:pt>
                <c:pt idx="1252">
                  <c:v>-8.2254648888909366E-3</c:v>
                </c:pt>
                <c:pt idx="1253">
                  <c:v>-8.2332645708710003E-3</c:v>
                </c:pt>
                <c:pt idx="1254">
                  <c:v>-8.243517297067916E-3</c:v>
                </c:pt>
                <c:pt idx="1255">
                  <c:v>-8.2579692611187399E-3</c:v>
                </c:pt>
                <c:pt idx="1256">
                  <c:v>-8.2684577371302855E-3</c:v>
                </c:pt>
                <c:pt idx="1257">
                  <c:v>-8.2761893944385163E-3</c:v>
                </c:pt>
                <c:pt idx="1258">
                  <c:v>-8.2870851583849211E-3</c:v>
                </c:pt>
                <c:pt idx="1259">
                  <c:v>-8.2975860466874742E-3</c:v>
                </c:pt>
                <c:pt idx="1260">
                  <c:v>-8.3065158101331433E-3</c:v>
                </c:pt>
                <c:pt idx="1261">
                  <c:v>-8.315339859005946E-3</c:v>
                </c:pt>
                <c:pt idx="1262">
                  <c:v>-8.3223674955125778E-3</c:v>
                </c:pt>
                <c:pt idx="1263">
                  <c:v>-8.3319456952833451E-3</c:v>
                </c:pt>
                <c:pt idx="1264">
                  <c:v>-8.3458365407342756E-3</c:v>
                </c:pt>
                <c:pt idx="1265">
                  <c:v>-8.3552127346555906E-3</c:v>
                </c:pt>
                <c:pt idx="1266">
                  <c:v>-8.3620578093785061E-3</c:v>
                </c:pt>
                <c:pt idx="1267">
                  <c:v>-8.372224173147284E-3</c:v>
                </c:pt>
                <c:pt idx="1268">
                  <c:v>-8.3817998484377546E-3</c:v>
                </c:pt>
                <c:pt idx="1269">
                  <c:v>-8.3893610197654216E-3</c:v>
                </c:pt>
                <c:pt idx="1270">
                  <c:v>-8.3956407345019239E-3</c:v>
                </c:pt>
                <c:pt idx="1271">
                  <c:v>-8.4042854042707116E-3</c:v>
                </c:pt>
                <c:pt idx="1272">
                  <c:v>-8.4169645757458562E-3</c:v>
                </c:pt>
                <c:pt idx="1273">
                  <c:v>-8.4257947109425083E-3</c:v>
                </c:pt>
                <c:pt idx="1274">
                  <c:v>-8.4319510299133028E-3</c:v>
                </c:pt>
                <c:pt idx="1275">
                  <c:v>-8.4411637351545065E-3</c:v>
                </c:pt>
                <c:pt idx="1276">
                  <c:v>-8.4499851446519572E-3</c:v>
                </c:pt>
                <c:pt idx="1277">
                  <c:v>-8.4568475575157124E-3</c:v>
                </c:pt>
                <c:pt idx="1278">
                  <c:v>-8.4623595650082217E-3</c:v>
                </c:pt>
                <c:pt idx="1279">
                  <c:v>-8.4701854027477638E-3</c:v>
                </c:pt>
                <c:pt idx="1280">
                  <c:v>-8.4819771479552886E-3</c:v>
                </c:pt>
                <c:pt idx="1281">
                  <c:v>-8.4900027592343125E-3</c:v>
                </c:pt>
                <c:pt idx="1282">
                  <c:v>-8.4954058284391221E-3</c:v>
                </c:pt>
                <c:pt idx="1283">
                  <c:v>-8.5037941848951568E-3</c:v>
                </c:pt>
                <c:pt idx="1284">
                  <c:v>-8.5117972252391743E-3</c:v>
                </c:pt>
                <c:pt idx="1285">
                  <c:v>-8.5183013952941939E-3</c:v>
                </c:pt>
                <c:pt idx="1286">
                  <c:v>-8.5246951021978323E-3</c:v>
                </c:pt>
                <c:pt idx="1287">
                  <c:v>-8.5293813657120326E-3</c:v>
                </c:pt>
                <c:pt idx="1288">
                  <c:v>-8.5364661608018037E-3</c:v>
                </c:pt>
                <c:pt idx="1289">
                  <c:v>-8.547612204263054E-3</c:v>
                </c:pt>
                <c:pt idx="1290">
                  <c:v>-8.5544819837441843E-3</c:v>
                </c:pt>
                <c:pt idx="1291">
                  <c:v>-8.5589502902544759E-3</c:v>
                </c:pt>
                <c:pt idx="1292">
                  <c:v>-8.5665434476045396E-3</c:v>
                </c:pt>
                <c:pt idx="1293">
                  <c:v>-8.5735671431023293E-3</c:v>
                </c:pt>
                <c:pt idx="1294">
                  <c:v>-8.5786782953178892E-3</c:v>
                </c:pt>
                <c:pt idx="1295">
                  <c:v>-8.5825728657628539E-3</c:v>
                </c:pt>
                <c:pt idx="1296">
                  <c:v>-8.5886843399561805E-3</c:v>
                </c:pt>
                <c:pt idx="1297">
                  <c:v>-8.5985829974334575E-3</c:v>
                </c:pt>
                <c:pt idx="1298">
                  <c:v>-8.6048450211263054E-3</c:v>
                </c:pt>
                <c:pt idx="1299">
                  <c:v>-8.6085775620973713E-3</c:v>
                </c:pt>
                <c:pt idx="1300">
                  <c:v>-8.6151761686431849E-3</c:v>
                </c:pt>
                <c:pt idx="1301">
                  <c:v>-8.6213948034853799E-3</c:v>
                </c:pt>
                <c:pt idx="1302">
                  <c:v>-8.6257585476886278E-3</c:v>
                </c:pt>
                <c:pt idx="1303">
                  <c:v>-8.6288439605335492E-3</c:v>
                </c:pt>
                <c:pt idx="1304">
                  <c:v>-8.6340915708023012E-3</c:v>
                </c:pt>
                <c:pt idx="1305">
                  <c:v>-8.643050897560324E-3</c:v>
                </c:pt>
                <c:pt idx="1306">
                  <c:v>-8.648461912797268E-3</c:v>
                </c:pt>
                <c:pt idx="1307">
                  <c:v>-8.6513987425454412E-3</c:v>
                </c:pt>
                <c:pt idx="1308">
                  <c:v>-8.6571264304143268E-3</c:v>
                </c:pt>
                <c:pt idx="1309">
                  <c:v>-8.662480746660723E-3</c:v>
                </c:pt>
                <c:pt idx="1310">
                  <c:v>-8.6664165622846578E-3</c:v>
                </c:pt>
                <c:pt idx="1311">
                  <c:v>-8.6702378637751615E-3</c:v>
                </c:pt>
                <c:pt idx="1312">
                  <c:v>-8.6724501551809999E-3</c:v>
                </c:pt>
                <c:pt idx="1313">
                  <c:v>-8.6768968312795954E-3</c:v>
                </c:pt>
                <c:pt idx="1314">
                  <c:v>-8.685131857700111E-3</c:v>
                </c:pt>
                <c:pt idx="1315">
                  <c:v>-8.6893517493296848E-3</c:v>
                </c:pt>
                <c:pt idx="1316">
                  <c:v>-8.6913131030183968E-3</c:v>
                </c:pt>
                <c:pt idx="1317">
                  <c:v>-8.696186570206094E-3</c:v>
                </c:pt>
                <c:pt idx="1318">
                  <c:v>-8.700515080050035E-3</c:v>
                </c:pt>
                <c:pt idx="1319">
                  <c:v>-8.7030436074743527E-3</c:v>
                </c:pt>
                <c:pt idx="1320">
                  <c:v>-8.7044271330785523E-3</c:v>
                </c:pt>
                <c:pt idx="1321">
                  <c:v>-8.7078680081963868E-3</c:v>
                </c:pt>
                <c:pt idx="1322">
                  <c:v>-8.7148290989361131E-3</c:v>
                </c:pt>
                <c:pt idx="1323">
                  <c:v>-8.718385540326298E-3</c:v>
                </c:pt>
                <c:pt idx="1324">
                  <c:v>-8.7195705940253491E-3</c:v>
                </c:pt>
                <c:pt idx="1325">
                  <c:v>-8.7234166790617646E-3</c:v>
                </c:pt>
                <c:pt idx="1326">
                  <c:v>-8.7268964669233347E-3</c:v>
                </c:pt>
                <c:pt idx="1327">
                  <c:v>-8.7286357354795438E-3</c:v>
                </c:pt>
                <c:pt idx="1328">
                  <c:v>-8.7291758506848442E-3</c:v>
                </c:pt>
                <c:pt idx="1329">
                  <c:v>-8.7317153525312465E-3</c:v>
                </c:pt>
                <c:pt idx="1330">
                  <c:v>-8.7376932641070239E-3</c:v>
                </c:pt>
                <c:pt idx="1331">
                  <c:v>-8.7403599188922917E-3</c:v>
                </c:pt>
                <c:pt idx="1332">
                  <c:v>-8.7407142042778569E-3</c:v>
                </c:pt>
                <c:pt idx="1333">
                  <c:v>-8.7436506220319905E-3</c:v>
                </c:pt>
                <c:pt idx="1334">
                  <c:v>-8.7462280123878442E-3</c:v>
                </c:pt>
                <c:pt idx="1335">
                  <c:v>-8.7474751948387868E-3</c:v>
                </c:pt>
                <c:pt idx="1336">
                  <c:v>-8.7486051466331149E-3</c:v>
                </c:pt>
                <c:pt idx="1337">
                  <c:v>-8.7482332736128314E-3</c:v>
                </c:pt>
                <c:pt idx="1338">
                  <c:v>-8.7499198120919042E-3</c:v>
                </c:pt>
                <c:pt idx="1339">
                  <c:v>-8.7551028429935958E-3</c:v>
                </c:pt>
                <c:pt idx="1340">
                  <c:v>-8.7565537514818961E-3</c:v>
                </c:pt>
                <c:pt idx="1341">
                  <c:v>-8.7559009851356749E-3</c:v>
                </c:pt>
                <c:pt idx="1342">
                  <c:v>-8.7579329470657691E-3</c:v>
                </c:pt>
                <c:pt idx="1343">
                  <c:v>-8.7594479244443146E-3</c:v>
                </c:pt>
                <c:pt idx="1344">
                  <c:v>-8.7592850348747822E-3</c:v>
                </c:pt>
                <c:pt idx="1345">
                  <c:v>-8.7580551922081303E-3</c:v>
                </c:pt>
                <c:pt idx="1346">
                  <c:v>-8.7587135672284634E-3</c:v>
                </c:pt>
                <c:pt idx="1347">
                  <c:v>-8.7626075894435222E-3</c:v>
                </c:pt>
                <c:pt idx="1348">
                  <c:v>-8.7633466821077245E-3</c:v>
                </c:pt>
                <c:pt idx="1349">
                  <c:v>-8.7618852932607634E-3</c:v>
                </c:pt>
                <c:pt idx="1350">
                  <c:v>-8.7628670017261753E-3</c:v>
                </c:pt>
                <c:pt idx="1351">
                  <c:v>-8.7634984544514016E-3</c:v>
                </c:pt>
                <c:pt idx="1352">
                  <c:v>-8.762512885405362E-3</c:v>
                </c:pt>
                <c:pt idx="1353">
                  <c:v>-8.7604140198829818E-3</c:v>
                </c:pt>
                <c:pt idx="1354">
                  <c:v>-8.7601428797754437E-3</c:v>
                </c:pt>
                <c:pt idx="1355">
                  <c:v>-8.763020213582072E-3</c:v>
                </c:pt>
                <c:pt idx="1356">
                  <c:v>-8.7628400974866811E-3</c:v>
                </c:pt>
                <c:pt idx="1357">
                  <c:v>-8.7605217418902145E-3</c:v>
                </c:pt>
                <c:pt idx="1358">
                  <c:v>-8.7605647565023922E-3</c:v>
                </c:pt>
                <c:pt idx="1359">
                  <c:v>-8.7602654351431383E-3</c:v>
                </c:pt>
                <c:pt idx="1360">
                  <c:v>-8.7587314256948705E-3</c:v>
                </c:pt>
                <c:pt idx="1361">
                  <c:v>-8.7570783570676113E-3</c:v>
                </c:pt>
                <c:pt idx="1362">
                  <c:v>-8.7540386408866931E-3</c:v>
                </c:pt>
                <c:pt idx="1363">
                  <c:v>-8.7528730017044035E-3</c:v>
                </c:pt>
                <c:pt idx="1364">
                  <c:v>-8.7548956962715477E-3</c:v>
                </c:pt>
                <c:pt idx="1365">
                  <c:v>-8.7534872820700972E-3</c:v>
                </c:pt>
                <c:pt idx="1366">
                  <c:v>-8.7501412012689784E-3</c:v>
                </c:pt>
                <c:pt idx="1367">
                  <c:v>-8.7492405436506836E-3</c:v>
                </c:pt>
                <c:pt idx="1368">
                  <c:v>-8.747853901021032E-3</c:v>
                </c:pt>
                <c:pt idx="1369">
                  <c:v>-8.7449204574883005E-3</c:v>
                </c:pt>
                <c:pt idx="1370">
                  <c:v>-8.7410036394643207E-3</c:v>
                </c:pt>
                <c:pt idx="1371">
                  <c:v>-8.7387975427139341E-3</c:v>
                </c:pt>
                <c:pt idx="1372">
                  <c:v>-8.7395287106831129E-3</c:v>
                </c:pt>
                <c:pt idx="1373">
                  <c:v>-8.7373701998510415E-3</c:v>
                </c:pt>
                <c:pt idx="1374">
                  <c:v>-8.7331928977097736E-3</c:v>
                </c:pt>
                <c:pt idx="1375">
                  <c:v>-8.7312303638522552E-3</c:v>
                </c:pt>
                <c:pt idx="1376">
                  <c:v>-8.7289361270338171E-3</c:v>
                </c:pt>
                <c:pt idx="1377">
                  <c:v>-8.7251565894069447E-3</c:v>
                </c:pt>
                <c:pt idx="1378">
                  <c:v>-8.7203552766612121E-3</c:v>
                </c:pt>
                <c:pt idx="1379">
                  <c:v>-8.7172027484813258E-3</c:v>
                </c:pt>
                <c:pt idx="1380">
                  <c:v>-8.7168958569712046E-3</c:v>
                </c:pt>
                <c:pt idx="1381">
                  <c:v>-8.7137996929346831E-3</c:v>
                </c:pt>
                <c:pt idx="1382">
                  <c:v>-8.7087496895535098E-3</c:v>
                </c:pt>
                <c:pt idx="1383">
                  <c:v>-8.7058309218062714E-3</c:v>
                </c:pt>
                <c:pt idx="1384">
                  <c:v>-8.7025888780628575E-3</c:v>
                </c:pt>
                <c:pt idx="1385">
                  <c:v>-8.6982139838072021E-3</c:v>
                </c:pt>
                <c:pt idx="1386">
                  <c:v>-8.6937199171149768E-3</c:v>
                </c:pt>
                <c:pt idx="1387">
                  <c:v>-8.6879608521832422E-3</c:v>
                </c:pt>
                <c:pt idx="1388">
                  <c:v>-8.6838840925523072E-3</c:v>
                </c:pt>
                <c:pt idx="1389">
                  <c:v>-8.6826756636308698E-3</c:v>
                </c:pt>
                <c:pt idx="1390">
                  <c:v>-8.6783527411236298E-3</c:v>
                </c:pt>
                <c:pt idx="1391">
                  <c:v>-8.6722668235772269E-3</c:v>
                </c:pt>
                <c:pt idx="1392">
                  <c:v>-8.6683779684985206E-3</c:v>
                </c:pt>
                <c:pt idx="1393">
                  <c:v>-8.6640373106304722E-3</c:v>
                </c:pt>
                <c:pt idx="1394">
                  <c:v>-8.6582882024497394E-3</c:v>
                </c:pt>
                <c:pt idx="1395">
                  <c:v>-8.6516439320683952E-3</c:v>
                </c:pt>
                <c:pt idx="1396">
                  <c:v>-8.6465271186537008E-3</c:v>
                </c:pt>
                <c:pt idx="1397">
                  <c:v>-8.6440391535835444E-3</c:v>
                </c:pt>
                <c:pt idx="1398">
                  <c:v>-8.6389390693500032E-3</c:v>
                </c:pt>
                <c:pt idx="1399">
                  <c:v>-8.6320105456910781E-3</c:v>
                </c:pt>
                <c:pt idx="1400">
                  <c:v>-8.6270611439098581E-3</c:v>
                </c:pt>
                <c:pt idx="1401">
                  <c:v>-8.62180105241191E-3</c:v>
                </c:pt>
                <c:pt idx="1402">
                  <c:v>-8.6151941797601751E-3</c:v>
                </c:pt>
                <c:pt idx="1403">
                  <c:v>-8.6076615031927817E-3</c:v>
                </c:pt>
                <c:pt idx="1404">
                  <c:v>-8.6015936230258491E-3</c:v>
                </c:pt>
                <c:pt idx="1405">
                  <c:v>-8.5980600332504035E-3</c:v>
                </c:pt>
                <c:pt idx="1406">
                  <c:v>-8.5920165000170582E-3</c:v>
                </c:pt>
                <c:pt idx="1407">
                  <c:v>-8.5842113341087611E-3</c:v>
                </c:pt>
                <c:pt idx="1408">
                  <c:v>-8.5783009859702226E-3</c:v>
                </c:pt>
                <c:pt idx="1409">
                  <c:v>-8.5720889052512336E-3</c:v>
                </c:pt>
                <c:pt idx="1410">
                  <c:v>-8.5648508983064368E-3</c:v>
                </c:pt>
                <c:pt idx="1411">
                  <c:v>-8.5574949614678399E-3</c:v>
                </c:pt>
                <c:pt idx="1412">
                  <c:v>-8.5490008576111099E-3</c:v>
                </c:pt>
                <c:pt idx="1413">
                  <c:v>-8.5419933972319256E-3</c:v>
                </c:pt>
                <c:pt idx="1414">
                  <c:v>-8.5375266172269589E-3</c:v>
                </c:pt>
                <c:pt idx="1415">
                  <c:v>-8.5302728675843327E-3</c:v>
                </c:pt>
                <c:pt idx="1416">
                  <c:v>-8.5214375389879079E-3</c:v>
                </c:pt>
                <c:pt idx="1417">
                  <c:v>-8.5145454413475055E-3</c:v>
                </c:pt>
                <c:pt idx="1418">
                  <c:v>-8.5072384150404762E-3</c:v>
                </c:pt>
                <c:pt idx="1419">
                  <c:v>-8.4986666334207952E-3</c:v>
                </c:pt>
                <c:pt idx="1420">
                  <c:v>-8.4892914899965307E-3</c:v>
                </c:pt>
                <c:pt idx="1421">
                  <c:v>-8.4812580722036634E-3</c:v>
                </c:pt>
                <c:pt idx="1422">
                  <c:v>-8.4755393414720943E-3</c:v>
                </c:pt>
                <c:pt idx="1423">
                  <c:v>-8.4674941318393371E-3</c:v>
                </c:pt>
                <c:pt idx="1424">
                  <c:v>-8.4578172476277649E-3</c:v>
                </c:pt>
                <c:pt idx="1425">
                  <c:v>-8.4498801046975804E-3</c:v>
                </c:pt>
                <c:pt idx="1426">
                  <c:v>-8.4416553583856989E-3</c:v>
                </c:pt>
                <c:pt idx="1427">
                  <c:v>-8.4322270187257211E-3</c:v>
                </c:pt>
                <c:pt idx="1428">
                  <c:v>-8.4219722522643498E-3</c:v>
                </c:pt>
                <c:pt idx="1429">
                  <c:v>-8.4129966362214946E-3</c:v>
                </c:pt>
                <c:pt idx="1430">
                  <c:v>-8.4062398722729633E-3</c:v>
                </c:pt>
                <c:pt idx="1431">
                  <c:v>-8.3972592630816717E-3</c:v>
                </c:pt>
                <c:pt idx="1432">
                  <c:v>-8.3867145952745241E-3</c:v>
                </c:pt>
                <c:pt idx="1433">
                  <c:v>-8.3778258751154144E-3</c:v>
                </c:pt>
                <c:pt idx="1434">
                  <c:v>-8.3686589994915444E-3</c:v>
                </c:pt>
                <c:pt idx="1435">
                  <c:v>-8.3585767067514867E-3</c:v>
                </c:pt>
                <c:pt idx="1436">
                  <c:v>-8.348379346724874E-3</c:v>
                </c:pt>
                <c:pt idx="1437">
                  <c:v>-8.3371738976000531E-3</c:v>
                </c:pt>
                <c:pt idx="1438">
                  <c:v>-8.3272586767237609E-3</c:v>
                </c:pt>
                <c:pt idx="1439">
                  <c:v>-8.3195541321128691E-3</c:v>
                </c:pt>
                <c:pt idx="1440">
                  <c:v>-8.3093960410150925E-3</c:v>
                </c:pt>
                <c:pt idx="1441">
                  <c:v>-8.2978418002812304E-3</c:v>
                </c:pt>
                <c:pt idx="1442">
                  <c:v>-8.2879756639255165E-3</c:v>
                </c:pt>
                <c:pt idx="1443">
                  <c:v>-8.2777336741463921E-3</c:v>
                </c:pt>
                <c:pt idx="1444">
                  <c:v>-8.2663740906977288E-3</c:v>
                </c:pt>
                <c:pt idx="1445">
                  <c:v>-8.2543050796654149E-3</c:v>
                </c:pt>
                <c:pt idx="1446">
                  <c:v>-8.2433920054810778E-3</c:v>
                </c:pt>
                <c:pt idx="1447">
                  <c:v>-8.2344792305584155E-3</c:v>
                </c:pt>
                <c:pt idx="1448">
                  <c:v>-8.2235297188651049E-3</c:v>
                </c:pt>
                <c:pt idx="1449">
                  <c:v>-8.2111482913594953E-3</c:v>
                </c:pt>
                <c:pt idx="1450">
                  <c:v>-8.200267309889972E-3</c:v>
                </c:pt>
                <c:pt idx="1451">
                  <c:v>-8.1891238975983337E-3</c:v>
                </c:pt>
                <c:pt idx="1452">
                  <c:v>-8.1769227224237698E-3</c:v>
                </c:pt>
                <c:pt idx="1453">
                  <c:v>-8.1639961520955269E-3</c:v>
                </c:pt>
                <c:pt idx="1454">
                  <c:v>-8.1521643271046211E-3</c:v>
                </c:pt>
                <c:pt idx="1455">
                  <c:v>-8.1422372700703498E-3</c:v>
                </c:pt>
                <c:pt idx="1456">
                  <c:v>-8.1303748263451357E-3</c:v>
                </c:pt>
                <c:pt idx="1457">
                  <c:v>-8.1171480926184678E-3</c:v>
                </c:pt>
                <c:pt idx="1458">
                  <c:v>-8.1053398890607291E-3</c:v>
                </c:pt>
                <c:pt idx="1459">
                  <c:v>-8.0932788930002716E-3</c:v>
                </c:pt>
                <c:pt idx="1460">
                  <c:v>-8.0804149733902132E-3</c:v>
                </c:pt>
                <c:pt idx="1461">
                  <c:v>-8.0674406628509707E-3</c:v>
                </c:pt>
                <c:pt idx="1462">
                  <c:v>-8.0535894064030396E-3</c:v>
                </c:pt>
                <c:pt idx="1463">
                  <c:v>-8.0408342182630398E-3</c:v>
                </c:pt>
                <c:pt idx="1464">
                  <c:v>-8.0299631360958076E-3</c:v>
                </c:pt>
                <c:pt idx="1465">
                  <c:v>-8.0169726183419547E-3</c:v>
                </c:pt>
                <c:pt idx="1466">
                  <c:v>-8.002772276474E-3</c:v>
                </c:pt>
                <c:pt idx="1467">
                  <c:v>-7.9900079407940802E-3</c:v>
                </c:pt>
                <c:pt idx="1468">
                  <c:v>-7.9769084880350269E-3</c:v>
                </c:pt>
                <c:pt idx="1469">
                  <c:v>-7.962839386199249E-3</c:v>
                </c:pt>
                <c:pt idx="1470">
                  <c:v>-7.9481555017284159E-3</c:v>
                </c:pt>
                <c:pt idx="1471">
                  <c:v>-7.934445732592197E-3</c:v>
                </c:pt>
                <c:pt idx="1472">
                  <c:v>-7.9224268549376205E-3</c:v>
                </c:pt>
                <c:pt idx="1473">
                  <c:v>-7.9086595808832826E-3</c:v>
                </c:pt>
                <c:pt idx="1474">
                  <c:v>-7.893660192459049E-3</c:v>
                </c:pt>
                <c:pt idx="1475">
                  <c:v>-7.8799264654028523E-3</c:v>
                </c:pt>
                <c:pt idx="1476">
                  <c:v>-7.8659569228764978E-3</c:v>
                </c:pt>
                <c:pt idx="1477">
                  <c:v>-7.851075676087324E-3</c:v>
                </c:pt>
                <c:pt idx="1478">
                  <c:v>-7.8355701839747088E-3</c:v>
                </c:pt>
                <c:pt idx="1479">
                  <c:v>-7.8209794080990082E-3</c:v>
                </c:pt>
                <c:pt idx="1480">
                  <c:v>-7.8079863346792733E-3</c:v>
                </c:pt>
                <c:pt idx="1481">
                  <c:v>-7.7933438775831722E-3</c:v>
                </c:pt>
                <c:pt idx="1482">
                  <c:v>-7.7775354300453226E-3</c:v>
                </c:pt>
                <c:pt idx="1483">
                  <c:v>-7.7629138384660932E-3</c:v>
                </c:pt>
                <c:pt idx="1484">
                  <c:v>-7.7480664620313807E-3</c:v>
                </c:pt>
                <c:pt idx="1485">
                  <c:v>-7.7325286047304998E-3</c:v>
                </c:pt>
                <c:pt idx="1486">
                  <c:v>-7.716886506838664E-3</c:v>
                </c:pt>
                <c:pt idx="1487">
                  <c:v>-7.7004976197438436E-3</c:v>
                </c:pt>
                <c:pt idx="1488">
                  <c:v>-7.6850169341565137E-3</c:v>
                </c:pt>
                <c:pt idx="1489">
                  <c:v>-7.6711028316641004E-3</c:v>
                </c:pt>
                <c:pt idx="1490">
                  <c:v>-7.6553979501006808E-3</c:v>
                </c:pt>
                <c:pt idx="1491">
                  <c:v>-7.6386673868790054E-3</c:v>
                </c:pt>
                <c:pt idx="1492">
                  <c:v>-7.6231283067326478E-3</c:v>
                </c:pt>
                <c:pt idx="1493">
                  <c:v>-7.6072959226121013E-3</c:v>
                </c:pt>
                <c:pt idx="1494">
                  <c:v>-7.5906403534603826E-3</c:v>
                </c:pt>
                <c:pt idx="1495">
                  <c:v>-7.5734635386754045E-3</c:v>
                </c:pt>
                <c:pt idx="1496">
                  <c:v>-7.5570856227195433E-3</c:v>
                </c:pt>
                <c:pt idx="1497">
                  <c:v>-7.5421000811725153E-3</c:v>
                </c:pt>
                <c:pt idx="1498">
                  <c:v>-7.5256485285878413E-3</c:v>
                </c:pt>
                <c:pt idx="1499">
                  <c:v>-7.508160835323921E-3</c:v>
                </c:pt>
                <c:pt idx="1500">
                  <c:v>-7.49171265089792E-3</c:v>
                </c:pt>
                <c:pt idx="1501">
                  <c:v>-7.4750565351596647E-3</c:v>
                </c:pt>
                <c:pt idx="1502">
                  <c:v>-7.4576322903352711E-3</c:v>
                </c:pt>
                <c:pt idx="1503">
                  <c:v>-7.4396832166944444E-3</c:v>
                </c:pt>
                <c:pt idx="1504">
                  <c:v>-7.4224769731918994E-3</c:v>
                </c:pt>
                <c:pt idx="1505">
                  <c:v>-7.4065738281802523E-3</c:v>
                </c:pt>
                <c:pt idx="1506">
                  <c:v>-7.3892993564718895E-3</c:v>
                </c:pt>
                <c:pt idx="1507">
                  <c:v>-7.3710525175222207E-3</c:v>
                </c:pt>
                <c:pt idx="1508">
                  <c:v>-7.3537709237655379E-3</c:v>
                </c:pt>
                <c:pt idx="1509">
                  <c:v>-7.3362914998912629E-3</c:v>
                </c:pt>
                <c:pt idx="1510">
                  <c:v>-7.318232035321004E-3</c:v>
                </c:pt>
                <c:pt idx="1511">
                  <c:v>-7.3000762154607794E-3</c:v>
                </c:pt>
                <c:pt idx="1512">
                  <c:v>-7.2813003145161216E-3</c:v>
                </c:pt>
                <c:pt idx="1513">
                  <c:v>-7.2632540386205193E-3</c:v>
                </c:pt>
                <c:pt idx="1514">
                  <c:v>-7.2464720059201805E-3</c:v>
                </c:pt>
                <c:pt idx="1515">
                  <c:v>-7.228216698971719E-3</c:v>
                </c:pt>
                <c:pt idx="1516">
                  <c:v>-7.2091141013458692E-3</c:v>
                </c:pt>
                <c:pt idx="1517">
                  <c:v>-7.1909706084237026E-3</c:v>
                </c:pt>
                <c:pt idx="1518">
                  <c:v>-7.1725759644011497E-3</c:v>
                </c:pt>
                <c:pt idx="1519">
                  <c:v>-7.1535002742971537E-3</c:v>
                </c:pt>
                <c:pt idx="1520">
                  <c:v>-7.1339942575231342E-3</c:v>
                </c:pt>
                <c:pt idx="1521">
                  <c:v>-7.1151220554545556E-3</c:v>
                </c:pt>
                <c:pt idx="1522">
                  <c:v>-7.0973598916762365E-3</c:v>
                </c:pt>
                <c:pt idx="1523">
                  <c:v>-7.0784028421938408E-3</c:v>
                </c:pt>
                <c:pt idx="1524">
                  <c:v>-7.0585984396605694E-3</c:v>
                </c:pt>
                <c:pt idx="1525">
                  <c:v>-7.039620243981728E-3</c:v>
                </c:pt>
                <c:pt idx="1526">
                  <c:v>-7.020462628163378E-3</c:v>
                </c:pt>
                <c:pt idx="1527">
                  <c:v>-7.0006754620044803E-3</c:v>
                </c:pt>
                <c:pt idx="1528">
                  <c:v>-6.9804593955553112E-3</c:v>
                </c:pt>
                <c:pt idx="1529">
                  <c:v>-6.9608252672636716E-3</c:v>
                </c:pt>
                <c:pt idx="1530">
                  <c:v>-6.9422177234010583E-3</c:v>
                </c:pt>
                <c:pt idx="1531">
                  <c:v>-6.9225041052364657E-3</c:v>
                </c:pt>
                <c:pt idx="1532">
                  <c:v>-6.9020033160684053E-3</c:v>
                </c:pt>
                <c:pt idx="1533">
                  <c:v>-6.882260265903441E-3</c:v>
                </c:pt>
                <c:pt idx="1534">
                  <c:v>-6.8623478360613829E-3</c:v>
                </c:pt>
                <c:pt idx="1535">
                  <c:v>-6.8419619040805194E-3</c:v>
                </c:pt>
                <c:pt idx="1536">
                  <c:v>-6.8214889596760241E-3</c:v>
                </c:pt>
                <c:pt idx="1537">
                  <c:v>-6.8005167414604316E-3</c:v>
                </c:pt>
                <c:pt idx="1538">
                  <c:v>-6.7801085701078134E-3</c:v>
                </c:pt>
                <c:pt idx="1539">
                  <c:v>-6.7606829853722643E-3</c:v>
                </c:pt>
                <c:pt idx="1540">
                  <c:v>-6.7400843094845E-3</c:v>
                </c:pt>
                <c:pt idx="1541">
                  <c:v>-6.7188079376189957E-3</c:v>
                </c:pt>
                <c:pt idx="1542">
                  <c:v>-6.6982747176070959E-3</c:v>
                </c:pt>
                <c:pt idx="1543">
                  <c:v>-6.6775319790451709E-3</c:v>
                </c:pt>
                <c:pt idx="1544">
                  <c:v>-6.6562434936244278E-3</c:v>
                </c:pt>
                <c:pt idx="1545">
                  <c:v>-6.6346111539359849E-3</c:v>
                </c:pt>
                <c:pt idx="1546">
                  <c:v>-6.6134607728955989E-3</c:v>
                </c:pt>
                <c:pt idx="1547">
                  <c:v>-6.5931597145894097E-3</c:v>
                </c:pt>
                <c:pt idx="1548">
                  <c:v>-6.571918467110931E-3</c:v>
                </c:pt>
                <c:pt idx="1549">
                  <c:v>-6.5500078373622993E-3</c:v>
                </c:pt>
                <c:pt idx="1550">
                  <c:v>-6.5287269532797862E-3</c:v>
                </c:pt>
                <c:pt idx="1551">
                  <c:v>-6.5072953703303087E-3</c:v>
                </c:pt>
                <c:pt idx="1552">
                  <c:v>-6.4853651832627304E-3</c:v>
                </c:pt>
                <c:pt idx="1553">
                  <c:v>-6.4630966192892386E-3</c:v>
                </c:pt>
                <c:pt idx="1554">
                  <c:v>-6.4412633373814995E-3</c:v>
                </c:pt>
                <c:pt idx="1555">
                  <c:v>-6.4202032827583317E-3</c:v>
                </c:pt>
                <c:pt idx="1556">
                  <c:v>-6.3982844591249071E-3</c:v>
                </c:pt>
                <c:pt idx="1557">
                  <c:v>-6.3757518639605895E-3</c:v>
                </c:pt>
                <c:pt idx="1558">
                  <c:v>-6.3537874897475997E-3</c:v>
                </c:pt>
                <c:pt idx="1559">
                  <c:v>-6.3316822059963241E-3</c:v>
                </c:pt>
                <c:pt idx="1560">
                  <c:v>-6.3091191759346134E-3</c:v>
                </c:pt>
                <c:pt idx="1561">
                  <c:v>-6.286244620681114E-3</c:v>
                </c:pt>
                <c:pt idx="1562">
                  <c:v>-6.2637619044765957E-3</c:v>
                </c:pt>
                <c:pt idx="1563">
                  <c:v>-6.2419771506548134E-3</c:v>
                </c:pt>
                <c:pt idx="1564">
                  <c:v>-6.2194080080079043E-3</c:v>
                </c:pt>
                <c:pt idx="1565">
                  <c:v>-6.196277677821627E-3</c:v>
                </c:pt>
                <c:pt idx="1566">
                  <c:v>-6.1736593505278868E-3</c:v>
                </c:pt>
                <c:pt idx="1567">
                  <c:v>-6.1509090215915128E-3</c:v>
                </c:pt>
                <c:pt idx="1568">
                  <c:v>-6.1278163304218551E-3</c:v>
                </c:pt>
                <c:pt idx="1569">
                  <c:v>-6.1046509874650269E-3</c:v>
                </c:pt>
                <c:pt idx="1570">
                  <c:v>-6.0811331531768426E-3</c:v>
                </c:pt>
                <c:pt idx="1571">
                  <c:v>-6.0579852156590324E-3</c:v>
                </c:pt>
                <c:pt idx="1572">
                  <c:v>-6.0354886033349535E-3</c:v>
                </c:pt>
                <c:pt idx="1573">
                  <c:v>-6.0121797180289456E-3</c:v>
                </c:pt>
                <c:pt idx="1574">
                  <c:v>-5.9883978033076204E-3</c:v>
                </c:pt>
                <c:pt idx="1575">
                  <c:v>-5.9651057850608055E-3</c:v>
                </c:pt>
                <c:pt idx="1576">
                  <c:v>-5.9416572754351152E-3</c:v>
                </c:pt>
                <c:pt idx="1577">
                  <c:v>-5.9178267669728656E-3</c:v>
                </c:pt>
                <c:pt idx="1578">
                  <c:v>-5.893757071598566E-3</c:v>
                </c:pt>
                <c:pt idx="1579">
                  <c:v>-5.8699936111731143E-3</c:v>
                </c:pt>
                <c:pt idx="1580">
                  <c:v>-5.846776252149479E-3</c:v>
                </c:pt>
                <c:pt idx="1581">
                  <c:v>-5.8229220549564607E-3</c:v>
                </c:pt>
                <c:pt idx="1582">
                  <c:v>-5.7986112735668761E-3</c:v>
                </c:pt>
                <c:pt idx="1583">
                  <c:v>-5.7747026441615336E-3</c:v>
                </c:pt>
                <c:pt idx="1584">
                  <c:v>-5.750680546196537E-3</c:v>
                </c:pt>
                <c:pt idx="1585">
                  <c:v>-5.7263168673066462E-3</c:v>
                </c:pt>
                <c:pt idx="1586">
                  <c:v>-5.7017233509365373E-3</c:v>
                </c:pt>
                <c:pt idx="1587">
                  <c:v>-5.6773974719203013E-3</c:v>
                </c:pt>
                <c:pt idx="1588">
                  <c:v>-5.6535534481446615E-3</c:v>
                </c:pt>
                <c:pt idx="1589">
                  <c:v>-5.6291421849764172E-3</c:v>
                </c:pt>
                <c:pt idx="1590">
                  <c:v>-5.6043224980218583E-3</c:v>
                </c:pt>
                <c:pt idx="1591">
                  <c:v>-5.5798540877608147E-3</c:v>
                </c:pt>
                <c:pt idx="1592">
                  <c:v>-5.5552813794590922E-3</c:v>
                </c:pt>
                <c:pt idx="1593">
                  <c:v>-5.5304559459521362E-3</c:v>
                </c:pt>
                <c:pt idx="1594">
                  <c:v>-5.5055696623462986E-3</c:v>
                </c:pt>
                <c:pt idx="1595">
                  <c:v>-5.4804300905341875E-3</c:v>
                </c:pt>
                <c:pt idx="1596">
                  <c:v>-5.4555356672106124E-3</c:v>
                </c:pt>
                <c:pt idx="1597">
                  <c:v>-5.4310775813751532E-3</c:v>
                </c:pt>
                <c:pt idx="1598">
                  <c:v>-5.4060470036581603E-3</c:v>
                </c:pt>
                <c:pt idx="1599">
                  <c:v>-5.3806806391691574E-3</c:v>
                </c:pt>
                <c:pt idx="1600">
                  <c:v>-5.355492782199516E-3</c:v>
                </c:pt>
                <c:pt idx="1601">
                  <c:v>-5.330419201360531E-3</c:v>
                </c:pt>
                <c:pt idx="1602">
                  <c:v>-5.3054171430233646E-3</c:v>
                </c:pt>
                <c:pt idx="1603">
                  <c:v>-5.2798492519771723E-3</c:v>
                </c:pt>
                <c:pt idx="1604">
                  <c:v>-5.2540451580896297E-3</c:v>
                </c:pt>
                <c:pt idx="1605">
                  <c:v>-5.2288437611848941E-3</c:v>
                </c:pt>
                <c:pt idx="1606">
                  <c:v>-5.203691570265026E-3</c:v>
                </c:pt>
                <c:pt idx="1607">
                  <c:v>-5.1780343983756066E-3</c:v>
                </c:pt>
                <c:pt idx="1608">
                  <c:v>-5.1523471444900708E-3</c:v>
                </c:pt>
                <c:pt idx="1609">
                  <c:v>-5.1266926579365806E-3</c:v>
                </c:pt>
                <c:pt idx="1610">
                  <c:v>-5.10071708009308E-3</c:v>
                </c:pt>
                <c:pt idx="1611">
                  <c:v>-5.0746371204979119E-3</c:v>
                </c:pt>
                <c:pt idx="1612">
                  <c:v>-5.0489838830522485E-3</c:v>
                </c:pt>
                <c:pt idx="1613">
                  <c:v>-5.0233741657697622E-3</c:v>
                </c:pt>
                <c:pt idx="1614">
                  <c:v>-4.9971502354193226E-3</c:v>
                </c:pt>
                <c:pt idx="1615">
                  <c:v>-4.9708065203896224E-3</c:v>
                </c:pt>
                <c:pt idx="1616">
                  <c:v>-4.9449492877152211E-3</c:v>
                </c:pt>
                <c:pt idx="1617">
                  <c:v>-4.9190281667054452E-3</c:v>
                </c:pt>
                <c:pt idx="1618">
                  <c:v>-4.8926536852145312E-3</c:v>
                </c:pt>
                <c:pt idx="1619">
                  <c:v>-4.8664838144779699E-3</c:v>
                </c:pt>
                <c:pt idx="1620">
                  <c:v>-4.8403685450177621E-3</c:v>
                </c:pt>
                <c:pt idx="1621">
                  <c:v>-4.8138103379860514E-3</c:v>
                </c:pt>
                <c:pt idx="1622">
                  <c:v>-4.7871763457289652E-3</c:v>
                </c:pt>
                <c:pt idx="1623">
                  <c:v>-4.7609169069042509E-3</c:v>
                </c:pt>
                <c:pt idx="1624">
                  <c:v>-4.7346010185822431E-3</c:v>
                </c:pt>
                <c:pt idx="1625">
                  <c:v>-4.7078953134200375E-3</c:v>
                </c:pt>
                <c:pt idx="1626">
                  <c:v>-4.6813677087100209E-3</c:v>
                </c:pt>
                <c:pt idx="1627">
                  <c:v>-4.6548819154627139E-3</c:v>
                </c:pt>
                <c:pt idx="1628">
                  <c:v>-4.6280150655440659E-3</c:v>
                </c:pt>
                <c:pt idx="1629">
                  <c:v>-4.6010789582595383E-3</c:v>
                </c:pt>
                <c:pt idx="1630">
                  <c:v>-4.5744553002767009E-3</c:v>
                </c:pt>
                <c:pt idx="1631">
                  <c:v>-4.5478483714755241E-3</c:v>
                </c:pt>
                <c:pt idx="1632">
                  <c:v>-4.5209316064862195E-3</c:v>
                </c:pt>
                <c:pt idx="1633">
                  <c:v>-4.4939900185568434E-3</c:v>
                </c:pt>
                <c:pt idx="1634">
                  <c:v>-4.4670549059628809E-3</c:v>
                </c:pt>
                <c:pt idx="1635">
                  <c:v>-4.4399295924930108E-3</c:v>
                </c:pt>
                <c:pt idx="1636">
                  <c:v>-4.4127361657164306E-3</c:v>
                </c:pt>
                <c:pt idx="1637">
                  <c:v>-4.3857632959255549E-3</c:v>
                </c:pt>
                <c:pt idx="1638">
                  <c:v>-4.3588024149428277E-3</c:v>
                </c:pt>
                <c:pt idx="1639">
                  <c:v>-4.3314985742570729E-3</c:v>
                </c:pt>
                <c:pt idx="1640">
                  <c:v>-4.3041193898829527E-3</c:v>
                </c:pt>
                <c:pt idx="1641">
                  <c:v>-4.2769846843041968E-3</c:v>
                </c:pt>
                <c:pt idx="1642">
                  <c:v>-4.2498074056513844E-3</c:v>
                </c:pt>
                <c:pt idx="1643">
                  <c:v>-4.2223819058035258E-3</c:v>
                </c:pt>
                <c:pt idx="1644">
                  <c:v>-4.195043905876372E-3</c:v>
                </c:pt>
                <c:pt idx="1645">
                  <c:v>-4.1677220015486557E-3</c:v>
                </c:pt>
                <c:pt idx="1646">
                  <c:v>-4.1401698723696556E-3</c:v>
                </c:pt>
                <c:pt idx="1647">
                  <c:v>-4.1125699061371687E-3</c:v>
                </c:pt>
                <c:pt idx="1648">
                  <c:v>-4.0851369165669652E-3</c:v>
                </c:pt>
                <c:pt idx="1649">
                  <c:v>-4.0576675781230668E-3</c:v>
                </c:pt>
                <c:pt idx="1650">
                  <c:v>-4.0300005917571482E-3</c:v>
                </c:pt>
                <c:pt idx="1651">
                  <c:v>-4.0023988708645913E-3</c:v>
                </c:pt>
                <c:pt idx="1652">
                  <c:v>-3.9748042178543034E-3</c:v>
                </c:pt>
                <c:pt idx="1653">
                  <c:v>-3.9470291122609752E-3</c:v>
                </c:pt>
                <c:pt idx="1654">
                  <c:v>-3.9192124545468186E-3</c:v>
                </c:pt>
                <c:pt idx="1655">
                  <c:v>-3.8915151284846889E-3</c:v>
                </c:pt>
                <c:pt idx="1656">
                  <c:v>-3.8638120230418565E-3</c:v>
                </c:pt>
                <c:pt idx="1657">
                  <c:v>-3.8359650042939031E-3</c:v>
                </c:pt>
                <c:pt idx="1658">
                  <c:v>-3.808094677619779E-3</c:v>
                </c:pt>
                <c:pt idx="1659">
                  <c:v>-3.7802153100967113E-3</c:v>
                </c:pt>
                <c:pt idx="1660">
                  <c:v>-3.7522512428882142E-3</c:v>
                </c:pt>
                <c:pt idx="1661">
                  <c:v>-3.7242499026958332E-3</c:v>
                </c:pt>
                <c:pt idx="1662">
                  <c:v>-3.6963116104402937E-3</c:v>
                </c:pt>
                <c:pt idx="1663">
                  <c:v>-3.6683638702686293E-3</c:v>
                </c:pt>
                <c:pt idx="1664">
                  <c:v>-3.6402872159329285E-3</c:v>
                </c:pt>
                <c:pt idx="1665">
                  <c:v>-3.6121726123556812E-3</c:v>
                </c:pt>
                <c:pt idx="1666">
                  <c:v>-3.5841186504188562E-3</c:v>
                </c:pt>
                <c:pt idx="1667">
                  <c:v>-3.5560413116175809E-3</c:v>
                </c:pt>
                <c:pt idx="1668">
                  <c:v>-3.5278769669588122E-3</c:v>
                </c:pt>
                <c:pt idx="1669">
                  <c:v>-3.4997143917328043E-3</c:v>
                </c:pt>
                <c:pt idx="1670">
                  <c:v>-3.4715416824828787E-3</c:v>
                </c:pt>
                <c:pt idx="1671">
                  <c:v>-3.4433036010694264E-3</c:v>
                </c:pt>
                <c:pt idx="1672">
                  <c:v>-3.4150417685517988E-3</c:v>
                </c:pt>
                <c:pt idx="1673">
                  <c:v>-3.3867936007150423E-3</c:v>
                </c:pt>
                <c:pt idx="1674">
                  <c:v>-3.3585272165861835E-3</c:v>
                </c:pt>
                <c:pt idx="1675">
                  <c:v>-3.33021117344592E-3</c:v>
                </c:pt>
                <c:pt idx="1676">
                  <c:v>-3.3018799341954E-3</c:v>
                </c:pt>
                <c:pt idx="1677">
                  <c:v>-3.2735332280018582E-3</c:v>
                </c:pt>
                <c:pt idx="1678">
                  <c:v>-3.245158335633421E-3</c:v>
                </c:pt>
                <c:pt idx="1679">
                  <c:v>-3.2167654616935409E-3</c:v>
                </c:pt>
                <c:pt idx="1680">
                  <c:v>-3.1883531978572997E-3</c:v>
                </c:pt>
                <c:pt idx="1681">
                  <c:v>-3.1599220611674842E-3</c:v>
                </c:pt>
                <c:pt idx="1682">
                  <c:v>-3.1314726162669985E-3</c:v>
                </c:pt>
                <c:pt idx="1683">
                  <c:v>-3.1030048040650206E-3</c:v>
                </c:pt>
                <c:pt idx="1684">
                  <c:v>-3.074519868744846E-3</c:v>
                </c:pt>
                <c:pt idx="1685">
                  <c:v>-3.0460297285352551E-3</c:v>
                </c:pt>
                <c:pt idx="1686">
                  <c:v>-3.0175279458525823E-3</c:v>
                </c:pt>
                <c:pt idx="1687">
                  <c:v>-2.9889804566574133E-3</c:v>
                </c:pt>
                <c:pt idx="1688">
                  <c:v>-2.9604118557353854E-3</c:v>
                </c:pt>
                <c:pt idx="1689">
                  <c:v>-2.9318700359468727E-3</c:v>
                </c:pt>
                <c:pt idx="1690">
                  <c:v>-2.9033204293412592E-3</c:v>
                </c:pt>
                <c:pt idx="1691">
                  <c:v>-2.8747060890775551E-3</c:v>
                </c:pt>
                <c:pt idx="1692">
                  <c:v>-2.8460851076968852E-3</c:v>
                </c:pt>
                <c:pt idx="1693">
                  <c:v>-2.8174936124827667E-3</c:v>
                </c:pt>
                <c:pt idx="1694">
                  <c:v>-2.7888492279752202E-3</c:v>
                </c:pt>
                <c:pt idx="1695">
                  <c:v>-2.7601802897179806E-3</c:v>
                </c:pt>
                <c:pt idx="1696">
                  <c:v>-2.7315625862193074E-3</c:v>
                </c:pt>
                <c:pt idx="1697">
                  <c:v>-2.7029413389309757E-3</c:v>
                </c:pt>
                <c:pt idx="1698">
                  <c:v>-2.6742342790850027E-3</c:v>
                </c:pt>
                <c:pt idx="1699">
                  <c:v>-2.645524679987949E-3</c:v>
                </c:pt>
                <c:pt idx="1700">
                  <c:v>-2.6168690124751628E-3</c:v>
                </c:pt>
                <c:pt idx="1701">
                  <c:v>-2.5881497110442136E-3</c:v>
                </c:pt>
                <c:pt idx="1702">
                  <c:v>-2.5594039879460336E-3</c:v>
                </c:pt>
                <c:pt idx="1703">
                  <c:v>-2.5307337677530385E-3</c:v>
                </c:pt>
                <c:pt idx="1704">
                  <c:v>-2.5020650198985107E-3</c:v>
                </c:pt>
                <c:pt idx="1705">
                  <c:v>-2.4732919378920265E-3</c:v>
                </c:pt>
                <c:pt idx="1706">
                  <c:v>-2.4444959648772212E-3</c:v>
                </c:pt>
                <c:pt idx="1707">
                  <c:v>-2.415766792047783E-3</c:v>
                </c:pt>
                <c:pt idx="1708">
                  <c:v>-2.3870267990884907E-3</c:v>
                </c:pt>
                <c:pt idx="1709">
                  <c:v>-2.3582688278399764E-3</c:v>
                </c:pt>
                <c:pt idx="1710">
                  <c:v>-2.3295594716705257E-3</c:v>
                </c:pt>
                <c:pt idx="1711">
                  <c:v>-2.3008585621620715E-3</c:v>
                </c:pt>
                <c:pt idx="1712">
                  <c:v>-2.2720508104384358E-3</c:v>
                </c:pt>
                <c:pt idx="1713">
                  <c:v>-2.243219639174043E-3</c:v>
                </c:pt>
                <c:pt idx="1714">
                  <c:v>-2.2144687472971211E-3</c:v>
                </c:pt>
                <c:pt idx="1715">
                  <c:v>-2.1857541484861668E-3</c:v>
                </c:pt>
                <c:pt idx="1716">
                  <c:v>-2.1570399189912164E-3</c:v>
                </c:pt>
                <c:pt idx="1717">
                  <c:v>-2.128306499851428E-3</c:v>
                </c:pt>
                <c:pt idx="1718">
                  <c:v>-2.0995632601963151E-3</c:v>
                </c:pt>
                <c:pt idx="1719">
                  <c:v>-2.0707110149565302E-3</c:v>
                </c:pt>
                <c:pt idx="1720">
                  <c:v>-2.0418415513974429E-3</c:v>
                </c:pt>
                <c:pt idx="1721">
                  <c:v>-2.0131468529586533E-3</c:v>
                </c:pt>
                <c:pt idx="1722">
                  <c:v>-1.9844718628477965E-3</c:v>
                </c:pt>
                <c:pt idx="1723">
                  <c:v>-1.9556456502623403E-3</c:v>
                </c:pt>
                <c:pt idx="1724">
                  <c:v>-1.9268306156324472E-3</c:v>
                </c:pt>
                <c:pt idx="1725">
                  <c:v>-1.8981314492942955E-3</c:v>
                </c:pt>
                <c:pt idx="1726">
                  <c:v>-1.8693555818269135E-3</c:v>
                </c:pt>
                <c:pt idx="1727">
                  <c:v>-1.8405528232512626E-3</c:v>
                </c:pt>
                <c:pt idx="1728">
                  <c:v>-1.8118808073631695E-3</c:v>
                </c:pt>
                <c:pt idx="1729">
                  <c:v>-1.7832244307643098E-3</c:v>
                </c:pt>
                <c:pt idx="1730">
                  <c:v>-1.7544310166968564E-3</c:v>
                </c:pt>
                <c:pt idx="1731">
                  <c:v>-1.7256190383596831E-3</c:v>
                </c:pt>
                <c:pt idx="1732">
                  <c:v>-1.6969195650792376E-3</c:v>
                </c:pt>
                <c:pt idx="1733">
                  <c:v>-1.6682734078565134E-3</c:v>
                </c:pt>
                <c:pt idx="1734">
                  <c:v>-1.6396325851939994E-3</c:v>
                </c:pt>
                <c:pt idx="1735">
                  <c:v>-1.6109781881272383E-3</c:v>
                </c:pt>
                <c:pt idx="1736">
                  <c:v>-1.5823203851489602E-3</c:v>
                </c:pt>
                <c:pt idx="1737">
                  <c:v>-1.5535482764949783E-3</c:v>
                </c:pt>
                <c:pt idx="1738">
                  <c:v>-1.5247651129905886E-3</c:v>
                </c:pt>
                <c:pt idx="1739">
                  <c:v>-1.4961333968330967E-3</c:v>
                </c:pt>
                <c:pt idx="1740">
                  <c:v>-1.4674989034213447E-3</c:v>
                </c:pt>
                <c:pt idx="1741">
                  <c:v>-1.4388508208324797E-3</c:v>
                </c:pt>
                <c:pt idx="1742">
                  <c:v>-1.4102883538334872E-3</c:v>
                </c:pt>
                <c:pt idx="1743">
                  <c:v>-1.3817498119271735E-3</c:v>
                </c:pt>
                <c:pt idx="1744">
                  <c:v>-1.3530912998625405E-3</c:v>
                </c:pt>
                <c:pt idx="1745">
                  <c:v>-1.3244187981189756E-3</c:v>
                </c:pt>
                <c:pt idx="1746">
                  <c:v>-1.2959165049603101E-3</c:v>
                </c:pt>
                <c:pt idx="1747">
                  <c:v>-1.2674472696615059E-3</c:v>
                </c:pt>
                <c:pt idx="1748">
                  <c:v>-1.2388354473103647E-3</c:v>
                </c:pt>
                <c:pt idx="1749">
                  <c:v>-1.2102450288565643E-3</c:v>
                </c:pt>
                <c:pt idx="1750">
                  <c:v>-1.1817878841336503E-3</c:v>
                </c:pt>
                <c:pt idx="1751">
                  <c:v>-1.1533400363183109E-3</c:v>
                </c:pt>
                <c:pt idx="1752">
                  <c:v>-1.1248883623922966E-3</c:v>
                </c:pt>
                <c:pt idx="1753">
                  <c:v>-1.0964466025412108E-3</c:v>
                </c:pt>
                <c:pt idx="1754">
                  <c:v>-1.0680120336774243E-3</c:v>
                </c:pt>
                <c:pt idx="1755">
                  <c:v>-1.0394783749455997E-3</c:v>
                </c:pt>
                <c:pt idx="1756">
                  <c:v>-1.0109442582621219E-3</c:v>
                </c:pt>
                <c:pt idx="1757">
                  <c:v>-9.8257112876063519E-4</c:v>
                </c:pt>
                <c:pt idx="1758">
                  <c:v>-9.5420388861386189E-4</c:v>
                </c:pt>
                <c:pt idx="1759">
                  <c:v>-9.2583048007398956E-4</c:v>
                </c:pt>
                <c:pt idx="1760">
                  <c:v>-8.9754521980860342E-4</c:v>
                </c:pt>
                <c:pt idx="1761">
                  <c:v>-8.6928947361398004E-4</c:v>
                </c:pt>
                <c:pt idx="1762">
                  <c:v>-8.4093610660664845E-4</c:v>
                </c:pt>
                <c:pt idx="1763">
                  <c:v>-8.1257947813133803E-4</c:v>
                </c:pt>
                <c:pt idx="1764">
                  <c:v>-7.8433698134306427E-4</c:v>
                </c:pt>
                <c:pt idx="1765">
                  <c:v>-7.5610753370976486E-4</c:v>
                </c:pt>
                <c:pt idx="1766">
                  <c:v>-7.2788392454785291E-4</c:v>
                </c:pt>
                <c:pt idx="1767">
                  <c:v>-6.9973883518968866E-4</c:v>
                </c:pt>
                <c:pt idx="1768">
                  <c:v>-6.7162769004895249E-4</c:v>
                </c:pt>
                <c:pt idx="1769">
                  <c:v>-6.4343354243232996E-4</c:v>
                </c:pt>
                <c:pt idx="1770">
                  <c:v>-6.1524111336506689E-4</c:v>
                </c:pt>
                <c:pt idx="1771">
                  <c:v>-5.8719589025881935E-4</c:v>
                </c:pt>
                <c:pt idx="1772">
                  <c:v>-5.5918969972000739E-4</c:v>
                </c:pt>
                <c:pt idx="1773">
                  <c:v>-5.3108904314552437E-4</c:v>
                </c:pt>
                <c:pt idx="1774">
                  <c:v>-5.030174607457595E-4</c:v>
                </c:pt>
                <c:pt idx="1775">
                  <c:v>-4.7505971293870352E-4</c:v>
                </c:pt>
                <c:pt idx="1776">
                  <c:v>-4.4706885474685902E-4</c:v>
                </c:pt>
                <c:pt idx="1777">
                  <c:v>-4.1908015992451911E-4</c:v>
                </c:pt>
                <c:pt idx="1778">
                  <c:v>-3.9120631572375954E-4</c:v>
                </c:pt>
                <c:pt idx="1779">
                  <c:v>-3.633656492051633E-4</c:v>
                </c:pt>
                <c:pt idx="1780">
                  <c:v>-3.3545932327671852E-4</c:v>
                </c:pt>
                <c:pt idx="1781">
                  <c:v>-3.0756477769915434E-4</c:v>
                </c:pt>
                <c:pt idx="1782">
                  <c:v>-2.7976605395604252E-4</c:v>
                </c:pt>
                <c:pt idx="1783">
                  <c:v>-2.5199204153774642E-4</c:v>
                </c:pt>
                <c:pt idx="1784">
                  <c:v>-2.2423421335480178E-4</c:v>
                </c:pt>
                <c:pt idx="1785">
                  <c:v>-1.965420954648726E-4</c:v>
                </c:pt>
                <c:pt idx="1786">
                  <c:v>-1.68885981753811E-4</c:v>
                </c:pt>
                <c:pt idx="1787">
                  <c:v>-1.4119528203648211E-4</c:v>
                </c:pt>
                <c:pt idx="1788">
                  <c:v>-1.1352166111913501E-4</c:v>
                </c:pt>
                <c:pt idx="1789">
                  <c:v>-8.5929330693972474E-5</c:v>
                </c:pt>
                <c:pt idx="1790">
                  <c:v>-5.8364579124868089E-5</c:v>
                </c:pt>
                <c:pt idx="1791">
                  <c:v>-3.0822687378297318E-5</c:v>
                </c:pt>
                <c:pt idx="1792">
                  <c:v>-3.3376981549300652E-6</c:v>
                </c:pt>
                <c:pt idx="1793">
                  <c:v>2.4110945477729743E-5</c:v>
                </c:pt>
                <c:pt idx="1794">
                  <c:v>5.1570602925476841E-5</c:v>
                </c:pt>
                <c:pt idx="1795">
                  <c:v>7.9006448537578846E-5</c:v>
                </c:pt>
                <c:pt idx="1796">
                  <c:v>1.0636246286456965E-4</c:v>
                </c:pt>
                <c:pt idx="1797">
                  <c:v>1.3367989436885227E-4</c:v>
                </c:pt>
                <c:pt idx="1798">
                  <c:v>1.6100165917734994E-4</c:v>
                </c:pt>
                <c:pt idx="1799">
                  <c:v>1.8828944529874887E-4</c:v>
                </c:pt>
                <c:pt idx="1800">
                  <c:v>2.15516947605924E-4</c:v>
                </c:pt>
                <c:pt idx="1801">
                  <c:v>2.4272087115626437E-4</c:v>
                </c:pt>
                <c:pt idx="1802">
                  <c:v>2.6989618833218854E-4</c:v>
                </c:pt>
                <c:pt idx="1803">
                  <c:v>2.9702116367267401E-4</c:v>
                </c:pt>
                <c:pt idx="1804">
                  <c:v>3.2411038432775957E-4</c:v>
                </c:pt>
                <c:pt idx="1805">
                  <c:v>3.5117059318159481E-4</c:v>
                </c:pt>
                <c:pt idx="1806">
                  <c:v>3.7819513598617437E-4</c:v>
                </c:pt>
                <c:pt idx="1807">
                  <c:v>4.0517915418774876E-4</c:v>
                </c:pt>
                <c:pt idx="1808">
                  <c:v>4.3212402164052416E-4</c:v>
                </c:pt>
                <c:pt idx="1809">
                  <c:v>4.5903191976978013E-4</c:v>
                </c:pt>
                <c:pt idx="1810">
                  <c:v>4.8590968173666611E-4</c:v>
                </c:pt>
                <c:pt idx="1811">
                  <c:v>5.1275229797877241E-4</c:v>
                </c:pt>
                <c:pt idx="1812">
                  <c:v>5.3953506209544375E-4</c:v>
                </c:pt>
                <c:pt idx="1813">
                  <c:v>5.6627490023639896E-4</c:v>
                </c:pt>
                <c:pt idx="1814">
                  <c:v>5.9299354622104712E-4</c:v>
                </c:pt>
                <c:pt idx="1815">
                  <c:v>6.196686769659916E-4</c:v>
                </c:pt>
                <c:pt idx="1816">
                  <c:v>6.4630088830064424E-4</c:v>
                </c:pt>
                <c:pt idx="1817">
                  <c:v>6.7291559571184493E-4</c:v>
                </c:pt>
                <c:pt idx="1818">
                  <c:v>6.9949629160787215E-4</c:v>
                </c:pt>
                <c:pt idx="1819">
                  <c:v>7.2598582068901692E-4</c:v>
                </c:pt>
                <c:pt idx="1820">
                  <c:v>7.5242437763581955E-4</c:v>
                </c:pt>
                <c:pt idx="1821">
                  <c:v>7.7888921180564578E-4</c:v>
                </c:pt>
                <c:pt idx="1822">
                  <c:v>8.0532182523174753E-4</c:v>
                </c:pt>
                <c:pt idx="1823">
                  <c:v>8.3163292065638697E-4</c:v>
                </c:pt>
                <c:pt idx="1824">
                  <c:v>8.5790767049020978E-4</c:v>
                </c:pt>
                <c:pt idx="1825">
                  <c:v>8.8420500603221552E-4</c:v>
                </c:pt>
                <c:pt idx="1826">
                  <c:v>9.1040438919813538E-4</c:v>
                </c:pt>
                <c:pt idx="1827">
                  <c:v>9.3654260383320095E-4</c:v>
                </c:pt>
                <c:pt idx="1828">
                  <c:v>9.6272563041649038E-4</c:v>
                </c:pt>
                <c:pt idx="1829">
                  <c:v>9.8887388059051796E-4</c:v>
                </c:pt>
                <c:pt idx="1830">
                  <c:v>1.014867298844789E-3</c:v>
                </c:pt>
                <c:pt idx="1831">
                  <c:v>1.0407968780052662E-3</c:v>
                </c:pt>
                <c:pt idx="1832">
                  <c:v>1.0667667930071715E-3</c:v>
                </c:pt>
                <c:pt idx="1833">
                  <c:v>1.0926825909466805E-3</c:v>
                </c:pt>
                <c:pt idx="1834">
                  <c:v>1.11853746984848E-3</c:v>
                </c:pt>
                <c:pt idx="1835">
                  <c:v>1.1444140004995629E-3</c:v>
                </c:pt>
                <c:pt idx="1836">
                  <c:v>1.1702605049626268E-3</c:v>
                </c:pt>
                <c:pt idx="1837">
                  <c:v>1.1959265289394957E-3</c:v>
                </c:pt>
                <c:pt idx="1838">
                  <c:v>1.2215195958279056E-3</c:v>
                </c:pt>
                <c:pt idx="1839">
                  <c:v>1.2471749162146545E-3</c:v>
                </c:pt>
                <c:pt idx="1840">
                  <c:v>1.2727699380141893E-3</c:v>
                </c:pt>
                <c:pt idx="1841">
                  <c:v>1.2982996352502983E-3</c:v>
                </c:pt>
                <c:pt idx="1842">
                  <c:v>1.3238662656994587E-3</c:v>
                </c:pt>
                <c:pt idx="1843">
                  <c:v>1.34940541249357E-3</c:v>
                </c:pt>
                <c:pt idx="1844">
                  <c:v>1.3747267106169329E-3</c:v>
                </c:pt>
                <c:pt idx="1845">
                  <c:v>1.3999659927479285E-3</c:v>
                </c:pt>
                <c:pt idx="1846">
                  <c:v>1.4253696761794804E-3</c:v>
                </c:pt>
                <c:pt idx="1847">
                  <c:v>1.4507525548256893E-3</c:v>
                </c:pt>
                <c:pt idx="1848">
                  <c:v>1.4758592181457367E-3</c:v>
                </c:pt>
                <c:pt idx="1849">
                  <c:v>1.5009296097385524E-3</c:v>
                </c:pt>
                <c:pt idx="1850">
                  <c:v>1.526129686954629E-3</c:v>
                </c:pt>
                <c:pt idx="1851">
                  <c:v>1.5511433762743312E-3</c:v>
                </c:pt>
                <c:pt idx="1852">
                  <c:v>1.5760586224390647E-3</c:v>
                </c:pt>
                <c:pt idx="1853">
                  <c:v>1.601138931389938E-3</c:v>
                </c:pt>
                <c:pt idx="1854">
                  <c:v>1.6261885592323071E-3</c:v>
                </c:pt>
                <c:pt idx="1855">
                  <c:v>1.6511173469730294E-3</c:v>
                </c:pt>
                <c:pt idx="1856">
                  <c:v>1.6759833559665735E-3</c:v>
                </c:pt>
                <c:pt idx="1857">
                  <c:v>1.7005497202447625E-3</c:v>
                </c:pt>
                <c:pt idx="1858">
                  <c:v>1.7250292690678384E-3</c:v>
                </c:pt>
                <c:pt idx="1859">
                  <c:v>1.7497343040106788E-3</c:v>
                </c:pt>
                <c:pt idx="1860">
                  <c:v>1.7744720422700371E-3</c:v>
                </c:pt>
                <c:pt idx="1861">
                  <c:v>1.7991413176032553E-3</c:v>
                </c:pt>
                <c:pt idx="1862">
                  <c:v>1.8235251562073575E-3</c:v>
                </c:pt>
                <c:pt idx="1863">
                  <c:v>1.8478022149690538E-3</c:v>
                </c:pt>
                <c:pt idx="1864">
                  <c:v>1.8722419597649292E-3</c:v>
                </c:pt>
                <c:pt idx="1865">
                  <c:v>1.8965986249392104E-3</c:v>
                </c:pt>
                <c:pt idx="1866">
                  <c:v>1.9208708366372093E-3</c:v>
                </c:pt>
                <c:pt idx="1867">
                  <c:v>1.945244237558268E-3</c:v>
                </c:pt>
                <c:pt idx="1868">
                  <c:v>1.9696004808921219E-3</c:v>
                </c:pt>
                <c:pt idx="1869">
                  <c:v>1.9935939051852207E-3</c:v>
                </c:pt>
                <c:pt idx="1870">
                  <c:v>2.0174715301256052E-3</c:v>
                </c:pt>
                <c:pt idx="1871">
                  <c:v>2.0416767233321729E-3</c:v>
                </c:pt>
                <c:pt idx="1872">
                  <c:v>2.0658767132905325E-3</c:v>
                </c:pt>
                <c:pt idx="1873">
                  <c:v>2.0896239106931985E-3</c:v>
                </c:pt>
                <c:pt idx="1874">
                  <c:v>2.113336968551302E-3</c:v>
                </c:pt>
                <c:pt idx="1875">
                  <c:v>2.1373057701554866E-3</c:v>
                </c:pt>
                <c:pt idx="1876">
                  <c:v>2.1609894058615894E-3</c:v>
                </c:pt>
                <c:pt idx="1877">
                  <c:v>2.1845340557539827E-3</c:v>
                </c:pt>
                <c:pt idx="1878">
                  <c:v>2.2083833911108255E-3</c:v>
                </c:pt>
                <c:pt idx="1879">
                  <c:v>2.2322088112234541E-3</c:v>
                </c:pt>
                <c:pt idx="1880">
                  <c:v>2.2555598264248455E-3</c:v>
                </c:pt>
                <c:pt idx="1881">
                  <c:v>2.2787823739235298E-3</c:v>
                </c:pt>
                <c:pt idx="1882">
                  <c:v>2.3022648294081104E-3</c:v>
                </c:pt>
                <c:pt idx="1883">
                  <c:v>2.3256633517414948E-3</c:v>
                </c:pt>
                <c:pt idx="1884">
                  <c:v>2.3489471531240843E-3</c:v>
                </c:pt>
                <c:pt idx="1885">
                  <c:v>2.3723926261537544E-3</c:v>
                </c:pt>
                <c:pt idx="1886">
                  <c:v>2.3958286808120413E-3</c:v>
                </c:pt>
                <c:pt idx="1887">
                  <c:v>2.4187873596196166E-3</c:v>
                </c:pt>
                <c:pt idx="1888">
                  <c:v>2.4416050189146519E-3</c:v>
                </c:pt>
                <c:pt idx="1889">
                  <c:v>2.4647037701444221E-3</c:v>
                </c:pt>
                <c:pt idx="1890">
                  <c:v>2.4877081406919741E-3</c:v>
                </c:pt>
                <c:pt idx="1891">
                  <c:v>2.5105983467243321E-3</c:v>
                </c:pt>
                <c:pt idx="1892">
                  <c:v>2.5336676364089363E-3</c:v>
                </c:pt>
                <c:pt idx="1893">
                  <c:v>2.5567325074360905E-3</c:v>
                </c:pt>
                <c:pt idx="1894">
                  <c:v>2.5792753088451385E-3</c:v>
                </c:pt>
                <c:pt idx="1895">
                  <c:v>2.6016670256579157E-3</c:v>
                </c:pt>
                <c:pt idx="1896">
                  <c:v>2.6245683193688034E-3</c:v>
                </c:pt>
                <c:pt idx="1897">
                  <c:v>2.6474835387438537E-3</c:v>
                </c:pt>
                <c:pt idx="1898">
                  <c:v>2.669753875432882E-3</c:v>
                </c:pt>
                <c:pt idx="1899">
                  <c:v>2.6919939741928836E-3</c:v>
                </c:pt>
                <c:pt idx="1900">
                  <c:v>2.71462964455231E-3</c:v>
                </c:pt>
                <c:pt idx="1901">
                  <c:v>2.7368746297692175E-3</c:v>
                </c:pt>
                <c:pt idx="1902">
                  <c:v>2.7589381184715488E-3</c:v>
                </c:pt>
                <c:pt idx="1903">
                  <c:v>2.7814597605523078E-3</c:v>
                </c:pt>
                <c:pt idx="1904">
                  <c:v>2.8039665085406256E-3</c:v>
                </c:pt>
                <c:pt idx="1905">
                  <c:v>2.8258174880566615E-3</c:v>
                </c:pt>
                <c:pt idx="1906">
                  <c:v>2.8475055566661175E-3</c:v>
                </c:pt>
                <c:pt idx="1907">
                  <c:v>2.8695828922458678E-3</c:v>
                </c:pt>
                <c:pt idx="1908">
                  <c:v>2.8915620948953237E-3</c:v>
                </c:pt>
                <c:pt idx="1909">
                  <c:v>2.9133983428178216E-3</c:v>
                </c:pt>
                <c:pt idx="1910">
                  <c:v>2.9354785295143712E-3</c:v>
                </c:pt>
                <c:pt idx="1911">
                  <c:v>2.9575635173156082E-3</c:v>
                </c:pt>
                <c:pt idx="1912">
                  <c:v>2.9790058202692356E-3</c:v>
                </c:pt>
                <c:pt idx="1913">
                  <c:v>3.0002712406924301E-3</c:v>
                </c:pt>
                <c:pt idx="1914">
                  <c:v>3.0219441673576606E-3</c:v>
                </c:pt>
                <c:pt idx="1915">
                  <c:v>3.0435060317600066E-3</c:v>
                </c:pt>
                <c:pt idx="1916">
                  <c:v>3.0649287462084225E-3</c:v>
                </c:pt>
                <c:pt idx="1917">
                  <c:v>3.0866126456535119E-3</c:v>
                </c:pt>
                <c:pt idx="1918">
                  <c:v>3.108307337324946E-3</c:v>
                </c:pt>
                <c:pt idx="1919">
                  <c:v>3.1293131731189323E-3</c:v>
                </c:pt>
                <c:pt idx="1920">
                  <c:v>3.1501318183699539E-3</c:v>
                </c:pt>
                <c:pt idx="1921">
                  <c:v>3.1716539181391168E-3</c:v>
                </c:pt>
                <c:pt idx="1922">
                  <c:v>3.1932116757508811E-3</c:v>
                </c:pt>
                <c:pt idx="1923">
                  <c:v>3.2139233901514988E-3</c:v>
                </c:pt>
                <c:pt idx="1924">
                  <c:v>3.2346102258038962E-3</c:v>
                </c:pt>
                <c:pt idx="1925">
                  <c:v>3.2558414672880865E-3</c:v>
                </c:pt>
                <c:pt idx="1926">
                  <c:v>3.27657272915895E-3</c:v>
                </c:pt>
                <c:pt idx="1927">
                  <c:v>3.2970791893757231E-3</c:v>
                </c:pt>
                <c:pt idx="1928">
                  <c:v>3.3182060622396229E-3</c:v>
                </c:pt>
                <c:pt idx="1929">
                  <c:v>3.33932877742934E-3</c:v>
                </c:pt>
                <c:pt idx="1930">
                  <c:v>3.3596075799490789E-3</c:v>
                </c:pt>
                <c:pt idx="1931">
                  <c:v>3.3796888478039855E-3</c:v>
                </c:pt>
                <c:pt idx="1932">
                  <c:v>3.4002958144197866E-3</c:v>
                </c:pt>
                <c:pt idx="1933">
                  <c:v>3.4207911130938831E-3</c:v>
                </c:pt>
                <c:pt idx="1934">
                  <c:v>3.4411153660675077E-3</c:v>
                </c:pt>
                <c:pt idx="1935">
                  <c:v>3.4617704553417819E-3</c:v>
                </c:pt>
                <c:pt idx="1936">
                  <c:v>3.4824462706131779E-3</c:v>
                </c:pt>
                <c:pt idx="1937">
                  <c:v>3.5023094435865784E-3</c:v>
                </c:pt>
                <c:pt idx="1938">
                  <c:v>3.5219598677291354E-3</c:v>
                </c:pt>
                <c:pt idx="1939">
                  <c:v>3.5421498785443333E-3</c:v>
                </c:pt>
                <c:pt idx="1940">
                  <c:v>3.5622130515706959E-3</c:v>
                </c:pt>
                <c:pt idx="1941">
                  <c:v>3.5821125898316919E-3</c:v>
                </c:pt>
                <c:pt idx="1942">
                  <c:v>3.6023588925687229E-3</c:v>
                </c:pt>
                <c:pt idx="1943">
                  <c:v>3.6226327035817087E-3</c:v>
                </c:pt>
                <c:pt idx="1944">
                  <c:v>3.6420475354852033E-3</c:v>
                </c:pt>
                <c:pt idx="1945">
                  <c:v>3.661239504230758E-3</c:v>
                </c:pt>
                <c:pt idx="1946">
                  <c:v>3.6813350506520611E-3</c:v>
                </c:pt>
                <c:pt idx="1947">
                  <c:v>3.7014894906192007E-3</c:v>
                </c:pt>
                <c:pt idx="1948">
                  <c:v>3.7205932076818469E-3</c:v>
                </c:pt>
                <c:pt idx="1949">
                  <c:v>3.7396785623671461E-3</c:v>
                </c:pt>
                <c:pt idx="1950">
                  <c:v>3.7594616726184978E-3</c:v>
                </c:pt>
                <c:pt idx="1951">
                  <c:v>3.7786346782333123E-3</c:v>
                </c:pt>
                <c:pt idx="1952">
                  <c:v>3.7975398347538558E-3</c:v>
                </c:pt>
                <c:pt idx="1953">
                  <c:v>3.817231748644484E-3</c:v>
                </c:pt>
                <c:pt idx="1954">
                  <c:v>3.8369313951851086E-3</c:v>
                </c:pt>
                <c:pt idx="1955">
                  <c:v>3.8555970988870623E-3</c:v>
                </c:pt>
                <c:pt idx="1956">
                  <c:v>3.8740311513582038E-3</c:v>
                </c:pt>
                <c:pt idx="1957">
                  <c:v>3.8931306089795303E-3</c:v>
                </c:pt>
                <c:pt idx="1958">
                  <c:v>3.9121059863695155E-3</c:v>
                </c:pt>
                <c:pt idx="1959">
                  <c:v>3.9308827736717804E-3</c:v>
                </c:pt>
                <c:pt idx="1960">
                  <c:v>3.9500792349383964E-3</c:v>
                </c:pt>
                <c:pt idx="1961">
                  <c:v>3.9693137028956899E-3</c:v>
                </c:pt>
                <c:pt idx="1962">
                  <c:v>3.9875650031784143E-3</c:v>
                </c:pt>
                <c:pt idx="1963">
                  <c:v>4.0055682743103819E-3</c:v>
                </c:pt>
                <c:pt idx="1964">
                  <c:v>4.0242457156861138E-3</c:v>
                </c:pt>
                <c:pt idx="1965">
                  <c:v>4.0427814596494293E-3</c:v>
                </c:pt>
                <c:pt idx="1966">
                  <c:v>4.061129594512795E-3</c:v>
                </c:pt>
                <c:pt idx="1967">
                  <c:v>4.0799115423875527E-3</c:v>
                </c:pt>
                <c:pt idx="1968">
                  <c:v>4.0987389407157139E-3</c:v>
                </c:pt>
                <c:pt idx="1969">
                  <c:v>4.1165377521019866E-3</c:v>
                </c:pt>
                <c:pt idx="1970">
                  <c:v>4.1340787335200765E-3</c:v>
                </c:pt>
                <c:pt idx="1971">
                  <c:v>4.1527247929081974E-3</c:v>
                </c:pt>
                <c:pt idx="1972">
                  <c:v>4.1714541108306231E-3</c:v>
                </c:pt>
                <c:pt idx="1973">
                  <c:v>4.1889289847360355E-3</c:v>
                </c:pt>
                <c:pt idx="1974">
                  <c:v>4.2063928678050888E-3</c:v>
                </c:pt>
                <c:pt idx="1975">
                  <c:v>4.2247086900054544E-3</c:v>
                </c:pt>
                <c:pt idx="1976">
                  <c:v>4.2429273821732311E-3</c:v>
                </c:pt>
                <c:pt idx="1977">
                  <c:v>4.2609399058953362E-3</c:v>
                </c:pt>
                <c:pt idx="1978">
                  <c:v>4.2788454725035518E-3</c:v>
                </c:pt>
                <c:pt idx="1979">
                  <c:v>4.2966163488496268E-3</c:v>
                </c:pt>
                <c:pt idx="1980">
                  <c:v>4.3133349363933112E-3</c:v>
                </c:pt>
                <c:pt idx="1981">
                  <c:v>4.3298394882455883E-3</c:v>
                </c:pt>
                <c:pt idx="1982">
                  <c:v>4.347486714408144E-3</c:v>
                </c:pt>
                <c:pt idx="1983">
                  <c:v>4.3649477988850381E-3</c:v>
                </c:pt>
                <c:pt idx="1984">
                  <c:v>4.3821368618204137E-3</c:v>
                </c:pt>
                <c:pt idx="1985">
                  <c:v>4.399886972775391E-3</c:v>
                </c:pt>
                <c:pt idx="1986">
                  <c:v>4.4176690878096406E-3</c:v>
                </c:pt>
                <c:pt idx="1987">
                  <c:v>4.4342964363162278E-3</c:v>
                </c:pt>
                <c:pt idx="1988">
                  <c:v>4.4506427962961665E-3</c:v>
                </c:pt>
                <c:pt idx="1989">
                  <c:v>4.4678017181451375E-3</c:v>
                </c:pt>
                <c:pt idx="1990">
                  <c:v>4.4848055060558809E-3</c:v>
                </c:pt>
                <c:pt idx="1991">
                  <c:v>4.5015976333858234E-3</c:v>
                </c:pt>
                <c:pt idx="1992">
                  <c:v>4.5189110605156971E-3</c:v>
                </c:pt>
                <c:pt idx="1993">
                  <c:v>4.5362878408844263E-3</c:v>
                </c:pt>
                <c:pt idx="1994">
                  <c:v>4.5524701212791181E-3</c:v>
                </c:pt>
                <c:pt idx="1995">
                  <c:v>4.5683610985690305E-3</c:v>
                </c:pt>
                <c:pt idx="1996">
                  <c:v>4.5855557964410414E-3</c:v>
                </c:pt>
                <c:pt idx="1997">
                  <c:v>4.6028584444768742E-3</c:v>
                </c:pt>
                <c:pt idx="1998">
                  <c:v>4.6187078630800212E-3</c:v>
                </c:pt>
                <c:pt idx="1999">
                  <c:v>4.6345542926875807E-3</c:v>
                </c:pt>
                <c:pt idx="2000">
                  <c:v>4.6514042811211728E-3</c:v>
                </c:pt>
                <c:pt idx="2001">
                  <c:v>4.6674302424841363E-3</c:v>
                </c:pt>
                <c:pt idx="2002">
                  <c:v>4.683106033459639E-3</c:v>
                </c:pt>
                <c:pt idx="2003">
                  <c:v>4.699898039325686E-3</c:v>
                </c:pt>
                <c:pt idx="2004">
                  <c:v>4.7167235527963373E-3</c:v>
                </c:pt>
                <c:pt idx="2005">
                  <c:v>4.7321450116324876E-3</c:v>
                </c:pt>
                <c:pt idx="2006">
                  <c:v>4.7472708340597913E-3</c:v>
                </c:pt>
                <c:pt idx="2007">
                  <c:v>4.7633385806234796E-3</c:v>
                </c:pt>
                <c:pt idx="2008">
                  <c:v>4.779260250511873E-3</c:v>
                </c:pt>
                <c:pt idx="2009">
                  <c:v>4.7949320758567358E-3</c:v>
                </c:pt>
                <c:pt idx="2010">
                  <c:v>4.8111992873752273E-3</c:v>
                </c:pt>
                <c:pt idx="2011">
                  <c:v>4.82754014537251E-3</c:v>
                </c:pt>
                <c:pt idx="2012">
                  <c:v>4.8425686834751612E-3</c:v>
                </c:pt>
                <c:pt idx="2013">
                  <c:v>4.8572831440038162E-3</c:v>
                </c:pt>
                <c:pt idx="2014">
                  <c:v>4.8729357403106775E-3</c:v>
                </c:pt>
                <c:pt idx="2015">
                  <c:v>4.8884203078164339E-3</c:v>
                </c:pt>
                <c:pt idx="2016">
                  <c:v>4.9036733603282081E-3</c:v>
                </c:pt>
                <c:pt idx="2017">
                  <c:v>4.9195309416293874E-3</c:v>
                </c:pt>
                <c:pt idx="2018">
                  <c:v>4.9354705947306397E-3</c:v>
                </c:pt>
                <c:pt idx="2019">
                  <c:v>4.95005648579094E-3</c:v>
                </c:pt>
                <c:pt idx="2020">
                  <c:v>4.9643194537557249E-3</c:v>
                </c:pt>
                <c:pt idx="2021">
                  <c:v>4.9800783161450708E-3</c:v>
                </c:pt>
                <c:pt idx="2022">
                  <c:v>4.9959694953281755E-3</c:v>
                </c:pt>
                <c:pt idx="2023">
                  <c:v>5.0102166565807772E-3</c:v>
                </c:pt>
                <c:pt idx="2024">
                  <c:v>5.0244689718391454E-3</c:v>
                </c:pt>
                <c:pt idx="2025">
                  <c:v>5.0398715545386507E-3</c:v>
                </c:pt>
                <c:pt idx="2026">
                  <c:v>5.0543496809146854E-3</c:v>
                </c:pt>
                <c:pt idx="2027">
                  <c:v>5.0684393314771505E-3</c:v>
                </c:pt>
                <c:pt idx="2028">
                  <c:v>5.083802607495057E-3</c:v>
                </c:pt>
                <c:pt idx="2029">
                  <c:v>5.0992127619872603E-3</c:v>
                </c:pt>
                <c:pt idx="2030">
                  <c:v>5.1130444955855697E-3</c:v>
                </c:pt>
                <c:pt idx="2031">
                  <c:v>5.1265510540843906E-3</c:v>
                </c:pt>
                <c:pt idx="2032">
                  <c:v>5.1411315285139619E-3</c:v>
                </c:pt>
                <c:pt idx="2033">
                  <c:v>5.1555568657222694E-3</c:v>
                </c:pt>
                <c:pt idx="2034">
                  <c:v>5.1697089651097537E-3</c:v>
                </c:pt>
                <c:pt idx="2035">
                  <c:v>5.1845399898855287E-3</c:v>
                </c:pt>
                <c:pt idx="2036">
                  <c:v>5.1994623997833759E-3</c:v>
                </c:pt>
                <c:pt idx="2037">
                  <c:v>5.2129186016738778E-3</c:v>
                </c:pt>
                <c:pt idx="2038">
                  <c:v>5.2260306883130554E-3</c:v>
                </c:pt>
                <c:pt idx="2039">
                  <c:v>5.2402060398177627E-3</c:v>
                </c:pt>
                <c:pt idx="2040">
                  <c:v>5.254201843153181E-3</c:v>
                </c:pt>
                <c:pt idx="2041">
                  <c:v>5.2679463361733538E-3</c:v>
                </c:pt>
                <c:pt idx="2042">
                  <c:v>5.2823761429227128E-3</c:v>
                </c:pt>
                <c:pt idx="2043">
                  <c:v>5.2969061622599907E-3</c:v>
                </c:pt>
                <c:pt idx="2044">
                  <c:v>5.3099312922833784E-3</c:v>
                </c:pt>
                <c:pt idx="2045">
                  <c:v>5.3226038226419003E-3</c:v>
                </c:pt>
                <c:pt idx="2046">
                  <c:v>5.3369556758714447E-3</c:v>
                </c:pt>
                <c:pt idx="2047">
                  <c:v>5.3514636314673965E-3</c:v>
                </c:pt>
                <c:pt idx="2048">
                  <c:v>5.3641466684476993E-3</c:v>
                </c:pt>
                <c:pt idx="2049">
                  <c:v>5.3768432026865967E-3</c:v>
                </c:pt>
                <c:pt idx="2050">
                  <c:v>5.390830016056918E-3</c:v>
                </c:pt>
                <c:pt idx="2051">
                  <c:v>5.403797557449532E-3</c:v>
                </c:pt>
                <c:pt idx="2052">
                  <c:v>5.4163409192266856E-3</c:v>
                </c:pt>
                <c:pt idx="2053">
                  <c:v>5.4303076172013574E-3</c:v>
                </c:pt>
                <c:pt idx="2054">
                  <c:v>5.4443341508876924E-3</c:v>
                </c:pt>
                <c:pt idx="2055">
                  <c:v>5.4566177376322795E-3</c:v>
                </c:pt>
                <c:pt idx="2056">
                  <c:v>5.4685489479435511E-3</c:v>
                </c:pt>
                <c:pt idx="2057">
                  <c:v>5.4816793657736619E-3</c:v>
                </c:pt>
                <c:pt idx="2058">
                  <c:v>5.4946461307826206E-3</c:v>
                </c:pt>
                <c:pt idx="2059">
                  <c:v>5.5073181867755748E-3</c:v>
                </c:pt>
                <c:pt idx="2060">
                  <c:v>5.5207489387099481E-3</c:v>
                </c:pt>
                <c:pt idx="2061">
                  <c:v>5.5342882366359427E-3</c:v>
                </c:pt>
                <c:pt idx="2062">
                  <c:v>5.5462164267658098E-3</c:v>
                </c:pt>
                <c:pt idx="2063">
                  <c:v>5.5577724681190209E-3</c:v>
                </c:pt>
                <c:pt idx="2064">
                  <c:v>5.5705103427377391E-3</c:v>
                </c:pt>
                <c:pt idx="2065">
                  <c:v>5.5830583578931814E-3</c:v>
                </c:pt>
                <c:pt idx="2066">
                  <c:v>5.5953368989645914E-3</c:v>
                </c:pt>
                <c:pt idx="2067">
                  <c:v>5.608377530399237E-3</c:v>
                </c:pt>
                <c:pt idx="2068">
                  <c:v>5.6215357125640047E-3</c:v>
                </c:pt>
                <c:pt idx="2069">
                  <c:v>5.6330469813627724E-3</c:v>
                </c:pt>
                <c:pt idx="2070">
                  <c:v>5.6441783145688021E-3</c:v>
                </c:pt>
                <c:pt idx="2071">
                  <c:v>5.6571621140598322E-3</c:v>
                </c:pt>
                <c:pt idx="2072">
                  <c:v>5.6703247788959825E-3</c:v>
                </c:pt>
                <c:pt idx="2073">
                  <c:v>5.6814928335739137E-3</c:v>
                </c:pt>
                <c:pt idx="2074">
                  <c:v>5.6926825482081595E-3</c:v>
                </c:pt>
                <c:pt idx="2075">
                  <c:v>5.7052944566232545E-3</c:v>
                </c:pt>
                <c:pt idx="2076">
                  <c:v>5.7167985541318909E-3</c:v>
                </c:pt>
                <c:pt idx="2077">
                  <c:v>5.7278453599984569E-3</c:v>
                </c:pt>
                <c:pt idx="2078">
                  <c:v>5.740456488747242E-3</c:v>
                </c:pt>
                <c:pt idx="2079">
                  <c:v>5.753140006658896E-3</c:v>
                </c:pt>
                <c:pt idx="2080">
                  <c:v>5.7652145131081413E-3</c:v>
                </c:pt>
                <c:pt idx="2081">
                  <c:v>5.7771325445933911E-3</c:v>
                </c:pt>
                <c:pt idx="2082">
                  <c:v>5.7873014984972555E-3</c:v>
                </c:pt>
                <c:pt idx="2083">
                  <c:v>5.7971704711982886E-3</c:v>
                </c:pt>
                <c:pt idx="2084">
                  <c:v>5.8088811688412657E-3</c:v>
                </c:pt>
                <c:pt idx="2085">
                  <c:v>5.8210706752802443E-3</c:v>
                </c:pt>
                <c:pt idx="2086">
                  <c:v>5.8330631132133539E-3</c:v>
                </c:pt>
                <c:pt idx="2087">
                  <c:v>5.8435508555170924E-3</c:v>
                </c:pt>
                <c:pt idx="2088">
                  <c:v>5.8536329529298445E-3</c:v>
                </c:pt>
                <c:pt idx="2089">
                  <c:v>5.8649982369717033E-3</c:v>
                </c:pt>
                <c:pt idx="2090">
                  <c:v>5.8761272902688065E-3</c:v>
                </c:pt>
                <c:pt idx="2091">
                  <c:v>5.8870005111844089E-3</c:v>
                </c:pt>
                <c:pt idx="2092">
                  <c:v>5.8986938887416688E-3</c:v>
                </c:pt>
                <c:pt idx="2093">
                  <c:v>5.9105231153906475E-3</c:v>
                </c:pt>
                <c:pt idx="2094">
                  <c:v>5.9205762403957999E-3</c:v>
                </c:pt>
                <c:pt idx="2095">
                  <c:v>5.9302237237938756E-3</c:v>
                </c:pt>
                <c:pt idx="2096">
                  <c:v>5.9418848740411577E-3</c:v>
                </c:pt>
                <c:pt idx="2097">
                  <c:v>5.9537460752240329E-3</c:v>
                </c:pt>
                <c:pt idx="2098">
                  <c:v>5.9634548830857885E-3</c:v>
                </c:pt>
                <c:pt idx="2099">
                  <c:v>5.973193227997514E-3</c:v>
                </c:pt>
                <c:pt idx="2100">
                  <c:v>5.984477477606014E-3</c:v>
                </c:pt>
                <c:pt idx="2101">
                  <c:v>5.9945714013289421E-3</c:v>
                </c:pt>
                <c:pt idx="2102">
                  <c:v>6.0041772390447175E-3</c:v>
                </c:pt>
                <c:pt idx="2103">
                  <c:v>6.0154792502775086E-3</c:v>
                </c:pt>
                <c:pt idx="2104">
                  <c:v>6.026865801980333E-3</c:v>
                </c:pt>
                <c:pt idx="2105">
                  <c:v>6.0362119073407976E-3</c:v>
                </c:pt>
                <c:pt idx="2106">
                  <c:v>6.0451570096991735E-3</c:v>
                </c:pt>
                <c:pt idx="2107">
                  <c:v>6.0555298587048759E-3</c:v>
                </c:pt>
                <c:pt idx="2108">
                  <c:v>6.0657251784672316E-3</c:v>
                </c:pt>
                <c:pt idx="2109">
                  <c:v>6.0755875724237147E-3</c:v>
                </c:pt>
                <c:pt idx="2110">
                  <c:v>6.0863536753679361E-3</c:v>
                </c:pt>
                <c:pt idx="2111">
                  <c:v>6.097260421943404E-3</c:v>
                </c:pt>
                <c:pt idx="2112">
                  <c:v>6.1062949167601781E-3</c:v>
                </c:pt>
                <c:pt idx="2113">
                  <c:v>6.1149074101028121E-3</c:v>
                </c:pt>
                <c:pt idx="2114">
                  <c:v>6.1249173120382231E-3</c:v>
                </c:pt>
                <c:pt idx="2115">
                  <c:v>6.1347197816472489E-3</c:v>
                </c:pt>
                <c:pt idx="2116">
                  <c:v>6.1442207254935911E-3</c:v>
                </c:pt>
                <c:pt idx="2117">
                  <c:v>6.1546229802378373E-3</c:v>
                </c:pt>
                <c:pt idx="2118">
                  <c:v>6.165175060622332E-3</c:v>
                </c:pt>
                <c:pt idx="2119">
                  <c:v>6.1738250189920241E-3</c:v>
                </c:pt>
                <c:pt idx="2120">
                  <c:v>6.1820462609081268E-3</c:v>
                </c:pt>
                <c:pt idx="2121">
                  <c:v>6.1924330979523587E-3</c:v>
                </c:pt>
                <c:pt idx="2122">
                  <c:v>6.2030409811202909E-3</c:v>
                </c:pt>
                <c:pt idx="2123">
                  <c:v>6.2113490450573221E-3</c:v>
                </c:pt>
                <c:pt idx="2124">
                  <c:v>6.2196941078634599E-3</c:v>
                </c:pt>
                <c:pt idx="2125">
                  <c:v>6.2297002033857617E-3</c:v>
                </c:pt>
                <c:pt idx="2126">
                  <c:v>6.2384397675960919E-3</c:v>
                </c:pt>
                <c:pt idx="2127">
                  <c:v>6.2466627773037795E-3</c:v>
                </c:pt>
                <c:pt idx="2128">
                  <c:v>6.2567047095812324E-3</c:v>
                </c:pt>
                <c:pt idx="2129">
                  <c:v>6.2668426015708399E-3</c:v>
                </c:pt>
                <c:pt idx="2130">
                  <c:v>6.2748069638906443E-3</c:v>
                </c:pt>
                <c:pt idx="2131">
                  <c:v>6.282348973476559E-3</c:v>
                </c:pt>
                <c:pt idx="2132">
                  <c:v>6.2914214158925333E-3</c:v>
                </c:pt>
                <c:pt idx="2133">
                  <c:v>6.3003101557481678E-3</c:v>
                </c:pt>
                <c:pt idx="2134">
                  <c:v>6.308849238975258E-3</c:v>
                </c:pt>
                <c:pt idx="2135">
                  <c:v>6.3183574772171991E-3</c:v>
                </c:pt>
                <c:pt idx="2136">
                  <c:v>6.3280209019225438E-3</c:v>
                </c:pt>
                <c:pt idx="2137">
                  <c:v>6.3356953661786852E-3</c:v>
                </c:pt>
                <c:pt idx="2138">
                  <c:v>6.3429258259519814E-3</c:v>
                </c:pt>
                <c:pt idx="2139">
                  <c:v>6.3516504008693814E-3</c:v>
                </c:pt>
                <c:pt idx="2140">
                  <c:v>6.3601599733088612E-3</c:v>
                </c:pt>
                <c:pt idx="2141">
                  <c:v>6.3683538825791194E-3</c:v>
                </c:pt>
                <c:pt idx="2142">
                  <c:v>6.3775117058646183E-3</c:v>
                </c:pt>
                <c:pt idx="2143">
                  <c:v>6.3868340650454544E-3</c:v>
                </c:pt>
                <c:pt idx="2144">
                  <c:v>6.3941400720411139E-3</c:v>
                </c:pt>
                <c:pt idx="2145">
                  <c:v>6.4009959274988768E-3</c:v>
                </c:pt>
                <c:pt idx="2146">
                  <c:v>6.4101579741147243E-3</c:v>
                </c:pt>
                <c:pt idx="2147">
                  <c:v>6.419559801830615E-3</c:v>
                </c:pt>
                <c:pt idx="2148">
                  <c:v>6.4265253079445256E-3</c:v>
                </c:pt>
                <c:pt idx="2149">
                  <c:v>6.4335351976000906E-3</c:v>
                </c:pt>
                <c:pt idx="2150">
                  <c:v>6.4423131591559348E-3</c:v>
                </c:pt>
                <c:pt idx="2151">
                  <c:v>6.4497534870980103E-3</c:v>
                </c:pt>
                <c:pt idx="2152">
                  <c:v>6.4566510177820335E-3</c:v>
                </c:pt>
                <c:pt idx="2153">
                  <c:v>6.4654818653476455E-3</c:v>
                </c:pt>
                <c:pt idx="2154">
                  <c:v>6.4744192531105971E-3</c:v>
                </c:pt>
                <c:pt idx="2155">
                  <c:v>6.4810593018033704E-3</c:v>
                </c:pt>
                <c:pt idx="2156">
                  <c:v>6.4872571400667002E-3</c:v>
                </c:pt>
                <c:pt idx="2157">
                  <c:v>6.4950809736535921E-3</c:v>
                </c:pt>
                <c:pt idx="2158">
                  <c:v>6.5027157011798616E-3</c:v>
                </c:pt>
                <c:pt idx="2159">
                  <c:v>6.5099851885966689E-3</c:v>
                </c:pt>
                <c:pt idx="2160">
                  <c:v>6.5182847073892037E-3</c:v>
                </c:pt>
                <c:pt idx="2161">
                  <c:v>6.5267530937395454E-3</c:v>
                </c:pt>
                <c:pt idx="2162">
                  <c:v>6.5331235025676117E-3</c:v>
                </c:pt>
                <c:pt idx="2163">
                  <c:v>6.5390296306584881E-3</c:v>
                </c:pt>
                <c:pt idx="2164">
                  <c:v>6.5465203184910054E-3</c:v>
                </c:pt>
                <c:pt idx="2165">
                  <c:v>6.5537885174063084E-3</c:v>
                </c:pt>
                <c:pt idx="2166">
                  <c:v>6.5607279908657824E-3</c:v>
                </c:pt>
                <c:pt idx="2167">
                  <c:v>6.5686901372910096E-3</c:v>
                </c:pt>
                <c:pt idx="2168">
                  <c:v>6.576830425202889E-3</c:v>
                </c:pt>
                <c:pt idx="2169">
                  <c:v>6.582847694344098E-3</c:v>
                </c:pt>
                <c:pt idx="2170">
                  <c:v>6.5883947540008644E-3</c:v>
                </c:pt>
                <c:pt idx="2171">
                  <c:v>6.5963793006551088E-3</c:v>
                </c:pt>
                <c:pt idx="2172">
                  <c:v>6.6046214130127097E-3</c:v>
                </c:pt>
                <c:pt idx="2173">
                  <c:v>6.6102994106837995E-3</c:v>
                </c:pt>
                <c:pt idx="2174">
                  <c:v>6.6160284248064673E-3</c:v>
                </c:pt>
                <c:pt idx="2175">
                  <c:v>6.6236257546027754E-3</c:v>
                </c:pt>
                <c:pt idx="2176">
                  <c:v>6.6298188951701567E-3</c:v>
                </c:pt>
                <c:pt idx="2177">
                  <c:v>6.6354447700833789E-3</c:v>
                </c:pt>
                <c:pt idx="2178">
                  <c:v>6.6431110634345095E-3</c:v>
                </c:pt>
                <c:pt idx="2179">
                  <c:v>6.65089370600853E-3</c:v>
                </c:pt>
                <c:pt idx="2180">
                  <c:v>6.6562627883195082E-3</c:v>
                </c:pt>
                <c:pt idx="2181">
                  <c:v>6.6611709711835061E-3</c:v>
                </c:pt>
                <c:pt idx="2182">
                  <c:v>6.6677950047050278E-3</c:v>
                </c:pt>
                <c:pt idx="2183">
                  <c:v>6.6742247141462572E-3</c:v>
                </c:pt>
                <c:pt idx="2184">
                  <c:v>6.6802742483502387E-3</c:v>
                </c:pt>
                <c:pt idx="2185">
                  <c:v>6.6874109692295174E-3</c:v>
                </c:pt>
                <c:pt idx="2186">
                  <c:v>6.6947296002569847E-3</c:v>
                </c:pt>
                <c:pt idx="2187">
                  <c:v>6.6998479254046905E-3</c:v>
                </c:pt>
                <c:pt idx="2188">
                  <c:v>6.7044824945666171E-3</c:v>
                </c:pt>
                <c:pt idx="2189">
                  <c:v>6.7107863247982593E-3</c:v>
                </c:pt>
                <c:pt idx="2190">
                  <c:v>6.716861018429417E-3</c:v>
                </c:pt>
                <c:pt idx="2191">
                  <c:v>6.7225944479269457E-3</c:v>
                </c:pt>
                <c:pt idx="2192">
                  <c:v>6.7294054257806555E-3</c:v>
                </c:pt>
                <c:pt idx="2193">
                  <c:v>6.7364076254632149E-3</c:v>
                </c:pt>
                <c:pt idx="2194">
                  <c:v>6.7411861112141895E-3</c:v>
                </c:pt>
                <c:pt idx="2195">
                  <c:v>6.7454752273806186E-3</c:v>
                </c:pt>
                <c:pt idx="2196">
                  <c:v>6.7523256973948433E-3</c:v>
                </c:pt>
                <c:pt idx="2197">
                  <c:v>6.7594502866640338E-3</c:v>
                </c:pt>
                <c:pt idx="2198">
                  <c:v>6.7638901575057036E-3</c:v>
                </c:pt>
                <c:pt idx="2199">
                  <c:v>6.7683875102862619E-3</c:v>
                </c:pt>
                <c:pt idx="2200">
                  <c:v>6.7748476382112881E-3</c:v>
                </c:pt>
                <c:pt idx="2201">
                  <c:v>6.7811808791052083E-3</c:v>
                </c:pt>
                <c:pt idx="2202">
                  <c:v>6.7871460107161909E-3</c:v>
                </c:pt>
                <c:pt idx="2203">
                  <c:v>6.7929640315672977E-3</c:v>
                </c:pt>
                <c:pt idx="2204">
                  <c:v>6.7985741555753477E-3</c:v>
                </c:pt>
                <c:pt idx="2205">
                  <c:v>6.8020339068292626E-3</c:v>
                </c:pt>
                <c:pt idx="2206">
                  <c:v>6.8051230046250709E-3</c:v>
                </c:pt>
                <c:pt idx="2207">
                  <c:v>6.8107339033751128E-3</c:v>
                </c:pt>
                <c:pt idx="2208">
                  <c:v>6.8160389381338457E-3</c:v>
                </c:pt>
                <c:pt idx="2209">
                  <c:v>6.8208488206446313E-3</c:v>
                </c:pt>
                <c:pt idx="2210">
                  <c:v>6.8269117454153264E-3</c:v>
                </c:pt>
                <c:pt idx="2211">
                  <c:v>6.8331185802094638E-3</c:v>
                </c:pt>
                <c:pt idx="2212">
                  <c:v>6.8370187987218953E-3</c:v>
                </c:pt>
                <c:pt idx="2213">
                  <c:v>6.8404185090895891E-3</c:v>
                </c:pt>
                <c:pt idx="2214">
                  <c:v>6.845577793811378E-3</c:v>
                </c:pt>
                <c:pt idx="2215">
                  <c:v>6.8505019179831914E-3</c:v>
                </c:pt>
                <c:pt idx="2216">
                  <c:v>6.8550698855702292E-3</c:v>
                </c:pt>
                <c:pt idx="2217">
                  <c:v>6.8607701620060071E-3</c:v>
                </c:pt>
                <c:pt idx="2218">
                  <c:v>6.8666729941596356E-3</c:v>
                </c:pt>
                <c:pt idx="2219">
                  <c:v>6.8702553221199041E-3</c:v>
                </c:pt>
                <c:pt idx="2220">
                  <c:v>6.8733297178671764E-3</c:v>
                </c:pt>
                <c:pt idx="2221">
                  <c:v>6.8790838356098697E-3</c:v>
                </c:pt>
                <c:pt idx="2222">
                  <c:v>6.8851279761631542E-3</c:v>
                </c:pt>
                <c:pt idx="2223">
                  <c:v>6.8883713478018176E-3</c:v>
                </c:pt>
                <c:pt idx="2224">
                  <c:v>6.8916780874514047E-3</c:v>
                </c:pt>
                <c:pt idx="2225">
                  <c:v>6.897038140402891E-3</c:v>
                </c:pt>
                <c:pt idx="2226">
                  <c:v>6.900869541445886E-3</c:v>
                </c:pt>
                <c:pt idx="2227">
                  <c:v>6.904087303912519E-3</c:v>
                </c:pt>
                <c:pt idx="2228">
                  <c:v>6.9095443506602787E-3</c:v>
                </c:pt>
                <c:pt idx="2229">
                  <c:v>6.9151360646901236E-3</c:v>
                </c:pt>
                <c:pt idx="2230">
                  <c:v>6.9180972151087232E-3</c:v>
                </c:pt>
                <c:pt idx="2231">
                  <c:v>6.9205620249039078E-3</c:v>
                </c:pt>
                <c:pt idx="2232">
                  <c:v>6.9249092533085338E-3</c:v>
                </c:pt>
                <c:pt idx="2233">
                  <c:v>6.9290516428045694E-3</c:v>
                </c:pt>
                <c:pt idx="2234">
                  <c:v>6.9327856725288012E-3</c:v>
                </c:pt>
                <c:pt idx="2235">
                  <c:v>6.9377134816509031E-3</c:v>
                </c:pt>
                <c:pt idx="2236">
                  <c:v>6.942846628669213E-3</c:v>
                </c:pt>
                <c:pt idx="2237">
                  <c:v>6.9455869381382417E-3</c:v>
                </c:pt>
                <c:pt idx="2238">
                  <c:v>6.9478067028529919E-3</c:v>
                </c:pt>
                <c:pt idx="2239">
                  <c:v>6.951853869626861E-3</c:v>
                </c:pt>
                <c:pt idx="2240">
                  <c:v>6.9556585207228034E-3</c:v>
                </c:pt>
                <c:pt idx="2241">
                  <c:v>6.9590979546878262E-3</c:v>
                </c:pt>
                <c:pt idx="2242">
                  <c:v>6.9637180466742554E-3</c:v>
                </c:pt>
                <c:pt idx="2243">
                  <c:v>6.9685530525024032E-3</c:v>
                </c:pt>
                <c:pt idx="2244">
                  <c:v>6.9709735920119777E-3</c:v>
                </c:pt>
                <c:pt idx="2245">
                  <c:v>6.9728679386990063E-3</c:v>
                </c:pt>
                <c:pt idx="2246">
                  <c:v>6.9775567578777269E-3</c:v>
                </c:pt>
                <c:pt idx="2247">
                  <c:v>6.9825505596145011E-3</c:v>
                </c:pt>
                <c:pt idx="2248">
                  <c:v>6.9846301698364482E-3</c:v>
                </c:pt>
                <c:pt idx="2249">
                  <c:v>6.9867786795982005E-3</c:v>
                </c:pt>
                <c:pt idx="2250">
                  <c:v>6.9910685770736445E-3</c:v>
                </c:pt>
                <c:pt idx="2251">
                  <c:v>6.9937695043565656E-3</c:v>
                </c:pt>
                <c:pt idx="2252">
                  <c:v>6.9958339545782827E-3</c:v>
                </c:pt>
                <c:pt idx="2253">
                  <c:v>7.0002329922333401E-3</c:v>
                </c:pt>
                <c:pt idx="2254">
                  <c:v>7.0047753588551621E-3</c:v>
                </c:pt>
                <c:pt idx="2255">
                  <c:v>7.0065820250678678E-3</c:v>
                </c:pt>
                <c:pt idx="2256">
                  <c:v>7.007874657972004E-3</c:v>
                </c:pt>
                <c:pt idx="2257">
                  <c:v>7.0111291845862548E-3</c:v>
                </c:pt>
                <c:pt idx="2258">
                  <c:v>7.0141738019974557E-3</c:v>
                </c:pt>
                <c:pt idx="2259">
                  <c:v>7.0167965213435435E-3</c:v>
                </c:pt>
                <c:pt idx="2260">
                  <c:v>7.0206638740405924E-3</c:v>
                </c:pt>
                <c:pt idx="2261">
                  <c:v>7.0247474372879372E-3</c:v>
                </c:pt>
                <c:pt idx="2262">
                  <c:v>7.0263437527592126E-3</c:v>
                </c:pt>
                <c:pt idx="2263">
                  <c:v>7.0274011003670046E-3</c:v>
                </c:pt>
                <c:pt idx="2264">
                  <c:v>7.0303626480046665E-3</c:v>
                </c:pt>
                <c:pt idx="2265">
                  <c:v>7.0330745415020613E-3</c:v>
                </c:pt>
                <c:pt idx="2266">
                  <c:v>7.0354089894156084E-3</c:v>
                </c:pt>
                <c:pt idx="2267">
                  <c:v>7.0389742566310904E-3</c:v>
                </c:pt>
                <c:pt idx="2268">
                  <c:v>7.0427656123612827E-3</c:v>
                </c:pt>
                <c:pt idx="2269">
                  <c:v>7.0440478748804766E-3</c:v>
                </c:pt>
                <c:pt idx="2270">
                  <c:v>7.0447851882620765E-3</c:v>
                </c:pt>
                <c:pt idx="2271">
                  <c:v>7.0484317558178328E-3</c:v>
                </c:pt>
                <c:pt idx="2272">
                  <c:v>7.0523981491412051E-3</c:v>
                </c:pt>
                <c:pt idx="2273">
                  <c:v>7.0533361322686833E-3</c:v>
                </c:pt>
                <c:pt idx="2274">
                  <c:v>7.0543483068193783E-3</c:v>
                </c:pt>
                <c:pt idx="2275">
                  <c:v>7.0575898088995953E-3</c:v>
                </c:pt>
                <c:pt idx="2276">
                  <c:v>7.0591811804645004E-3</c:v>
                </c:pt>
                <c:pt idx="2277">
                  <c:v>7.0601130838345398E-3</c:v>
                </c:pt>
                <c:pt idx="2278">
                  <c:v>7.0634750960947828E-3</c:v>
                </c:pt>
                <c:pt idx="2279">
                  <c:v>7.0669884145406116E-3</c:v>
                </c:pt>
                <c:pt idx="2280">
                  <c:v>7.06765947760784E-3</c:v>
                </c:pt>
                <c:pt idx="2281">
                  <c:v>7.0677983649375916E-3</c:v>
                </c:pt>
                <c:pt idx="2282">
                  <c:v>7.0699794975873365E-3</c:v>
                </c:pt>
                <c:pt idx="2283">
                  <c:v>7.071944775871134E-3</c:v>
                </c:pt>
                <c:pt idx="2284">
                  <c:v>7.0734735640158499E-3</c:v>
                </c:pt>
                <c:pt idx="2285">
                  <c:v>7.0762986158485336E-3</c:v>
                </c:pt>
                <c:pt idx="2286">
                  <c:v>7.0793507508856122E-3</c:v>
                </c:pt>
                <c:pt idx="2287">
                  <c:v>7.07981940267905E-3</c:v>
                </c:pt>
                <c:pt idx="2288">
                  <c:v>7.079729611360437E-3</c:v>
                </c:pt>
                <c:pt idx="2289">
                  <c:v>7.0816213301605185E-3</c:v>
                </c:pt>
                <c:pt idx="2290">
                  <c:v>7.0832561841361694E-3</c:v>
                </c:pt>
                <c:pt idx="2291">
                  <c:v>7.0845008552399566E-3</c:v>
                </c:pt>
                <c:pt idx="2292">
                  <c:v>7.0870268499799065E-3</c:v>
                </c:pt>
                <c:pt idx="2293">
                  <c:v>7.0897899339185918E-3</c:v>
                </c:pt>
                <c:pt idx="2294">
                  <c:v>7.089946865193774E-3</c:v>
                </c:pt>
                <c:pt idx="2295">
                  <c:v>7.0895393540270314E-3</c:v>
                </c:pt>
                <c:pt idx="2296">
                  <c:v>7.0921580896872788E-3</c:v>
                </c:pt>
                <c:pt idx="2297">
                  <c:v>7.0951113958394622E-3</c:v>
                </c:pt>
                <c:pt idx="2298">
                  <c:v>7.0949188822270583E-3</c:v>
                </c:pt>
                <c:pt idx="2299">
                  <c:v>7.0948057320998469E-3</c:v>
                </c:pt>
                <c:pt idx="2300">
                  <c:v>7.0970117714007196E-3</c:v>
                </c:pt>
                <c:pt idx="2301">
                  <c:v>7.0975040626820775E-3</c:v>
                </c:pt>
                <c:pt idx="2302">
                  <c:v>7.0973125224217132E-3</c:v>
                </c:pt>
                <c:pt idx="2303">
                  <c:v>7.0996492781480397E-3</c:v>
                </c:pt>
                <c:pt idx="2304">
                  <c:v>7.1021452532643746E-3</c:v>
                </c:pt>
                <c:pt idx="2305">
                  <c:v>7.1037181951549982E-3</c:v>
                </c:pt>
                <c:pt idx="2306">
                  <c:v>7.1050877376472718E-3</c:v>
                </c:pt>
                <c:pt idx="2307">
                  <c:v>7.1037524857087619E-3</c:v>
                </c:pt>
                <c:pt idx="2308">
                  <c:v>7.1019905017733302E-3</c:v>
                </c:pt>
                <c:pt idx="2309">
                  <c:v>7.1031706690147731E-3</c:v>
                </c:pt>
                <c:pt idx="2310">
                  <c:v>7.1051446139079148E-3</c:v>
                </c:pt>
                <c:pt idx="2311">
                  <c:v>7.1068498364799263E-3</c:v>
                </c:pt>
                <c:pt idx="2312">
                  <c:v>7.1062502795000565E-3</c:v>
                </c:pt>
                <c:pt idx="2313">
                  <c:v>7.1050596959142016E-3</c:v>
                </c:pt>
                <c:pt idx="2314">
                  <c:v>7.1059151295926265E-3</c:v>
                </c:pt>
                <c:pt idx="2315">
                  <c:v>7.106447364420585E-3</c:v>
                </c:pt>
                <c:pt idx="2316">
                  <c:v>7.1066231783983736E-3</c:v>
                </c:pt>
                <c:pt idx="2317">
                  <c:v>7.1081111202248659E-3</c:v>
                </c:pt>
                <c:pt idx="2318">
                  <c:v>7.1098497568404615E-3</c:v>
                </c:pt>
                <c:pt idx="2319">
                  <c:v>7.1088852683354221E-3</c:v>
                </c:pt>
                <c:pt idx="2320">
                  <c:v>7.1073351222526587E-3</c:v>
                </c:pt>
                <c:pt idx="2321">
                  <c:v>7.1089315887326466E-3</c:v>
                </c:pt>
                <c:pt idx="2322">
                  <c:v>7.1108765891217734E-3</c:v>
                </c:pt>
                <c:pt idx="2323">
                  <c:v>7.1095529369802658E-3</c:v>
                </c:pt>
                <c:pt idx="2324">
                  <c:v>7.1083137333915469E-3</c:v>
                </c:pt>
                <c:pt idx="2325">
                  <c:v>7.1094876042103253E-3</c:v>
                </c:pt>
                <c:pt idx="2326">
                  <c:v>7.1088803112968318E-3</c:v>
                </c:pt>
                <c:pt idx="2327">
                  <c:v>7.1075634020400843E-3</c:v>
                </c:pt>
                <c:pt idx="2328">
                  <c:v>7.108877612830751E-3</c:v>
                </c:pt>
                <c:pt idx="2329">
                  <c:v>7.1103592188412413E-3</c:v>
                </c:pt>
                <c:pt idx="2330">
                  <c:v>7.108771192455769E-3</c:v>
                </c:pt>
                <c:pt idx="2331">
                  <c:v>7.1066111928714702E-3</c:v>
                </c:pt>
                <c:pt idx="2332">
                  <c:v>7.1066623275058459E-3</c:v>
                </c:pt>
                <c:pt idx="2333">
                  <c:v>7.1064836837494774E-3</c:v>
                </c:pt>
                <c:pt idx="2334">
                  <c:v>7.105836471911528E-3</c:v>
                </c:pt>
                <c:pt idx="2335">
                  <c:v>7.1065944604081326E-3</c:v>
                </c:pt>
                <c:pt idx="2336">
                  <c:v>7.1076013250192388E-3</c:v>
                </c:pt>
                <c:pt idx="2337">
                  <c:v>7.1058169178752619E-3</c:v>
                </c:pt>
                <c:pt idx="2338">
                  <c:v>7.1034318622200153E-3</c:v>
                </c:pt>
                <c:pt idx="2339">
                  <c:v>7.1031930216434672E-3</c:v>
                </c:pt>
                <c:pt idx="2340">
                  <c:v>7.102679528357035E-3</c:v>
                </c:pt>
                <c:pt idx="2341">
                  <c:v>7.1017472458238676E-3</c:v>
                </c:pt>
                <c:pt idx="2342">
                  <c:v>7.1022046014796291E-3</c:v>
                </c:pt>
                <c:pt idx="2343">
                  <c:v>7.1029215926480746E-3</c:v>
                </c:pt>
                <c:pt idx="2344">
                  <c:v>7.1008212219588231E-3</c:v>
                </c:pt>
                <c:pt idx="2345">
                  <c:v>7.0981130741445027E-3</c:v>
                </c:pt>
                <c:pt idx="2346">
                  <c:v>7.0986829118778062E-3</c:v>
                </c:pt>
                <c:pt idx="2347">
                  <c:v>7.0996177336621474E-3</c:v>
                </c:pt>
                <c:pt idx="2348">
                  <c:v>7.0971502024207633E-3</c:v>
                </c:pt>
                <c:pt idx="2349">
                  <c:v>7.0947721407833954E-3</c:v>
                </c:pt>
                <c:pt idx="2350">
                  <c:v>7.0949073645011551E-3</c:v>
                </c:pt>
                <c:pt idx="2351">
                  <c:v>7.0931888531285264E-3</c:v>
                </c:pt>
                <c:pt idx="2352">
                  <c:v>7.090732821557302E-3</c:v>
                </c:pt>
                <c:pt idx="2353">
                  <c:v>7.0910182779844099E-3</c:v>
                </c:pt>
                <c:pt idx="2354">
                  <c:v>7.0914791101330419E-3</c:v>
                </c:pt>
                <c:pt idx="2355">
                  <c:v>7.0887439021440884E-3</c:v>
                </c:pt>
                <c:pt idx="2356">
                  <c:v>7.085414412647143E-3</c:v>
                </c:pt>
                <c:pt idx="2357">
                  <c:v>7.0843888393218096E-3</c:v>
                </c:pt>
                <c:pt idx="2358">
                  <c:v>7.0831248209992483E-3</c:v>
                </c:pt>
                <c:pt idx="2359">
                  <c:v>7.081373632573401E-3</c:v>
                </c:pt>
                <c:pt idx="2360">
                  <c:v>7.0810877264019462E-3</c:v>
                </c:pt>
                <c:pt idx="2361">
                  <c:v>7.081062737680519E-3</c:v>
                </c:pt>
                <c:pt idx="2362">
                  <c:v>7.0781301558843638E-3</c:v>
                </c:pt>
                <c:pt idx="2363">
                  <c:v>7.0745726607128034E-3</c:v>
                </c:pt>
                <c:pt idx="2364">
                  <c:v>7.0732523865794737E-3</c:v>
                </c:pt>
                <c:pt idx="2365">
                  <c:v>7.0716469186440168E-3</c:v>
                </c:pt>
                <c:pt idx="2366">
                  <c:v>7.0696060898548675E-3</c:v>
                </c:pt>
                <c:pt idx="2367">
                  <c:v>7.0690147694371921E-3</c:v>
                </c:pt>
                <c:pt idx="2368">
                  <c:v>7.068695214501014E-3</c:v>
                </c:pt>
                <c:pt idx="2369">
                  <c:v>7.0654391777947726E-3</c:v>
                </c:pt>
                <c:pt idx="2370">
                  <c:v>7.0615503900144771E-3</c:v>
                </c:pt>
                <c:pt idx="2371">
                  <c:v>7.0610806860825822E-3</c:v>
                </c:pt>
                <c:pt idx="2372">
                  <c:v>7.0609926773262154E-3</c:v>
                </c:pt>
                <c:pt idx="2373">
                  <c:v>7.0573572614632393E-3</c:v>
                </c:pt>
                <c:pt idx="2374">
                  <c:v>7.0538165496399153E-3</c:v>
                </c:pt>
                <c:pt idx="2375">
                  <c:v>7.052897995802076E-3</c:v>
                </c:pt>
                <c:pt idx="2376">
                  <c:v>7.050045837836796E-3</c:v>
                </c:pt>
                <c:pt idx="2377">
                  <c:v>7.0464250829874201E-3</c:v>
                </c:pt>
                <c:pt idx="2378">
                  <c:v>7.045665842100696E-3</c:v>
                </c:pt>
                <c:pt idx="2379">
                  <c:v>7.0450906451854315E-3</c:v>
                </c:pt>
                <c:pt idx="2380">
                  <c:v>7.0411810476953222E-3</c:v>
                </c:pt>
                <c:pt idx="2381">
                  <c:v>7.036651932121313E-3</c:v>
                </c:pt>
                <c:pt idx="2382">
                  <c:v>7.0345277561622262E-3</c:v>
                </c:pt>
                <c:pt idx="2383">
                  <c:v>7.0321561994059279E-3</c:v>
                </c:pt>
                <c:pt idx="2384">
                  <c:v>7.0292772422508995E-3</c:v>
                </c:pt>
                <c:pt idx="2385">
                  <c:v>7.0279283830807669E-3</c:v>
                </c:pt>
                <c:pt idx="2386">
                  <c:v>7.0268525385015108E-3</c:v>
                </c:pt>
                <c:pt idx="2387">
                  <c:v>7.0227412913483576E-3</c:v>
                </c:pt>
                <c:pt idx="2388">
                  <c:v>7.0179784514517955E-3</c:v>
                </c:pt>
                <c:pt idx="2389">
                  <c:v>7.0155526266236744E-3</c:v>
                </c:pt>
                <c:pt idx="2390">
                  <c:v>7.012829891658294E-3</c:v>
                </c:pt>
                <c:pt idx="2391">
                  <c:v>7.0096530395248472E-3</c:v>
                </c:pt>
                <c:pt idx="2392">
                  <c:v>7.0079910843400947E-3</c:v>
                </c:pt>
                <c:pt idx="2393">
                  <c:v>7.0066141062920364E-3</c:v>
                </c:pt>
                <c:pt idx="2394">
                  <c:v>7.0021695016434793E-3</c:v>
                </c:pt>
                <c:pt idx="2395">
                  <c:v>6.997064419337928E-3</c:v>
                </c:pt>
                <c:pt idx="2396">
                  <c:v>6.9955330197210572E-3</c:v>
                </c:pt>
                <c:pt idx="2397">
                  <c:v>6.9944012394034796E-3</c:v>
                </c:pt>
                <c:pt idx="2398">
                  <c:v>6.989562251530951E-3</c:v>
                </c:pt>
                <c:pt idx="2399">
                  <c:v>6.9848235402617462E-3</c:v>
                </c:pt>
                <c:pt idx="2400">
                  <c:v>6.9828265714065594E-3</c:v>
                </c:pt>
                <c:pt idx="2401">
                  <c:v>6.9788076105052506E-3</c:v>
                </c:pt>
                <c:pt idx="2402">
                  <c:v>6.9739854502990058E-3</c:v>
                </c:pt>
                <c:pt idx="2403">
                  <c:v>6.9721569616304352E-3</c:v>
                </c:pt>
                <c:pt idx="2404">
                  <c:v>6.9705219812666542E-3</c:v>
                </c:pt>
                <c:pt idx="2405">
                  <c:v>6.9653995690261037E-3</c:v>
                </c:pt>
                <c:pt idx="2406">
                  <c:v>6.9603722498359326E-3</c:v>
                </c:pt>
                <c:pt idx="2407">
                  <c:v>6.9581090174822263E-3</c:v>
                </c:pt>
                <c:pt idx="2408">
                  <c:v>6.9537302659288397E-3</c:v>
                </c:pt>
                <c:pt idx="2409">
                  <c:v>6.9485427507135272E-3</c:v>
                </c:pt>
                <c:pt idx="2410">
                  <c:v>6.9464054107002933E-3</c:v>
                </c:pt>
                <c:pt idx="2411">
                  <c:v>6.9444769408818384E-3</c:v>
                </c:pt>
                <c:pt idx="2412">
                  <c:v>6.9390049425927924E-3</c:v>
                </c:pt>
                <c:pt idx="2413">
                  <c:v>6.9328774466635955E-3</c:v>
                </c:pt>
                <c:pt idx="2414">
                  <c:v>6.9292999132418874E-3</c:v>
                </c:pt>
                <c:pt idx="2415">
                  <c:v>6.9254623602196036E-3</c:v>
                </c:pt>
                <c:pt idx="2416">
                  <c:v>6.9210865106679271E-3</c:v>
                </c:pt>
                <c:pt idx="2417">
                  <c:v>6.9183349674344294E-3</c:v>
                </c:pt>
                <c:pt idx="2418">
                  <c:v>6.9158738491546645E-3</c:v>
                </c:pt>
                <c:pt idx="2419">
                  <c:v>6.9101931448102664E-3</c:v>
                </c:pt>
                <c:pt idx="2420">
                  <c:v>6.9038217330860555E-3</c:v>
                </c:pt>
                <c:pt idx="2421">
                  <c:v>6.901197863116517E-3</c:v>
                </c:pt>
                <c:pt idx="2422">
                  <c:v>6.8989945436192723E-3</c:v>
                </c:pt>
                <c:pt idx="2423">
                  <c:v>6.8929052825349012E-3</c:v>
                </c:pt>
                <c:pt idx="2424">
                  <c:v>6.8869222021808053E-3</c:v>
                </c:pt>
                <c:pt idx="2425">
                  <c:v>6.8838131826740919E-3</c:v>
                </c:pt>
                <c:pt idx="2426">
                  <c:v>6.8785841941245386E-3</c:v>
                </c:pt>
                <c:pt idx="2427">
                  <c:v>6.8725136992035772E-3</c:v>
                </c:pt>
                <c:pt idx="2428">
                  <c:v>6.869583425220073E-3</c:v>
                </c:pt>
                <c:pt idx="2429">
                  <c:v>6.866856606442857E-3</c:v>
                </c:pt>
                <c:pt idx="2430">
                  <c:v>6.8604724098293209E-3</c:v>
                </c:pt>
                <c:pt idx="2431">
                  <c:v>6.8541890019353504E-3</c:v>
                </c:pt>
                <c:pt idx="2432">
                  <c:v>6.8508050309835505E-3</c:v>
                </c:pt>
                <c:pt idx="2433">
                  <c:v>6.8452011557970007E-3</c:v>
                </c:pt>
                <c:pt idx="2434">
                  <c:v>6.8387493612757297E-3</c:v>
                </c:pt>
                <c:pt idx="2435">
                  <c:v>6.8354994552121909E-3</c:v>
                </c:pt>
                <c:pt idx="2436">
                  <c:v>6.8324692214170955E-3</c:v>
                </c:pt>
                <c:pt idx="2437">
                  <c:v>6.8257197256015537E-3</c:v>
                </c:pt>
                <c:pt idx="2438">
                  <c:v>6.8182826706178661E-3</c:v>
                </c:pt>
                <c:pt idx="2439">
                  <c:v>6.8135223945937655E-3</c:v>
                </c:pt>
                <c:pt idx="2440">
                  <c:v>6.8084896571321135E-3</c:v>
                </c:pt>
                <c:pt idx="2441">
                  <c:v>6.8028923442749632E-3</c:v>
                </c:pt>
                <c:pt idx="2442">
                  <c:v>6.7990014275943677E-3</c:v>
                </c:pt>
                <c:pt idx="2443">
                  <c:v>6.7954162665731354E-3</c:v>
                </c:pt>
                <c:pt idx="2444">
                  <c:v>6.7909448397545872E-3</c:v>
                </c:pt>
                <c:pt idx="2445">
                  <c:v>6.7861634963209648E-3</c:v>
                </c:pt>
                <c:pt idx="2446">
                  <c:v>6.7810576638935478E-3</c:v>
                </c:pt>
                <c:pt idx="2447">
                  <c:v>6.7757715479477235E-3</c:v>
                </c:pt>
                <c:pt idx="2448">
                  <c:v>6.7671006682526163E-3</c:v>
                </c:pt>
                <c:pt idx="2449">
                  <c:v>6.7585090289365999E-3</c:v>
                </c:pt>
                <c:pt idx="2450">
                  <c:v>6.7541755390762084E-3</c:v>
                </c:pt>
                <c:pt idx="2451">
                  <c:v>6.748021651024806E-3</c:v>
                </c:pt>
                <c:pt idx="2452">
                  <c:v>6.7409245519768676E-3</c:v>
                </c:pt>
                <c:pt idx="2453">
                  <c:v>6.7368458374343961E-3</c:v>
                </c:pt>
                <c:pt idx="2454">
                  <c:v>6.7329011286874673E-3</c:v>
                </c:pt>
                <c:pt idx="2455">
                  <c:v>6.7252242729069107E-3</c:v>
                </c:pt>
                <c:pt idx="2456">
                  <c:v>6.7176515904207477E-3</c:v>
                </c:pt>
                <c:pt idx="2457">
                  <c:v>6.7131222516165264E-3</c:v>
                </c:pt>
                <c:pt idx="2458">
                  <c:v>6.7062270927589571E-3</c:v>
                </c:pt>
                <c:pt idx="2459">
                  <c:v>6.6984420389638978E-3</c:v>
                </c:pt>
                <c:pt idx="2460">
                  <c:v>6.6940353704257475E-3</c:v>
                </c:pt>
                <c:pt idx="2461">
                  <c:v>6.6898661472705664E-3</c:v>
                </c:pt>
                <c:pt idx="2462">
                  <c:v>6.681777112173529E-3</c:v>
                </c:pt>
                <c:pt idx="2463">
                  <c:v>6.6729648896091728E-3</c:v>
                </c:pt>
                <c:pt idx="2464">
                  <c:v>6.6669712254860351E-3</c:v>
                </c:pt>
                <c:pt idx="2465">
                  <c:v>6.6606917963541049E-3</c:v>
                </c:pt>
                <c:pt idx="2466">
                  <c:v>6.6538178559167865E-3</c:v>
                </c:pt>
                <c:pt idx="2467">
                  <c:v>6.6487420053590682E-3</c:v>
                </c:pt>
                <c:pt idx="2468">
                  <c:v>6.6439886330767767E-3</c:v>
                </c:pt>
                <c:pt idx="2469">
                  <c:v>6.6356720715951495E-3</c:v>
                </c:pt>
                <c:pt idx="2470">
                  <c:v>6.6265917274635948E-3</c:v>
                </c:pt>
                <c:pt idx="2471">
                  <c:v>6.6216614989127636E-3</c:v>
                </c:pt>
                <c:pt idx="2472">
                  <c:v>6.6171979180030312E-3</c:v>
                </c:pt>
                <c:pt idx="2473">
                  <c:v>6.6084305336494191E-3</c:v>
                </c:pt>
                <c:pt idx="2474">
                  <c:v>6.5997830045560852E-3</c:v>
                </c:pt>
                <c:pt idx="2475">
                  <c:v>6.5943206019096045E-3</c:v>
                </c:pt>
                <c:pt idx="2476">
                  <c:v>6.5865068957797653E-3</c:v>
                </c:pt>
                <c:pt idx="2477">
                  <c:v>6.5777607249217955E-3</c:v>
                </c:pt>
                <c:pt idx="2478">
                  <c:v>6.5724989115918077E-3</c:v>
                </c:pt>
                <c:pt idx="2479">
                  <c:v>6.5674642192191171E-3</c:v>
                </c:pt>
                <c:pt idx="2480">
                  <c:v>6.5583715629230375E-3</c:v>
                </c:pt>
                <c:pt idx="2481">
                  <c:v>6.5493930415965271E-3</c:v>
                </c:pt>
                <c:pt idx="2482">
                  <c:v>6.5436332462388436E-3</c:v>
                </c:pt>
                <c:pt idx="2483">
                  <c:v>6.5354076611702097E-3</c:v>
                </c:pt>
                <c:pt idx="2484">
                  <c:v>6.5262408561267546E-3</c:v>
                </c:pt>
                <c:pt idx="2485">
                  <c:v>6.5206322586237389E-3</c:v>
                </c:pt>
                <c:pt idx="2486">
                  <c:v>6.5152692019049604E-3</c:v>
                </c:pt>
                <c:pt idx="2487">
                  <c:v>6.5057731231769412E-3</c:v>
                </c:pt>
                <c:pt idx="2488">
                  <c:v>6.4955136508128321E-3</c:v>
                </c:pt>
                <c:pt idx="2489">
                  <c:v>6.488229776497839E-3</c:v>
                </c:pt>
                <c:pt idx="2490">
                  <c:v>6.4806439709923702E-3</c:v>
                </c:pt>
                <c:pt idx="2491">
                  <c:v>6.472431586086915E-3</c:v>
                </c:pt>
                <c:pt idx="2492">
                  <c:v>6.4661185935432249E-3</c:v>
                </c:pt>
                <c:pt idx="2493">
                  <c:v>6.4601469373553261E-3</c:v>
                </c:pt>
                <c:pt idx="2494">
                  <c:v>6.4504110036648432E-3</c:v>
                </c:pt>
                <c:pt idx="2495">
                  <c:v>6.4398684204391285E-3</c:v>
                </c:pt>
                <c:pt idx="2496">
                  <c:v>6.4337116468003164E-3</c:v>
                </c:pt>
                <c:pt idx="2497">
                  <c:v>6.4280484726411333E-3</c:v>
                </c:pt>
                <c:pt idx="2498">
                  <c:v>6.4178368045028971E-3</c:v>
                </c:pt>
                <c:pt idx="2499">
                  <c:v>6.4077529967482474E-3</c:v>
                </c:pt>
                <c:pt idx="2500">
                  <c:v>6.4010363339211535E-3</c:v>
                </c:pt>
                <c:pt idx="2501">
                  <c:v>6.3918330437674987E-3</c:v>
                </c:pt>
                <c:pt idx="2502">
                  <c:v>6.3816444324193457E-3</c:v>
                </c:pt>
                <c:pt idx="2503">
                  <c:v>6.3751415262461881E-3</c:v>
                </c:pt>
                <c:pt idx="2504">
                  <c:v>6.3688795944719682E-3</c:v>
                </c:pt>
                <c:pt idx="2505">
                  <c:v>6.3583255312716991E-3</c:v>
                </c:pt>
                <c:pt idx="2506">
                  <c:v>6.347893104254731E-3</c:v>
                </c:pt>
                <c:pt idx="2507">
                  <c:v>6.340865924058239E-3</c:v>
                </c:pt>
                <c:pt idx="2508">
                  <c:v>6.3312292197551549E-3</c:v>
                </c:pt>
                <c:pt idx="2509">
                  <c:v>6.3205971176826369E-3</c:v>
                </c:pt>
                <c:pt idx="2510">
                  <c:v>6.313731898020359E-3</c:v>
                </c:pt>
                <c:pt idx="2511">
                  <c:v>6.3071272412631918E-3</c:v>
                </c:pt>
                <c:pt idx="2512">
                  <c:v>6.2961478905013257E-3</c:v>
                </c:pt>
                <c:pt idx="2513">
                  <c:v>6.2843609004388408E-3</c:v>
                </c:pt>
                <c:pt idx="2514">
                  <c:v>6.2757240486728174E-3</c:v>
                </c:pt>
                <c:pt idx="2515">
                  <c:v>6.2683773611406264E-3</c:v>
                </c:pt>
                <c:pt idx="2516">
                  <c:v>6.2608846166294805E-3</c:v>
                </c:pt>
                <c:pt idx="2517">
                  <c:v>6.2527178331873365E-3</c:v>
                </c:pt>
                <c:pt idx="2518">
                  <c:v>6.2441385634859027E-3</c:v>
                </c:pt>
                <c:pt idx="2519">
                  <c:v>6.231789483113202E-3</c:v>
                </c:pt>
                <c:pt idx="2520">
                  <c:v>6.2187665607776723E-3</c:v>
                </c:pt>
                <c:pt idx="2521">
                  <c:v>6.2115411811480741E-3</c:v>
                </c:pt>
                <c:pt idx="2522">
                  <c:v>6.2048269656532259E-3</c:v>
                </c:pt>
                <c:pt idx="2523">
                  <c:v>6.19298058633994E-3</c:v>
                </c:pt>
                <c:pt idx="2524">
                  <c:v>6.1812785700773682E-3</c:v>
                </c:pt>
                <c:pt idx="2525">
                  <c:v>6.1731967817751972E-3</c:v>
                </c:pt>
                <c:pt idx="2526">
                  <c:v>6.1625735826740715E-3</c:v>
                </c:pt>
                <c:pt idx="2527">
                  <c:v>6.150898752973007E-3</c:v>
                </c:pt>
                <c:pt idx="2528">
                  <c:v>6.1431034042974259E-3</c:v>
                </c:pt>
                <c:pt idx="2529">
                  <c:v>6.1355466664010129E-3</c:v>
                </c:pt>
                <c:pt idx="2530">
                  <c:v>6.1234550598125827E-3</c:v>
                </c:pt>
                <c:pt idx="2531">
                  <c:v>6.1114932865741836E-3</c:v>
                </c:pt>
                <c:pt idx="2532">
                  <c:v>6.1031429679951604E-3</c:v>
                </c:pt>
                <c:pt idx="2533">
                  <c:v>6.0920208545499066E-3</c:v>
                </c:pt>
                <c:pt idx="2534">
                  <c:v>6.0798439130532005E-3</c:v>
                </c:pt>
                <c:pt idx="2535">
                  <c:v>6.0716651342370359E-3</c:v>
                </c:pt>
                <c:pt idx="2536">
                  <c:v>6.0637643549510574E-3</c:v>
                </c:pt>
                <c:pt idx="2537">
                  <c:v>6.0512216727155619E-3</c:v>
                </c:pt>
                <c:pt idx="2538">
                  <c:v>6.0378226819333787E-3</c:v>
                </c:pt>
                <c:pt idx="2539">
                  <c:v>6.0277667222238332E-3</c:v>
                </c:pt>
                <c:pt idx="2540">
                  <c:v>6.0173730241149552E-3</c:v>
                </c:pt>
                <c:pt idx="2541">
                  <c:v>6.0062767315838825E-3</c:v>
                </c:pt>
                <c:pt idx="2542">
                  <c:v>5.9973172505341683E-3</c:v>
                </c:pt>
                <c:pt idx="2543">
                  <c:v>5.9887432940550819E-3</c:v>
                </c:pt>
                <c:pt idx="2544">
                  <c:v>5.9759367726724584E-3</c:v>
                </c:pt>
                <c:pt idx="2545">
                  <c:v>5.9622242197164841E-3</c:v>
                </c:pt>
                <c:pt idx="2546">
                  <c:v>5.9534467128301762E-3</c:v>
                </c:pt>
                <c:pt idx="2547">
                  <c:v>5.9452261668695491E-3</c:v>
                </c:pt>
                <c:pt idx="2548">
                  <c:v>5.9318883413339929E-3</c:v>
                </c:pt>
                <c:pt idx="2549">
                  <c:v>5.918696991335304E-3</c:v>
                </c:pt>
                <c:pt idx="2550">
                  <c:v>5.9092966507312255E-3</c:v>
                </c:pt>
                <c:pt idx="2551">
                  <c:v>5.899677379771563E-3</c:v>
                </c:pt>
                <c:pt idx="2552">
                  <c:v>5.8893794657446097E-3</c:v>
                </c:pt>
                <c:pt idx="2553">
                  <c:v>5.8788263742566077E-3</c:v>
                </c:pt>
                <c:pt idx="2554">
                  <c:v>5.8679028115058542E-3</c:v>
                </c:pt>
                <c:pt idx="2555">
                  <c:v>5.8528674238273494E-3</c:v>
                </c:pt>
                <c:pt idx="2556">
                  <c:v>5.8379376325396939E-3</c:v>
                </c:pt>
                <c:pt idx="2557">
                  <c:v>5.8281257379927303E-3</c:v>
                </c:pt>
                <c:pt idx="2558">
                  <c:v>5.8157943962642749E-3</c:v>
                </c:pt>
                <c:pt idx="2559">
                  <c:v>5.8022816546003308E-3</c:v>
                </c:pt>
                <c:pt idx="2560">
                  <c:v>5.792725444708542E-3</c:v>
                </c:pt>
                <c:pt idx="2561">
                  <c:v>5.7833817751905018E-3</c:v>
                </c:pt>
                <c:pt idx="2562">
                  <c:v>5.7692222878475957E-3</c:v>
                </c:pt>
                <c:pt idx="2563">
                  <c:v>5.7541472537171118E-3</c:v>
                </c:pt>
                <c:pt idx="2564">
                  <c:v>5.742611836593952E-3</c:v>
                </c:pt>
                <c:pt idx="2565">
                  <c:v>5.730701037131484E-3</c:v>
                </c:pt>
                <c:pt idx="2566">
                  <c:v>5.7180606864819725E-3</c:v>
                </c:pt>
                <c:pt idx="2567">
                  <c:v>5.7076852703215886E-3</c:v>
                </c:pt>
                <c:pt idx="2568">
                  <c:v>5.6977229986239974E-3</c:v>
                </c:pt>
                <c:pt idx="2569">
                  <c:v>5.686585588943016E-3</c:v>
                </c:pt>
                <c:pt idx="2570">
                  <c:v>5.6750389380569892E-3</c:v>
                </c:pt>
                <c:pt idx="2571">
                  <c:v>5.6630640926832532E-3</c:v>
                </c:pt>
                <c:pt idx="2572">
                  <c:v>5.6508523370238494E-3</c:v>
                </c:pt>
                <c:pt idx="2573">
                  <c:v>5.6341292733736907E-3</c:v>
                </c:pt>
                <c:pt idx="2574">
                  <c:v>5.6175197652785338E-3</c:v>
                </c:pt>
                <c:pt idx="2575">
                  <c:v>5.606592504446224E-3</c:v>
                </c:pt>
                <c:pt idx="2576">
                  <c:v>5.5932291715061208E-3</c:v>
                </c:pt>
                <c:pt idx="2577">
                  <c:v>5.5786092164067562E-3</c:v>
                </c:pt>
                <c:pt idx="2578">
                  <c:v>5.5680340119338414E-3</c:v>
                </c:pt>
                <c:pt idx="2579">
                  <c:v>5.5576437476402875E-3</c:v>
                </c:pt>
                <c:pt idx="2580">
                  <c:v>5.5422596208781257E-3</c:v>
                </c:pt>
                <c:pt idx="2581">
                  <c:v>5.527022119020464E-3</c:v>
                </c:pt>
                <c:pt idx="2582">
                  <c:v>5.5158631150395076E-3</c:v>
                </c:pt>
                <c:pt idx="2583">
                  <c:v>5.5015331663345992E-3</c:v>
                </c:pt>
                <c:pt idx="2584">
                  <c:v>5.4860141786052703E-3</c:v>
                </c:pt>
                <c:pt idx="2585">
                  <c:v>5.4750332865661014E-3</c:v>
                </c:pt>
                <c:pt idx="2586">
                  <c:v>5.4643762679943142E-3</c:v>
                </c:pt>
                <c:pt idx="2587">
                  <c:v>5.4484597340563158E-3</c:v>
                </c:pt>
                <c:pt idx="2588">
                  <c:v>5.4315762774115326E-3</c:v>
                </c:pt>
                <c:pt idx="2589">
                  <c:v>5.4184807640211829E-3</c:v>
                </c:pt>
                <c:pt idx="2590">
                  <c:v>5.4050060585933927E-3</c:v>
                </c:pt>
                <c:pt idx="2591">
                  <c:v>5.3907372275357034E-3</c:v>
                </c:pt>
                <c:pt idx="2592">
                  <c:v>5.3788922302845073E-3</c:v>
                </c:pt>
                <c:pt idx="2593">
                  <c:v>5.3674870305996996E-3</c:v>
                </c:pt>
                <c:pt idx="2594">
                  <c:v>5.3512872906002771E-3</c:v>
                </c:pt>
                <c:pt idx="2595">
                  <c:v>5.3340633051710152E-3</c:v>
                </c:pt>
                <c:pt idx="2596">
                  <c:v>5.322435531214819E-3</c:v>
                </c:pt>
                <c:pt idx="2597">
                  <c:v>5.3114417902713137E-3</c:v>
                </c:pt>
                <c:pt idx="2598">
                  <c:v>5.2946489686291577E-3</c:v>
                </c:pt>
                <c:pt idx="2599">
                  <c:v>5.2780259632753731E-3</c:v>
                </c:pt>
                <c:pt idx="2600">
                  <c:v>5.2657041991328347E-3</c:v>
                </c:pt>
                <c:pt idx="2601">
                  <c:v>5.2502073243861037E-3</c:v>
                </c:pt>
                <c:pt idx="2602">
                  <c:v>5.2334561155970797E-3</c:v>
                </c:pt>
                <c:pt idx="2603">
                  <c:v>5.2214210323688589E-3</c:v>
                </c:pt>
                <c:pt idx="2604">
                  <c:v>5.2096995769675587E-3</c:v>
                </c:pt>
                <c:pt idx="2605">
                  <c:v>5.1924941935609968E-3</c:v>
                </c:pt>
                <c:pt idx="2606">
                  <c:v>5.1754514141182815E-3</c:v>
                </c:pt>
                <c:pt idx="2607">
                  <c:v>5.162767444820378E-3</c:v>
                </c:pt>
                <c:pt idx="2608">
                  <c:v>5.1467460285027009E-3</c:v>
                </c:pt>
                <c:pt idx="2609">
                  <c:v>5.1294555416230994E-3</c:v>
                </c:pt>
                <c:pt idx="2610">
                  <c:v>5.1169940710921917E-3</c:v>
                </c:pt>
                <c:pt idx="2611">
                  <c:v>5.1048720739245972E-3</c:v>
                </c:pt>
                <c:pt idx="2612">
                  <c:v>5.0871509567150834E-3</c:v>
                </c:pt>
                <c:pt idx="2613">
                  <c:v>5.0684004499182552E-3</c:v>
                </c:pt>
                <c:pt idx="2614">
                  <c:v>5.0536895364613364E-3</c:v>
                </c:pt>
                <c:pt idx="2615">
                  <c:v>5.038575384411232E-3</c:v>
                </c:pt>
                <c:pt idx="2616">
                  <c:v>5.0226172458270758E-3</c:v>
                </c:pt>
                <c:pt idx="2617">
                  <c:v>5.009244942618089E-3</c:v>
                </c:pt>
                <c:pt idx="2618">
                  <c:v>4.9963437549489977E-3</c:v>
                </c:pt>
                <c:pt idx="2619">
                  <c:v>4.978331850035835E-3</c:v>
                </c:pt>
                <c:pt idx="2620">
                  <c:v>4.9592294411713641E-3</c:v>
                </c:pt>
                <c:pt idx="2621">
                  <c:v>4.9460964824498254E-3</c:v>
                </c:pt>
                <c:pt idx="2622">
                  <c:v>4.9336415266479985E-3</c:v>
                </c:pt>
                <c:pt idx="2623">
                  <c:v>4.9150044046995375E-3</c:v>
                </c:pt>
                <c:pt idx="2624">
                  <c:v>4.896550909807478E-3</c:v>
                </c:pt>
                <c:pt idx="2625">
                  <c:v>4.8826863793332504E-3</c:v>
                </c:pt>
                <c:pt idx="2626">
                  <c:v>4.865437139274586E-3</c:v>
                </c:pt>
                <c:pt idx="2627">
                  <c:v>4.84685194968039E-3</c:v>
                </c:pt>
                <c:pt idx="2628">
                  <c:v>4.8332989132098799E-3</c:v>
                </c:pt>
                <c:pt idx="2629">
                  <c:v>4.820082672974459E-3</c:v>
                </c:pt>
                <c:pt idx="2630">
                  <c:v>4.8010195593015063E-3</c:v>
                </c:pt>
                <c:pt idx="2631">
                  <c:v>4.7821323925598081E-3</c:v>
                </c:pt>
                <c:pt idx="2632">
                  <c:v>4.7678961663356204E-3</c:v>
                </c:pt>
                <c:pt idx="2633">
                  <c:v>4.7501019426703693E-3</c:v>
                </c:pt>
                <c:pt idx="2634">
                  <c:v>4.7309563255079467E-3</c:v>
                </c:pt>
                <c:pt idx="2635">
                  <c:v>4.7169639609115129E-3</c:v>
                </c:pt>
                <c:pt idx="2636">
                  <c:v>4.7033361207745924E-3</c:v>
                </c:pt>
                <c:pt idx="2637">
                  <c:v>4.683738103353461E-3</c:v>
                </c:pt>
                <c:pt idx="2638">
                  <c:v>4.6630440061329378E-3</c:v>
                </c:pt>
                <c:pt idx="2639">
                  <c:v>4.6466609082663419E-3</c:v>
                </c:pt>
                <c:pt idx="2640">
                  <c:v>4.6320521541018634E-3</c:v>
                </c:pt>
                <c:pt idx="2641">
                  <c:v>4.617252928229597E-3</c:v>
                </c:pt>
                <c:pt idx="2642">
                  <c:v>4.6015387661728158E-3</c:v>
                </c:pt>
                <c:pt idx="2643">
                  <c:v>4.5852688857324761E-3</c:v>
                </c:pt>
                <c:pt idx="2644">
                  <c:v>4.5638479439993355E-3</c:v>
                </c:pt>
                <c:pt idx="2645">
                  <c:v>4.5415129425906897E-3</c:v>
                </c:pt>
                <c:pt idx="2646">
                  <c:v>4.5271214166455508E-3</c:v>
                </c:pt>
                <c:pt idx="2647">
                  <c:v>4.5134389391210195E-3</c:v>
                </c:pt>
                <c:pt idx="2648">
                  <c:v>4.4927363821095816E-3</c:v>
                </c:pt>
                <c:pt idx="2649">
                  <c:v>4.4722427724380506E-3</c:v>
                </c:pt>
                <c:pt idx="2650">
                  <c:v>4.456717273262115E-3</c:v>
                </c:pt>
                <c:pt idx="2651">
                  <c:v>4.4377129316718836E-3</c:v>
                </c:pt>
                <c:pt idx="2652">
                  <c:v>4.4172755055904853E-3</c:v>
                </c:pt>
                <c:pt idx="2653">
                  <c:v>4.4021693324007736E-3</c:v>
                </c:pt>
                <c:pt idx="2654">
                  <c:v>4.3874008385198365E-3</c:v>
                </c:pt>
                <c:pt idx="2655">
                  <c:v>4.3664196270562835E-3</c:v>
                </c:pt>
                <c:pt idx="2656">
                  <c:v>4.3456282816222123E-3</c:v>
                </c:pt>
                <c:pt idx="2657">
                  <c:v>4.3298010564316773E-3</c:v>
                </c:pt>
                <c:pt idx="2658">
                  <c:v>4.3101760034583731E-3</c:v>
                </c:pt>
                <c:pt idx="2659">
                  <c:v>4.289112152269103E-3</c:v>
                </c:pt>
                <c:pt idx="2660">
                  <c:v>4.2735495836435655E-3</c:v>
                </c:pt>
                <c:pt idx="2661">
                  <c:v>4.2583797699692347E-3</c:v>
                </c:pt>
                <c:pt idx="2662">
                  <c:v>4.2368437067836981E-3</c:v>
                </c:pt>
                <c:pt idx="2663">
                  <c:v>4.2141417319432181E-3</c:v>
                </c:pt>
                <c:pt idx="2664">
                  <c:v>4.1960409729516791E-3</c:v>
                </c:pt>
                <c:pt idx="2665">
                  <c:v>4.1774872506998729E-3</c:v>
                </c:pt>
                <c:pt idx="2666">
                  <c:v>4.1579789490929159E-3</c:v>
                </c:pt>
                <c:pt idx="2667">
                  <c:v>4.1414182087265829E-3</c:v>
                </c:pt>
                <c:pt idx="2668">
                  <c:v>4.1253989213087087E-3</c:v>
                </c:pt>
                <c:pt idx="2669">
                  <c:v>4.1035705521210893E-3</c:v>
                </c:pt>
                <c:pt idx="2670">
                  <c:v>4.0805071419433977E-3</c:v>
                </c:pt>
                <c:pt idx="2671">
                  <c:v>4.0642411565529491E-3</c:v>
                </c:pt>
                <c:pt idx="2672">
                  <c:v>4.0487527678602173E-3</c:v>
                </c:pt>
                <c:pt idx="2673">
                  <c:v>4.0262367951866568E-3</c:v>
                </c:pt>
                <c:pt idx="2674">
                  <c:v>4.0039356017593144E-3</c:v>
                </c:pt>
                <c:pt idx="2675">
                  <c:v>3.9868608871759014E-3</c:v>
                </c:pt>
                <c:pt idx="2676">
                  <c:v>3.9694951124162004E-3</c:v>
                </c:pt>
                <c:pt idx="2677">
                  <c:v>3.9512071382612037E-3</c:v>
                </c:pt>
                <c:pt idx="2678">
                  <c:v>3.932579582410901E-3</c:v>
                </c:pt>
                <c:pt idx="2679">
                  <c:v>3.9134542398616993E-3</c:v>
                </c:pt>
                <c:pt idx="2680">
                  <c:v>3.8886822898357054E-3</c:v>
                </c:pt>
                <c:pt idx="2681">
                  <c:v>3.8640700893731658E-3</c:v>
                </c:pt>
                <c:pt idx="2682">
                  <c:v>3.8465137493464583E-3</c:v>
                </c:pt>
                <c:pt idx="2683">
                  <c:v>3.8254979256143644E-3</c:v>
                </c:pt>
                <c:pt idx="2684">
                  <c:v>3.8028674322400499E-3</c:v>
                </c:pt>
                <c:pt idx="2685">
                  <c:v>3.7857006858221147E-3</c:v>
                </c:pt>
                <c:pt idx="2686">
                  <c:v>3.768840374604007E-3</c:v>
                </c:pt>
                <c:pt idx="2687">
                  <c:v>3.7453602088776076E-3</c:v>
                </c:pt>
                <c:pt idx="2688">
                  <c:v>3.7206324027485144E-3</c:v>
                </c:pt>
                <c:pt idx="2689">
                  <c:v>3.7007909865735002E-3</c:v>
                </c:pt>
                <c:pt idx="2690">
                  <c:v>3.6804469809542345E-3</c:v>
                </c:pt>
                <c:pt idx="2691">
                  <c:v>3.6591124032907731E-3</c:v>
                </c:pt>
                <c:pt idx="2692">
                  <c:v>3.6409108654278334E-3</c:v>
                </c:pt>
                <c:pt idx="2693">
                  <c:v>3.6232924967741016E-3</c:v>
                </c:pt>
                <c:pt idx="2694">
                  <c:v>3.6040685026115546E-3</c:v>
                </c:pt>
                <c:pt idx="2695">
                  <c:v>3.584294324877169E-3</c:v>
                </c:pt>
                <c:pt idx="2696">
                  <c:v>3.5639446285120049E-3</c:v>
                </c:pt>
                <c:pt idx="2697">
                  <c:v>3.5432833495065317E-3</c:v>
                </c:pt>
                <c:pt idx="2698">
                  <c:v>3.5164237923419987E-3</c:v>
                </c:pt>
                <c:pt idx="2699">
                  <c:v>3.4897367417280668E-3</c:v>
                </c:pt>
                <c:pt idx="2700">
                  <c:v>3.4708900322910595E-3</c:v>
                </c:pt>
                <c:pt idx="2701">
                  <c:v>3.4486994989832592E-3</c:v>
                </c:pt>
                <c:pt idx="2702">
                  <c:v>3.4247920005056141E-3</c:v>
                </c:pt>
                <c:pt idx="2703">
                  <c:v>3.4064739853894551E-3</c:v>
                </c:pt>
                <c:pt idx="2704">
                  <c:v>3.388426814930044E-3</c:v>
                </c:pt>
                <c:pt idx="2705">
                  <c:v>3.3635152422260809E-3</c:v>
                </c:pt>
                <c:pt idx="2706">
                  <c:v>3.3388221501323865E-3</c:v>
                </c:pt>
                <c:pt idx="2707">
                  <c:v>3.3197623340391457E-3</c:v>
                </c:pt>
                <c:pt idx="2708">
                  <c:v>3.2963495200079929E-3</c:v>
                </c:pt>
                <c:pt idx="2709">
                  <c:v>3.2713140706057378E-3</c:v>
                </c:pt>
                <c:pt idx="2710">
                  <c:v>3.2525462305916719E-3</c:v>
                </c:pt>
                <c:pt idx="2711">
                  <c:v>3.2342413450610068E-3</c:v>
                </c:pt>
                <c:pt idx="2712">
                  <c:v>3.208709656802965E-3</c:v>
                </c:pt>
                <c:pt idx="2713">
                  <c:v>3.1818626514490017E-3</c:v>
                </c:pt>
                <c:pt idx="2714">
                  <c:v>3.1602476581092166E-3</c:v>
                </c:pt>
                <c:pt idx="2715">
                  <c:v>3.1381288770987487E-3</c:v>
                </c:pt>
                <c:pt idx="2716">
                  <c:v>3.1149340085811555E-3</c:v>
                </c:pt>
                <c:pt idx="2717">
                  <c:v>3.0950923068025658E-3</c:v>
                </c:pt>
                <c:pt idx="2718">
                  <c:v>3.0758731662687598E-3</c:v>
                </c:pt>
                <c:pt idx="2719">
                  <c:v>3.0500723092279887E-3</c:v>
                </c:pt>
                <c:pt idx="2720">
                  <c:v>3.0228792468427173E-3</c:v>
                </c:pt>
                <c:pt idx="2721">
                  <c:v>3.0034052062441682E-3</c:v>
                </c:pt>
                <c:pt idx="2722">
                  <c:v>2.9848214889895935E-3</c:v>
                </c:pt>
                <c:pt idx="2723">
                  <c:v>2.9582772765621114E-3</c:v>
                </c:pt>
                <c:pt idx="2724">
                  <c:v>2.931985543129611E-3</c:v>
                </c:pt>
                <c:pt idx="2725">
                  <c:v>2.9116290250928846E-3</c:v>
                </c:pt>
                <c:pt idx="2726">
                  <c:v>2.886923077529626E-3</c:v>
                </c:pt>
                <c:pt idx="2727">
                  <c:v>2.8605100164994447E-3</c:v>
                </c:pt>
                <c:pt idx="2728">
                  <c:v>2.840602026653944E-3</c:v>
                </c:pt>
                <c:pt idx="2729">
                  <c:v>2.8211443278648488E-3</c:v>
                </c:pt>
                <c:pt idx="2730">
                  <c:v>2.7941668375232802E-3</c:v>
                </c:pt>
                <c:pt idx="2731">
                  <c:v>2.7674322830597395E-3</c:v>
                </c:pt>
                <c:pt idx="2732">
                  <c:v>2.7467081136925081E-3</c:v>
                </c:pt>
                <c:pt idx="2733">
                  <c:v>2.7214173883441471E-3</c:v>
                </c:pt>
                <c:pt idx="2734">
                  <c:v>2.6944018108839333E-3</c:v>
                </c:pt>
                <c:pt idx="2735">
                  <c:v>2.6740406624494078E-3</c:v>
                </c:pt>
                <c:pt idx="2736">
                  <c:v>2.6541661637938824E-3</c:v>
                </c:pt>
                <c:pt idx="2737">
                  <c:v>2.6266227406176869E-3</c:v>
                </c:pt>
                <c:pt idx="2738">
                  <c:v>2.5976861009921973E-3</c:v>
                </c:pt>
                <c:pt idx="2739">
                  <c:v>2.5743166265702515E-3</c:v>
                </c:pt>
                <c:pt idx="2740">
                  <c:v>2.5504155705991689E-3</c:v>
                </c:pt>
                <c:pt idx="2741">
                  <c:v>2.5253767891497731E-3</c:v>
                </c:pt>
                <c:pt idx="2742">
                  <c:v>2.5039063246422911E-3</c:v>
                </c:pt>
                <c:pt idx="2743">
                  <c:v>2.4831029083283306E-3</c:v>
                </c:pt>
                <c:pt idx="2744">
                  <c:v>2.45531196811964E-3</c:v>
                </c:pt>
                <c:pt idx="2745">
                  <c:v>2.4260469871280666E-3</c:v>
                </c:pt>
                <c:pt idx="2746">
                  <c:v>2.4049881192384293E-3</c:v>
                </c:pt>
                <c:pt idx="2747">
                  <c:v>2.384880808880393E-3</c:v>
                </c:pt>
                <c:pt idx="2748">
                  <c:v>2.3563234926040409E-3</c:v>
                </c:pt>
                <c:pt idx="2749">
                  <c:v>2.3280395782902526E-3</c:v>
                </c:pt>
                <c:pt idx="2750">
                  <c:v>2.3060652883607619E-3</c:v>
                </c:pt>
                <c:pt idx="2751">
                  <c:v>2.2794786981850247E-3</c:v>
                </c:pt>
                <c:pt idx="2752">
                  <c:v>2.2510848213475841E-3</c:v>
                </c:pt>
                <c:pt idx="2753">
                  <c:v>2.2296031296423738E-3</c:v>
                </c:pt>
                <c:pt idx="2754">
                  <c:v>2.2086050297818322E-3</c:v>
                </c:pt>
                <c:pt idx="2755">
                  <c:v>2.1796306231105216E-3</c:v>
                </c:pt>
                <c:pt idx="2756">
                  <c:v>2.1509196304624173E-3</c:v>
                </c:pt>
                <c:pt idx="2757">
                  <c:v>2.128594172171479E-3</c:v>
                </c:pt>
                <c:pt idx="2758">
                  <c:v>2.101429205684124E-3</c:v>
                </c:pt>
                <c:pt idx="2759">
                  <c:v>2.0724400198195163E-3</c:v>
                </c:pt>
                <c:pt idx="2760">
                  <c:v>2.0505172765146653E-3</c:v>
                </c:pt>
                <c:pt idx="2761">
                  <c:v>2.0291163418455693E-3</c:v>
                </c:pt>
                <c:pt idx="2762">
                  <c:v>1.9995867387576924E-3</c:v>
                </c:pt>
                <c:pt idx="2763">
                  <c:v>1.9685855077481301E-3</c:v>
                </c:pt>
                <c:pt idx="2764">
                  <c:v>1.9434955588365551E-3</c:v>
                </c:pt>
                <c:pt idx="2765">
                  <c:v>1.9208510757849934E-3</c:v>
                </c:pt>
                <c:pt idx="2766">
                  <c:v>1.8979706475915682E-3</c:v>
                </c:pt>
                <c:pt idx="2767">
                  <c:v>1.8738664400733207E-3</c:v>
                </c:pt>
                <c:pt idx="2768">
                  <c:v>1.8490290620752541E-3</c:v>
                </c:pt>
                <c:pt idx="2769">
                  <c:v>1.8172000156379648E-3</c:v>
                </c:pt>
                <c:pt idx="2770">
                  <c:v>1.7841515609329835E-3</c:v>
                </c:pt>
                <c:pt idx="2771">
                  <c:v>1.7619505029477114E-3</c:v>
                </c:pt>
                <c:pt idx="2772">
                  <c:v>1.7407415254562025E-3</c:v>
                </c:pt>
                <c:pt idx="2773">
                  <c:v>1.7100028762797521E-3</c:v>
                </c:pt>
                <c:pt idx="2774">
                  <c:v>1.6795745409379224E-3</c:v>
                </c:pt>
                <c:pt idx="2775">
                  <c:v>1.6559334832300756E-3</c:v>
                </c:pt>
                <c:pt idx="2776">
                  <c:v>1.6275907098394502E-3</c:v>
                </c:pt>
                <c:pt idx="2777">
                  <c:v>1.5973259025714684E-3</c:v>
                </c:pt>
                <c:pt idx="2778">
                  <c:v>1.5743337719677467E-3</c:v>
                </c:pt>
                <c:pt idx="2779">
                  <c:v>1.5518271684240718E-3</c:v>
                </c:pt>
                <c:pt idx="2780">
                  <c:v>1.5209123540095534E-3</c:v>
                </c:pt>
                <c:pt idx="2781">
                  <c:v>1.4902815909798096E-3</c:v>
                </c:pt>
                <c:pt idx="2782">
                  <c:v>1.466417827689381E-3</c:v>
                </c:pt>
                <c:pt idx="2783">
                  <c:v>1.4374331277790156E-3</c:v>
                </c:pt>
                <c:pt idx="2784">
                  <c:v>1.406524788699784E-3</c:v>
                </c:pt>
                <c:pt idx="2785">
                  <c:v>1.3831023576879251E-3</c:v>
                </c:pt>
                <c:pt idx="2786">
                  <c:v>1.3602404494473001E-3</c:v>
                </c:pt>
                <c:pt idx="2787">
                  <c:v>1.3287856626309077E-3</c:v>
                </c:pt>
                <c:pt idx="2788">
                  <c:v>1.2957811778344672E-3</c:v>
                </c:pt>
                <c:pt idx="2789">
                  <c:v>1.2690370884585634E-3</c:v>
                </c:pt>
                <c:pt idx="2790">
                  <c:v>1.2417117059974382E-3</c:v>
                </c:pt>
                <c:pt idx="2791">
                  <c:v>1.2131240270467467E-3</c:v>
                </c:pt>
                <c:pt idx="2792">
                  <c:v>1.1885497446395832E-3</c:v>
                </c:pt>
                <c:pt idx="2793">
                  <c:v>1.1647364233094109E-3</c:v>
                </c:pt>
                <c:pt idx="2794">
                  <c:v>1.1331090183273114E-3</c:v>
                </c:pt>
                <c:pt idx="2795">
                  <c:v>1.0998447946103892E-3</c:v>
                </c:pt>
                <c:pt idx="2796">
                  <c:v>1.0757858701241382E-3</c:v>
                </c:pt>
                <c:pt idx="2797">
                  <c:v>1.0528066114031246E-3</c:v>
                </c:pt>
                <c:pt idx="2798">
                  <c:v>1.0203829420445166E-3</c:v>
                </c:pt>
                <c:pt idx="2799">
                  <c:v>9.8827855514893722E-4</c:v>
                </c:pt>
                <c:pt idx="2800">
                  <c:v>9.6325043789488541E-4</c:v>
                </c:pt>
                <c:pt idx="2801">
                  <c:v>9.3786138264844126E-4</c:v>
                </c:pt>
                <c:pt idx="2802">
                  <c:v>9.112606156739194E-4</c:v>
                </c:pt>
                <c:pt idx="2803">
                  <c:v>8.8423466782899471E-4</c:v>
                </c:pt>
                <c:pt idx="2804">
                  <c:v>8.5657092159355784E-4</c:v>
                </c:pt>
                <c:pt idx="2805">
                  <c:v>8.2135484462761714E-4</c:v>
                </c:pt>
                <c:pt idx="2806">
                  <c:v>7.8638401135295601E-4</c:v>
                </c:pt>
                <c:pt idx="2807">
                  <c:v>7.6092786867630992E-4</c:v>
                </c:pt>
                <c:pt idx="2808">
                  <c:v>7.3086596510436419E-4</c:v>
                </c:pt>
                <c:pt idx="2809">
                  <c:v>6.9866918198241315E-4</c:v>
                </c:pt>
                <c:pt idx="2810">
                  <c:v>6.7383217658335197E-4</c:v>
                </c:pt>
                <c:pt idx="2811">
                  <c:v>6.4943831721372578E-4</c:v>
                </c:pt>
                <c:pt idx="2812">
                  <c:v>6.1621186382406238E-4</c:v>
                </c:pt>
                <c:pt idx="2813">
                  <c:v>5.8134923676973738E-4</c:v>
                </c:pt>
                <c:pt idx="2814">
                  <c:v>5.5306579189627505E-4</c:v>
                </c:pt>
                <c:pt idx="2815">
                  <c:v>5.2414604559289412E-4</c:v>
                </c:pt>
                <c:pt idx="2816">
                  <c:v>4.9393546372199964E-4</c:v>
                </c:pt>
                <c:pt idx="2817">
                  <c:v>4.6794577473617294E-4</c:v>
                </c:pt>
                <c:pt idx="2818">
                  <c:v>4.4276874938521899E-4</c:v>
                </c:pt>
                <c:pt idx="2819">
                  <c:v>4.1548069079067209E-4</c:v>
                </c:pt>
                <c:pt idx="2820">
                  <c:v>3.8749330088471031E-4</c:v>
                </c:pt>
                <c:pt idx="2821">
                  <c:v>3.5877311145407091E-4</c:v>
                </c:pt>
                <c:pt idx="2822">
                  <c:v>3.2967329993910177E-4</c:v>
                </c:pt>
                <c:pt idx="2823">
                  <c:v>2.9235867752582803E-4</c:v>
                </c:pt>
                <c:pt idx="2824">
                  <c:v>2.5530832266365029E-4</c:v>
                </c:pt>
                <c:pt idx="2825">
                  <c:v>2.2873683504007517E-4</c:v>
                </c:pt>
                <c:pt idx="2826">
                  <c:v>1.9776157431260688E-4</c:v>
                </c:pt>
                <c:pt idx="2827">
                  <c:v>1.645389027157669E-4</c:v>
                </c:pt>
                <c:pt idx="2828">
                  <c:v>1.3877791207624881E-4</c:v>
                </c:pt>
                <c:pt idx="2829">
                  <c:v>1.1341215326499534E-4</c:v>
                </c:pt>
                <c:pt idx="2830">
                  <c:v>7.8977615649110128E-5</c:v>
                </c:pt>
                <c:pt idx="2831">
                  <c:v>4.486759657240003E-5</c:v>
                </c:pt>
                <c:pt idx="2832">
                  <c:v>1.8267972015350618E-5</c:v>
                </c:pt>
                <c:pt idx="2833">
                  <c:v>-1.4054618093948583E-5</c:v>
                </c:pt>
                <c:pt idx="2834">
                  <c:v>-4.8488825787894819E-5</c:v>
                </c:pt>
                <c:pt idx="2835">
                  <c:v>-7.459107071378928E-5</c:v>
                </c:pt>
                <c:pt idx="2836">
                  <c:v>-1.0004296872204028E-4</c:v>
                </c:pt>
                <c:pt idx="2837">
                  <c:v>-1.3500481531512321E-4</c:v>
                </c:pt>
                <c:pt idx="2838">
                  <c:v>-1.7166432253501522E-4</c:v>
                </c:pt>
                <c:pt idx="2839">
                  <c:v>-2.0137077204186612E-4</c:v>
                </c:pt>
                <c:pt idx="2840">
                  <c:v>-2.3169999781867443E-4</c:v>
                </c:pt>
                <c:pt idx="2841">
                  <c:v>-2.634100572980154E-4</c:v>
                </c:pt>
                <c:pt idx="2842">
                  <c:v>-2.9066251057394365E-4</c:v>
                </c:pt>
                <c:pt idx="2843">
                  <c:v>-3.1705582716700796E-4</c:v>
                </c:pt>
                <c:pt idx="2844">
                  <c:v>-3.5206703896043103E-4</c:v>
                </c:pt>
                <c:pt idx="2845">
                  <c:v>-3.8886847503028681E-4</c:v>
                </c:pt>
                <c:pt idx="2846">
                  <c:v>-4.1548044129841488E-4</c:v>
                </c:pt>
                <c:pt idx="2847">
                  <c:v>-4.4088081730260265E-4</c:v>
                </c:pt>
                <c:pt idx="2848">
                  <c:v>-4.7668921429877407E-4</c:v>
                </c:pt>
                <c:pt idx="2849">
                  <c:v>-5.1212836123784339E-4</c:v>
                </c:pt>
                <c:pt idx="2850">
                  <c:v>-5.3973794609434944E-4</c:v>
                </c:pt>
                <c:pt idx="2851">
                  <c:v>-5.7299617212415107E-4</c:v>
                </c:pt>
                <c:pt idx="2852">
                  <c:v>-6.0844911177279572E-4</c:v>
                </c:pt>
                <c:pt idx="2853">
                  <c:v>-6.3534828092004926E-4</c:v>
                </c:pt>
                <c:pt idx="2854">
                  <c:v>-6.616171397595482E-4</c:v>
                </c:pt>
                <c:pt idx="2855">
                  <c:v>-6.9766628628415187E-4</c:v>
                </c:pt>
                <c:pt idx="2856">
                  <c:v>-7.3335894301903074E-4</c:v>
                </c:pt>
                <c:pt idx="2857">
                  <c:v>-7.6115816574893037E-4</c:v>
                </c:pt>
                <c:pt idx="2858">
                  <c:v>-7.9486120054917395E-4</c:v>
                </c:pt>
                <c:pt idx="2859">
                  <c:v>-8.3076973791287693E-4</c:v>
                </c:pt>
                <c:pt idx="2860">
                  <c:v>-8.5796852715491929E-4</c:v>
                </c:pt>
                <c:pt idx="2861">
                  <c:v>-8.8449092369290324E-4</c:v>
                </c:pt>
                <c:pt idx="2862">
                  <c:v>-9.2093888523017134E-4</c:v>
                </c:pt>
                <c:pt idx="2863">
                  <c:v>-9.591520051759171E-4</c:v>
                </c:pt>
                <c:pt idx="2864">
                  <c:v>-9.9008193691344014E-4</c:v>
                </c:pt>
                <c:pt idx="2865">
                  <c:v>-1.0216541464310607E-3</c:v>
                </c:pt>
                <c:pt idx="2866">
                  <c:v>-1.0546581223912545E-3</c:v>
                </c:pt>
                <c:pt idx="2867">
                  <c:v>-1.0829929563154087E-3</c:v>
                </c:pt>
                <c:pt idx="2868">
                  <c:v>-1.1104195444137106E-3</c:v>
                </c:pt>
                <c:pt idx="2869">
                  <c:v>-1.1468379180173745E-3</c:v>
                </c:pt>
                <c:pt idx="2870">
                  <c:v>-1.1851156616479556E-3</c:v>
                </c:pt>
                <c:pt idx="2871">
                  <c:v>-1.2127400667323576E-3</c:v>
                </c:pt>
                <c:pt idx="2872">
                  <c:v>-1.2390882644348353E-3</c:v>
                </c:pt>
                <c:pt idx="2873">
                  <c:v>-1.2762910482011774E-3</c:v>
                </c:pt>
                <c:pt idx="2874">
                  <c:v>-1.3130983539283781E-3</c:v>
                </c:pt>
                <c:pt idx="2875">
                  <c:v>-1.3417217990559758E-3</c:v>
                </c:pt>
                <c:pt idx="2876">
                  <c:v>-1.3762254315380501E-3</c:v>
                </c:pt>
                <c:pt idx="2877">
                  <c:v>-1.4130079799813346E-3</c:v>
                </c:pt>
                <c:pt idx="2878">
                  <c:v>-1.4408577743432018E-3</c:v>
                </c:pt>
                <c:pt idx="2879">
                  <c:v>-1.4680391909729521E-3</c:v>
                </c:pt>
                <c:pt idx="2880">
                  <c:v>-1.5054052106438969E-3</c:v>
                </c:pt>
                <c:pt idx="2881">
                  <c:v>-1.5423895531941215E-3</c:v>
                </c:pt>
                <c:pt idx="2882">
                  <c:v>-1.5711340780683941E-3</c:v>
                </c:pt>
                <c:pt idx="2883">
                  <c:v>-1.6060164807467396E-3</c:v>
                </c:pt>
                <c:pt idx="2884">
                  <c:v>-1.6431852612051275E-3</c:v>
                </c:pt>
                <c:pt idx="2885">
                  <c:v>-1.6712706576546554E-3</c:v>
                </c:pt>
                <c:pt idx="2886">
                  <c:v>-1.6986405943641369E-3</c:v>
                </c:pt>
                <c:pt idx="2887">
                  <c:v>-1.7363321010019949E-3</c:v>
                </c:pt>
                <c:pt idx="2888">
                  <c:v>-1.7758494487241951E-3</c:v>
                </c:pt>
                <c:pt idx="2889">
                  <c:v>-1.8077720370871199E-3</c:v>
                </c:pt>
                <c:pt idx="2890">
                  <c:v>-1.8365328430384813E-3</c:v>
                </c:pt>
                <c:pt idx="2891">
                  <c:v>-1.865547620021714E-3</c:v>
                </c:pt>
                <c:pt idx="2892">
                  <c:v>-1.8960682498214549E-3</c:v>
                </c:pt>
                <c:pt idx="2893">
                  <c:v>-1.927470043935844E-3</c:v>
                </c:pt>
                <c:pt idx="2894">
                  <c:v>-1.9676841870031781E-3</c:v>
                </c:pt>
                <c:pt idx="2895">
                  <c:v>-2.0093909318404726E-3</c:v>
                </c:pt>
                <c:pt idx="2896">
                  <c:v>-2.0372917541440151E-3</c:v>
                </c:pt>
                <c:pt idx="2897">
                  <c:v>-2.0638831224437828E-3</c:v>
                </c:pt>
                <c:pt idx="2898">
                  <c:v>-2.1024772810049508E-3</c:v>
                </c:pt>
                <c:pt idx="2899">
                  <c:v>-2.1406307687732158E-3</c:v>
                </c:pt>
                <c:pt idx="2900">
                  <c:v>-2.1701504151102752E-3</c:v>
                </c:pt>
                <c:pt idx="2901">
                  <c:v>-2.2055358356407795E-3</c:v>
                </c:pt>
                <c:pt idx="2902">
                  <c:v>-2.2432927866647928E-3</c:v>
                </c:pt>
                <c:pt idx="2903">
                  <c:v>-2.2718363381335101E-3</c:v>
                </c:pt>
                <c:pt idx="2904">
                  <c:v>-2.2997165033779615E-3</c:v>
                </c:pt>
                <c:pt idx="2905">
                  <c:v>-2.3381098346203287E-3</c:v>
                </c:pt>
                <c:pt idx="2906">
                  <c:v>-2.3760969924404942E-3</c:v>
                </c:pt>
                <c:pt idx="2907">
                  <c:v>-2.4055255622385937E-3</c:v>
                </c:pt>
                <c:pt idx="2908">
                  <c:v>-2.4413099110374616E-3</c:v>
                </c:pt>
                <c:pt idx="2909">
                  <c:v>-2.4794509701010106E-3</c:v>
                </c:pt>
                <c:pt idx="2910">
                  <c:v>-2.5081652931564324E-3</c:v>
                </c:pt>
                <c:pt idx="2911">
                  <c:v>-2.5361241718912671E-3</c:v>
                </c:pt>
                <c:pt idx="2912">
                  <c:v>-2.574760721331153E-3</c:v>
                </c:pt>
                <c:pt idx="2913">
                  <c:v>-2.615274348255496E-3</c:v>
                </c:pt>
                <c:pt idx="2914">
                  <c:v>-2.6479092957479712E-3</c:v>
                </c:pt>
                <c:pt idx="2915">
                  <c:v>-2.6812086504181066E-3</c:v>
                </c:pt>
                <c:pt idx="2916">
                  <c:v>-2.7160252919200194E-3</c:v>
                </c:pt>
                <c:pt idx="2917">
                  <c:v>-2.7457924060473823E-3</c:v>
                </c:pt>
                <c:pt idx="2918">
                  <c:v>-2.7745578686597266E-3</c:v>
                </c:pt>
                <c:pt idx="2919">
                  <c:v>-2.8129623548777505E-3</c:v>
                </c:pt>
                <c:pt idx="2920">
                  <c:v>-2.8533387473663558E-3</c:v>
                </c:pt>
                <c:pt idx="2921">
                  <c:v>-2.8822428888494313E-3</c:v>
                </c:pt>
                <c:pt idx="2922">
                  <c:v>-2.909750135499664E-3</c:v>
                </c:pt>
                <c:pt idx="2923">
                  <c:v>-2.9488810460318207E-3</c:v>
                </c:pt>
                <c:pt idx="2924">
                  <c:v>-2.9875642654880112E-3</c:v>
                </c:pt>
                <c:pt idx="2925">
                  <c:v>-3.0174397680330866E-3</c:v>
                </c:pt>
                <c:pt idx="2926">
                  <c:v>-3.0476996018486851E-3</c:v>
                </c:pt>
                <c:pt idx="2927">
                  <c:v>-3.0793973590111656E-3</c:v>
                </c:pt>
                <c:pt idx="2928">
                  <c:v>-3.1115584924981616E-3</c:v>
                </c:pt>
                <c:pt idx="2929">
                  <c:v>-3.144445603835388E-3</c:v>
                </c:pt>
                <c:pt idx="2930">
                  <c:v>-3.1865402089601732E-3</c:v>
                </c:pt>
                <c:pt idx="2931">
                  <c:v>-3.2282786525755468E-3</c:v>
                </c:pt>
                <c:pt idx="2932">
                  <c:v>-3.2582683442560381E-3</c:v>
                </c:pt>
                <c:pt idx="2933">
                  <c:v>-3.2938248400328158E-3</c:v>
                </c:pt>
                <c:pt idx="2934">
                  <c:v>-3.3319357760651109E-3</c:v>
                </c:pt>
                <c:pt idx="2935">
                  <c:v>-3.3609876815868861E-3</c:v>
                </c:pt>
                <c:pt idx="2936">
                  <c:v>-3.3894389894809866E-3</c:v>
                </c:pt>
                <c:pt idx="2937">
                  <c:v>-3.4286013591449966E-3</c:v>
                </c:pt>
                <c:pt idx="2938">
                  <c:v>-3.4696950497440219E-3</c:v>
                </c:pt>
                <c:pt idx="2939">
                  <c:v>-3.502697766749737E-3</c:v>
                </c:pt>
                <c:pt idx="2940">
                  <c:v>-3.5364080237245462E-3</c:v>
                </c:pt>
                <c:pt idx="2941">
                  <c:v>-3.5716271274369286E-3</c:v>
                </c:pt>
                <c:pt idx="2942">
                  <c:v>-3.601658202174621E-3</c:v>
                </c:pt>
                <c:pt idx="2943">
                  <c:v>-3.6306413049993409E-3</c:v>
                </c:pt>
                <c:pt idx="2944">
                  <c:v>-3.6621241630936021E-3</c:v>
                </c:pt>
                <c:pt idx="2945">
                  <c:v>-3.6943910095094535E-3</c:v>
                </c:pt>
                <c:pt idx="2946">
                  <c:v>-3.7274806962608528E-3</c:v>
                </c:pt>
                <c:pt idx="2947">
                  <c:v>-3.7609638289968325E-3</c:v>
                </c:pt>
                <c:pt idx="2948">
                  <c:v>-3.8042839861603694E-3</c:v>
                </c:pt>
                <c:pt idx="2949">
                  <c:v>-3.8472262824642768E-3</c:v>
                </c:pt>
                <c:pt idx="2950">
                  <c:v>-3.8774583388138601E-3</c:v>
                </c:pt>
                <c:pt idx="2951">
                  <c:v>-3.912902634834528E-3</c:v>
                </c:pt>
                <c:pt idx="2952">
                  <c:v>-3.9509854487073176E-3</c:v>
                </c:pt>
                <c:pt idx="2953">
                  <c:v>-3.9800489244802605E-3</c:v>
                </c:pt>
                <c:pt idx="2954">
                  <c:v>-4.0085757254295128E-3</c:v>
                </c:pt>
                <c:pt idx="2955">
                  <c:v>-4.0478921424237342E-3</c:v>
                </c:pt>
                <c:pt idx="2956">
                  <c:v>-4.0867611687193037E-3</c:v>
                </c:pt>
                <c:pt idx="2957">
                  <c:v>-4.1165718506112788E-3</c:v>
                </c:pt>
                <c:pt idx="2958">
                  <c:v>-4.153134367318588E-3</c:v>
                </c:pt>
                <c:pt idx="2959">
                  <c:v>-4.1921499282416095E-3</c:v>
                </c:pt>
                <c:pt idx="2960">
                  <c:v>-4.221170282711708E-3</c:v>
                </c:pt>
                <c:pt idx="2961">
                  <c:v>-4.2493504455732222E-3</c:v>
                </c:pt>
                <c:pt idx="2962">
                  <c:v>-4.2887636511883551E-3</c:v>
                </c:pt>
                <c:pt idx="2963">
                  <c:v>-4.3301226007486518E-3</c:v>
                </c:pt>
                <c:pt idx="2964">
                  <c:v>-4.3631467626855554E-3</c:v>
                </c:pt>
                <c:pt idx="2965">
                  <c:v>-4.3968356830601405E-3</c:v>
                </c:pt>
                <c:pt idx="2966">
                  <c:v>-4.4320932596216452E-3</c:v>
                </c:pt>
                <c:pt idx="2967">
                  <c:v>-4.4620108854958145E-3</c:v>
                </c:pt>
                <c:pt idx="2968">
                  <c:v>-4.490845943603273E-3</c:v>
                </c:pt>
                <c:pt idx="2969">
                  <c:v>-4.5297703278630664E-3</c:v>
                </c:pt>
                <c:pt idx="2970">
                  <c:v>-4.5707332101195403E-3</c:v>
                </c:pt>
                <c:pt idx="2971">
                  <c:v>-4.5996249852720559E-3</c:v>
                </c:pt>
                <c:pt idx="2972">
                  <c:v>-4.627019674341047E-3</c:v>
                </c:pt>
                <c:pt idx="2973">
                  <c:v>-4.6665655791955779E-3</c:v>
                </c:pt>
                <c:pt idx="2974">
                  <c:v>-4.7056143850986339E-3</c:v>
                </c:pt>
                <c:pt idx="2975">
                  <c:v>-4.7354026815349011E-3</c:v>
                </c:pt>
                <c:pt idx="2976">
                  <c:v>-4.7717119461445469E-3</c:v>
                </c:pt>
                <c:pt idx="2977">
                  <c:v>-4.8105177275351773E-3</c:v>
                </c:pt>
                <c:pt idx="2978">
                  <c:v>-4.8392642319412225E-3</c:v>
                </c:pt>
                <c:pt idx="2979">
                  <c:v>-4.8672050618052357E-3</c:v>
                </c:pt>
                <c:pt idx="2980">
                  <c:v>-4.9064603266830995E-3</c:v>
                </c:pt>
                <c:pt idx="2981">
                  <c:v>-4.9452360917340375E-3</c:v>
                </c:pt>
                <c:pt idx="2982">
                  <c:v>-4.9747496287672966E-3</c:v>
                </c:pt>
                <c:pt idx="2983">
                  <c:v>-5.0110263246553243E-3</c:v>
                </c:pt>
                <c:pt idx="2984">
                  <c:v>-5.0497886958567615E-3</c:v>
                </c:pt>
                <c:pt idx="2985">
                  <c:v>-5.078390531911085E-3</c:v>
                </c:pt>
                <c:pt idx="2986">
                  <c:v>-5.1061378304925438E-3</c:v>
                </c:pt>
                <c:pt idx="2987">
                  <c:v>-5.145272028755434E-3</c:v>
                </c:pt>
                <c:pt idx="2988">
                  <c:v>-5.1863666549544973E-3</c:v>
                </c:pt>
                <c:pt idx="2989">
                  <c:v>-5.2189727925378874E-3</c:v>
                </c:pt>
                <c:pt idx="2990">
                  <c:v>-5.2522378287500207E-3</c:v>
                </c:pt>
                <c:pt idx="2991">
                  <c:v>-5.2870772693421912E-3</c:v>
                </c:pt>
                <c:pt idx="2992">
                  <c:v>-5.3164798754248149E-3</c:v>
                </c:pt>
                <c:pt idx="2993">
                  <c:v>-5.3447670889597513E-3</c:v>
                </c:pt>
                <c:pt idx="2994">
                  <c:v>-5.3832705189620512E-3</c:v>
                </c:pt>
                <c:pt idx="2995">
                  <c:v>-5.4238236495369367E-3</c:v>
                </c:pt>
                <c:pt idx="2996">
                  <c:v>-5.4521181098669512E-3</c:v>
                </c:pt>
                <c:pt idx="2997">
                  <c:v>-5.4788771031826135E-3</c:v>
                </c:pt>
                <c:pt idx="2998">
                  <c:v>-5.5179317705368498E-3</c:v>
                </c:pt>
                <c:pt idx="2999">
                  <c:v>-5.5564671652234719E-3</c:v>
                </c:pt>
                <c:pt idx="3000">
                  <c:v>-5.5856022521342382E-3</c:v>
                </c:pt>
                <c:pt idx="3001">
                  <c:v>-5.6213171745032884E-3</c:v>
                </c:pt>
                <c:pt idx="3002">
                  <c:v>-5.6595415840202E-3</c:v>
                </c:pt>
                <c:pt idx="3003">
                  <c:v>-5.6875693524463091E-3</c:v>
                </c:pt>
                <c:pt idx="3004">
                  <c:v>-5.7147648752948043E-3</c:v>
                </c:pt>
                <c:pt idx="3005">
                  <c:v>-5.7533829835698484E-3</c:v>
                </c:pt>
                <c:pt idx="3006">
                  <c:v>-5.7915005853414088E-3</c:v>
                </c:pt>
                <c:pt idx="3007">
                  <c:v>-5.820234902328799E-3</c:v>
                </c:pt>
                <c:pt idx="3008">
                  <c:v>-5.8557799936358786E-3</c:v>
                </c:pt>
                <c:pt idx="3009">
                  <c:v>-5.8938182368463822E-3</c:v>
                </c:pt>
                <c:pt idx="3010">
                  <c:v>-5.9215782595857108E-3</c:v>
                </c:pt>
                <c:pt idx="3011">
                  <c:v>-5.9484577236874562E-3</c:v>
                </c:pt>
                <c:pt idx="3012">
                  <c:v>-5.9868086410713147E-3</c:v>
                </c:pt>
                <c:pt idx="3013">
                  <c:v>-6.0271187422099122E-3</c:v>
                </c:pt>
                <c:pt idx="3014">
                  <c:v>-6.0588441323952413E-3</c:v>
                </c:pt>
                <c:pt idx="3015">
                  <c:v>-6.0869676602813014E-3</c:v>
                </c:pt>
                <c:pt idx="3016">
                  <c:v>-6.1153002225040028E-3</c:v>
                </c:pt>
                <c:pt idx="3017">
                  <c:v>-6.1452281629554998E-3</c:v>
                </c:pt>
                <c:pt idx="3018">
                  <c:v>-6.1760558024461735E-3</c:v>
                </c:pt>
                <c:pt idx="3019">
                  <c:v>-6.2165629507531569E-3</c:v>
                </c:pt>
                <c:pt idx="3020">
                  <c:v>-6.2586389177445162E-3</c:v>
                </c:pt>
                <c:pt idx="3021">
                  <c:v>-6.2853357396322014E-3</c:v>
                </c:pt>
                <c:pt idx="3022">
                  <c:v>-6.3104999078711418E-3</c:v>
                </c:pt>
                <c:pt idx="3023">
                  <c:v>-6.3488314632636402E-3</c:v>
                </c:pt>
                <c:pt idx="3024">
                  <c:v>-6.386602832373166E-3</c:v>
                </c:pt>
                <c:pt idx="3025">
                  <c:v>-6.4147682111156635E-3</c:v>
                </c:pt>
                <c:pt idx="3026">
                  <c:v>-6.4492732650536623E-3</c:v>
                </c:pt>
                <c:pt idx="3027">
                  <c:v>-6.4863006074423885E-3</c:v>
                </c:pt>
                <c:pt idx="3028">
                  <c:v>-6.5131456184911625E-3</c:v>
                </c:pt>
                <c:pt idx="3029">
                  <c:v>-6.5391834711709413E-3</c:v>
                </c:pt>
                <c:pt idx="3030">
                  <c:v>-6.5766214499580877E-3</c:v>
                </c:pt>
                <c:pt idx="3031">
                  <c:v>-6.6135410539244479E-3</c:v>
                </c:pt>
                <c:pt idx="3032">
                  <c:v>-6.6410265322856422E-3</c:v>
                </c:pt>
                <c:pt idx="3033">
                  <c:v>-6.6753255507312568E-3</c:v>
                </c:pt>
                <c:pt idx="3034">
                  <c:v>-6.7121037724354807E-3</c:v>
                </c:pt>
                <c:pt idx="3035">
                  <c:v>-6.7385625613175845E-3</c:v>
                </c:pt>
                <c:pt idx="3036">
                  <c:v>-6.7641185948679955E-3</c:v>
                </c:pt>
                <c:pt idx="3037">
                  <c:v>-6.8011405961313671E-3</c:v>
                </c:pt>
                <c:pt idx="3038">
                  <c:v>-6.8401030789993714E-3</c:v>
                </c:pt>
                <c:pt idx="3039">
                  <c:v>-6.8704501484689266E-3</c:v>
                </c:pt>
                <c:pt idx="3040">
                  <c:v>-6.9014204931944472E-3</c:v>
                </c:pt>
                <c:pt idx="3041">
                  <c:v>-6.9339416044526588E-3</c:v>
                </c:pt>
                <c:pt idx="3042">
                  <c:v>-6.9609479523028489E-3</c:v>
                </c:pt>
                <c:pt idx="3043">
                  <c:v>-6.9867938330326756E-3</c:v>
                </c:pt>
                <c:pt idx="3044">
                  <c:v>-7.0228734998084739E-3</c:v>
                </c:pt>
                <c:pt idx="3045">
                  <c:v>-7.0609743395703374E-3</c:v>
                </c:pt>
                <c:pt idx="3046">
                  <c:v>-7.0867163506652536E-3</c:v>
                </c:pt>
                <c:pt idx="3047">
                  <c:v>-7.1108763182895903E-3</c:v>
                </c:pt>
                <c:pt idx="3048">
                  <c:v>-7.1473333715601954E-3</c:v>
                </c:pt>
                <c:pt idx="3049">
                  <c:v>-7.1832350544239589E-3</c:v>
                </c:pt>
                <c:pt idx="3050">
                  <c:v>-7.2096691877884698E-3</c:v>
                </c:pt>
                <c:pt idx="3051">
                  <c:v>-7.2364184738461963E-3</c:v>
                </c:pt>
                <c:pt idx="3052">
                  <c:v>-7.2646083915673832E-3</c:v>
                </c:pt>
                <c:pt idx="3053">
                  <c:v>-7.2931977628057018E-3</c:v>
                </c:pt>
                <c:pt idx="3054">
                  <c:v>-7.3224663335460871E-3</c:v>
                </c:pt>
                <c:pt idx="3055">
                  <c:v>-7.3613360820606443E-3</c:v>
                </c:pt>
                <c:pt idx="3056">
                  <c:v>-7.3997499850080393E-3</c:v>
                </c:pt>
                <c:pt idx="3057">
                  <c:v>-7.4256870144978364E-3</c:v>
                </c:pt>
                <c:pt idx="3058">
                  <c:v>-7.4573523276862284E-3</c:v>
                </c:pt>
                <c:pt idx="3059">
                  <c:v>-7.4916089651003524E-3</c:v>
                </c:pt>
                <c:pt idx="3060">
                  <c:v>-7.5162955358995193E-3</c:v>
                </c:pt>
                <c:pt idx="3061">
                  <c:v>-7.5402668849610197E-3</c:v>
                </c:pt>
                <c:pt idx="3062">
                  <c:v>-7.5753149085027744E-3</c:v>
                </c:pt>
                <c:pt idx="3063">
                  <c:v>-7.6122814369048806E-3</c:v>
                </c:pt>
                <c:pt idx="3064">
                  <c:v>-7.64071286248041E-3</c:v>
                </c:pt>
                <c:pt idx="3065">
                  <c:v>-7.6697811918826856E-3</c:v>
                </c:pt>
                <c:pt idx="3066">
                  <c:v>-7.7003258945022579E-3</c:v>
                </c:pt>
                <c:pt idx="3067">
                  <c:v>-7.7254050085113508E-3</c:v>
                </c:pt>
                <c:pt idx="3068">
                  <c:v>-7.7493099759458218E-3</c:v>
                </c:pt>
                <c:pt idx="3069">
                  <c:v>-7.7757108791029726E-3</c:v>
                </c:pt>
                <c:pt idx="3070">
                  <c:v>-7.8028282645961579E-3</c:v>
                </c:pt>
                <c:pt idx="3071">
                  <c:v>-7.8307002884808654E-3</c:v>
                </c:pt>
                <c:pt idx="3072">
                  <c:v>-7.8588820155992244E-3</c:v>
                </c:pt>
                <c:pt idx="3073">
                  <c:v>-7.8970452139095239E-3</c:v>
                </c:pt>
                <c:pt idx="3074">
                  <c:v>-7.9347364464327236E-3</c:v>
                </c:pt>
                <c:pt idx="3075">
                  <c:v>-7.9592921235355617E-3</c:v>
                </c:pt>
                <c:pt idx="3076">
                  <c:v>-7.9890436032973265E-3</c:v>
                </c:pt>
                <c:pt idx="3077">
                  <c:v>-8.0213959192185508E-3</c:v>
                </c:pt>
                <c:pt idx="3078">
                  <c:v>-8.0444795843124597E-3</c:v>
                </c:pt>
                <c:pt idx="3079">
                  <c:v>-8.0669281379921205E-3</c:v>
                </c:pt>
                <c:pt idx="3080">
                  <c:v>-8.1002169647014961E-3</c:v>
                </c:pt>
                <c:pt idx="3081">
                  <c:v>-8.1329687768169484E-3</c:v>
                </c:pt>
                <c:pt idx="3082">
                  <c:v>-8.156441918980642E-3</c:v>
                </c:pt>
                <c:pt idx="3083">
                  <c:v>-8.1866145007273555E-3</c:v>
                </c:pt>
                <c:pt idx="3084">
                  <c:v>-8.2191665704912115E-3</c:v>
                </c:pt>
                <c:pt idx="3085">
                  <c:v>-8.2415619131626181E-3</c:v>
                </c:pt>
                <c:pt idx="3086">
                  <c:v>-8.2630186670291598E-3</c:v>
                </c:pt>
                <c:pt idx="3087">
                  <c:v>-8.2956396790092608E-3</c:v>
                </c:pt>
                <c:pt idx="3088">
                  <c:v>-8.3301099516135662E-3</c:v>
                </c:pt>
                <c:pt idx="3089">
                  <c:v>-8.356122861530077E-3</c:v>
                </c:pt>
                <c:pt idx="3090">
                  <c:v>-8.3826955030611716E-3</c:v>
                </c:pt>
                <c:pt idx="3091">
                  <c:v>-8.4107387433528247E-3</c:v>
                </c:pt>
                <c:pt idx="3092">
                  <c:v>-8.4333714083014068E-3</c:v>
                </c:pt>
                <c:pt idx="3093">
                  <c:v>-8.4548335935722401E-3</c:v>
                </c:pt>
                <c:pt idx="3094">
                  <c:v>-8.4861914374766926E-3</c:v>
                </c:pt>
                <c:pt idx="3095">
                  <c:v>-8.5194672478579089E-3</c:v>
                </c:pt>
                <c:pt idx="3096">
                  <c:v>-8.5446613864772168E-3</c:v>
                </c:pt>
                <c:pt idx="3097">
                  <c:v>-8.5705676921828157E-3</c:v>
                </c:pt>
                <c:pt idx="3098">
                  <c:v>-8.5977241791816844E-3</c:v>
                </c:pt>
                <c:pt idx="3099">
                  <c:v>-8.6196188331529901E-3</c:v>
                </c:pt>
                <c:pt idx="3100">
                  <c:v>-8.6403173851414689E-3</c:v>
                </c:pt>
                <c:pt idx="3101">
                  <c:v>-8.6708138649765603E-3</c:v>
                </c:pt>
                <c:pt idx="3102">
                  <c:v>-8.7032100572459713E-3</c:v>
                </c:pt>
                <c:pt idx="3103">
                  <c:v>-8.7236564683686336E-3</c:v>
                </c:pt>
                <c:pt idx="3104">
                  <c:v>-8.7425328789957121E-3</c:v>
                </c:pt>
                <c:pt idx="3105">
                  <c:v>-8.7731776907944009E-3</c:v>
                </c:pt>
                <c:pt idx="3106">
                  <c:v>-8.8032445793073451E-3</c:v>
                </c:pt>
                <c:pt idx="3107">
                  <c:v>-8.824163154825395E-3</c:v>
                </c:pt>
                <c:pt idx="3108">
                  <c:v>-8.8512886472083344E-3</c:v>
                </c:pt>
                <c:pt idx="3109">
                  <c:v>-8.8807345403760403E-3</c:v>
                </c:pt>
                <c:pt idx="3110">
                  <c:v>-8.9003315171482227E-3</c:v>
                </c:pt>
                <c:pt idx="3111">
                  <c:v>-8.9190475511958731E-3</c:v>
                </c:pt>
                <c:pt idx="3112">
                  <c:v>-8.9485678163402152E-3</c:v>
                </c:pt>
                <c:pt idx="3113">
                  <c:v>-8.979866612405487E-3</c:v>
                </c:pt>
                <c:pt idx="3114">
                  <c:v>-9.0029061188307662E-3</c:v>
                </c:pt>
                <c:pt idx="3115">
                  <c:v>-9.0264721086056598E-3</c:v>
                </c:pt>
                <c:pt idx="3116">
                  <c:v>-9.051440278532245E-3</c:v>
                </c:pt>
                <c:pt idx="3117">
                  <c:v>-9.0711277885377126E-3</c:v>
                </c:pt>
                <c:pt idx="3118">
                  <c:v>-9.0896547378635541E-3</c:v>
                </c:pt>
                <c:pt idx="3119">
                  <c:v>-9.1177667414585398E-3</c:v>
                </c:pt>
                <c:pt idx="3120">
                  <c:v>-9.1477170345387309E-3</c:v>
                </c:pt>
                <c:pt idx="3121">
                  <c:v>-9.1697944045869978E-3</c:v>
                </c:pt>
                <c:pt idx="3122">
                  <c:v>-9.1925375704403015E-3</c:v>
                </c:pt>
                <c:pt idx="3123">
                  <c:v>-9.2164701036000669E-3</c:v>
                </c:pt>
                <c:pt idx="3124">
                  <c:v>-9.2352791034396361E-3</c:v>
                </c:pt>
                <c:pt idx="3125">
                  <c:v>-9.2529058235528618E-3</c:v>
                </c:pt>
                <c:pt idx="3126">
                  <c:v>-9.2799947536795924E-3</c:v>
                </c:pt>
                <c:pt idx="3127">
                  <c:v>-9.3088983436518859E-3</c:v>
                </c:pt>
                <c:pt idx="3128">
                  <c:v>-9.3262124158530312E-3</c:v>
                </c:pt>
                <c:pt idx="3129">
                  <c:v>-9.3419834607374862E-3</c:v>
                </c:pt>
                <c:pt idx="3130">
                  <c:v>-9.3691078566626972E-3</c:v>
                </c:pt>
                <c:pt idx="3131">
                  <c:v>-9.3956525106277007E-3</c:v>
                </c:pt>
                <c:pt idx="3132">
                  <c:v>-9.4133305853218302E-3</c:v>
                </c:pt>
                <c:pt idx="3133">
                  <c:v>-9.4369706762434339E-3</c:v>
                </c:pt>
                <c:pt idx="3134">
                  <c:v>-9.4628271686445584E-3</c:v>
                </c:pt>
                <c:pt idx="3135">
                  <c:v>-9.4791588150856497E-3</c:v>
                </c:pt>
                <c:pt idx="3136">
                  <c:v>-9.4946174352897265E-3</c:v>
                </c:pt>
                <c:pt idx="3137">
                  <c:v>-9.5204628153917979E-3</c:v>
                </c:pt>
                <c:pt idx="3138">
                  <c:v>-9.5479966954498396E-3</c:v>
                </c:pt>
                <c:pt idx="3139">
                  <c:v>-9.5675462126914787E-3</c:v>
                </c:pt>
                <c:pt idx="3140">
                  <c:v>-9.5875764132097984E-3</c:v>
                </c:pt>
                <c:pt idx="3141">
                  <c:v>-9.608932578607416E-3</c:v>
                </c:pt>
                <c:pt idx="3142">
                  <c:v>-9.6251862600403876E-3</c:v>
                </c:pt>
                <c:pt idx="3143">
                  <c:v>-9.6403003644907181E-3</c:v>
                </c:pt>
                <c:pt idx="3144">
                  <c:v>-9.6645964783016458E-3</c:v>
                </c:pt>
                <c:pt idx="3145">
                  <c:v>-9.6906332312408604E-3</c:v>
                </c:pt>
                <c:pt idx="3146">
                  <c:v>-9.7090813685939137E-3</c:v>
                </c:pt>
                <c:pt idx="3147">
                  <c:v>-9.7281423944006913E-3</c:v>
                </c:pt>
                <c:pt idx="3148">
                  <c:v>-9.7483203031493298E-3</c:v>
                </c:pt>
                <c:pt idx="3149">
                  <c:v>-9.7635621120499491E-3</c:v>
                </c:pt>
                <c:pt idx="3150">
                  <c:v>-9.7776471732494239E-3</c:v>
                </c:pt>
                <c:pt idx="3151">
                  <c:v>-9.8007669886068603E-3</c:v>
                </c:pt>
                <c:pt idx="3152">
                  <c:v>-9.8255987776263987E-3</c:v>
                </c:pt>
                <c:pt idx="3153">
                  <c:v>-9.8393135300621389E-3</c:v>
                </c:pt>
                <c:pt idx="3154">
                  <c:v>-9.8515268384891889E-3</c:v>
                </c:pt>
                <c:pt idx="3155">
                  <c:v>-9.8745683277274409E-3</c:v>
                </c:pt>
                <c:pt idx="3156">
                  <c:v>-9.8970337911436865E-3</c:v>
                </c:pt>
                <c:pt idx="3157">
                  <c:v>-9.9110006910115202E-3</c:v>
                </c:pt>
                <c:pt idx="3158">
                  <c:v>-9.9306271063490832E-3</c:v>
                </c:pt>
                <c:pt idx="3159">
                  <c:v>-9.9523438584785458E-3</c:v>
                </c:pt>
                <c:pt idx="3160">
                  <c:v>-9.9649520737368508E-3</c:v>
                </c:pt>
                <c:pt idx="3161">
                  <c:v>-9.9767041314577695E-3</c:v>
                </c:pt>
                <c:pt idx="3162">
                  <c:v>-9.9983250814507426E-3</c:v>
                </c:pt>
                <c:pt idx="3163">
                  <c:v>-1.0021528275164015E-2</c:v>
                </c:pt>
                <c:pt idx="3164">
                  <c:v>-1.0037099449666171E-2</c:v>
                </c:pt>
                <c:pt idx="3165">
                  <c:v>-1.0053101042757783E-2</c:v>
                </c:pt>
                <c:pt idx="3166">
                  <c:v>-1.0070339577585232E-2</c:v>
                </c:pt>
                <c:pt idx="3167">
                  <c:v>-1.0082703008746384E-2</c:v>
                </c:pt>
                <c:pt idx="3168">
                  <c:v>-1.0093959334803884E-2</c:v>
                </c:pt>
                <c:pt idx="3169">
                  <c:v>-1.0113906296486338E-2</c:v>
                </c:pt>
                <c:pt idx="3170">
                  <c:v>-1.0135479468514329E-2</c:v>
                </c:pt>
                <c:pt idx="3171">
                  <c:v>-1.0149821982159534E-2</c:v>
                </c:pt>
                <c:pt idx="3172">
                  <c:v>-1.0164718618744861E-2</c:v>
                </c:pt>
                <c:pt idx="3173">
                  <c:v>-1.0180649373799602E-2</c:v>
                </c:pt>
                <c:pt idx="3174">
                  <c:v>-1.0191879719728684E-2</c:v>
                </c:pt>
                <c:pt idx="3175">
                  <c:v>-1.0201989949150215E-2</c:v>
                </c:pt>
                <c:pt idx="3176">
                  <c:v>-1.0220620750053977E-2</c:v>
                </c:pt>
                <c:pt idx="3177">
                  <c:v>-1.0240844805212561E-2</c:v>
                </c:pt>
                <c:pt idx="3178">
                  <c:v>-1.0250531823447026E-2</c:v>
                </c:pt>
                <c:pt idx="3179">
                  <c:v>-1.0258774076965689E-2</c:v>
                </c:pt>
                <c:pt idx="3180">
                  <c:v>-1.0277215742264178E-2</c:v>
                </c:pt>
                <c:pt idx="3181">
                  <c:v>-1.0295090818167133E-2</c:v>
                </c:pt>
                <c:pt idx="3182">
                  <c:v>-1.0304917143930828E-2</c:v>
                </c:pt>
                <c:pt idx="3183">
                  <c:v>-1.0320046961533871E-2</c:v>
                </c:pt>
                <c:pt idx="3184">
                  <c:v>-1.0337121946948307E-2</c:v>
                </c:pt>
                <c:pt idx="3185">
                  <c:v>-1.0345592375205145E-2</c:v>
                </c:pt>
                <c:pt idx="3186">
                  <c:v>-1.0353232043356088E-2</c:v>
                </c:pt>
                <c:pt idx="3187">
                  <c:v>-1.0370129287785424E-2</c:v>
                </c:pt>
                <c:pt idx="3188">
                  <c:v>-1.0388488050734428E-2</c:v>
                </c:pt>
                <c:pt idx="3189">
                  <c:v>-1.0399640339735521E-2</c:v>
                </c:pt>
                <c:pt idx="3190">
                  <c:v>-1.0411169347179434E-2</c:v>
                </c:pt>
                <c:pt idx="3191">
                  <c:v>-1.0423835282379437E-2</c:v>
                </c:pt>
                <c:pt idx="3192">
                  <c:v>-1.0431900574579291E-2</c:v>
                </c:pt>
                <c:pt idx="3193">
                  <c:v>-1.0438902380324947E-2</c:v>
                </c:pt>
                <c:pt idx="3194">
                  <c:v>-1.0454022129560788E-2</c:v>
                </c:pt>
                <c:pt idx="3195">
                  <c:v>-1.0470639087986336E-2</c:v>
                </c:pt>
                <c:pt idx="3196">
                  <c:v>-1.0480452318634129E-2</c:v>
                </c:pt>
                <c:pt idx="3197">
                  <c:v>-1.0490756883626313E-2</c:v>
                </c:pt>
                <c:pt idx="3198">
                  <c:v>-1.0502003687905112E-2</c:v>
                </c:pt>
                <c:pt idx="3199">
                  <c:v>-1.0508830332951635E-2</c:v>
                </c:pt>
                <c:pt idx="3200">
                  <c:v>-1.0515807878757541E-2</c:v>
                </c:pt>
                <c:pt idx="3201">
                  <c:v>-1.0525998024818054E-2</c:v>
                </c:pt>
                <c:pt idx="3202">
                  <c:v>-1.0532362897192433E-2</c:v>
                </c:pt>
                <c:pt idx="3203">
                  <c:v>-1.0542793146066877E-2</c:v>
                </c:pt>
                <c:pt idx="3204">
                  <c:v>-1.0559943696760726E-2</c:v>
                </c:pt>
                <c:pt idx="3205">
                  <c:v>-1.0570269529413192E-2</c:v>
                </c:pt>
                <c:pt idx="3206">
                  <c:v>-1.0574470357786376E-2</c:v>
                </c:pt>
                <c:pt idx="3207">
                  <c:v>-1.058129778250016E-2</c:v>
                </c:pt>
                <c:pt idx="3208">
                  <c:v>-1.0591006935056872E-2</c:v>
                </c:pt>
                <c:pt idx="3209">
                  <c:v>-1.059590874106971E-2</c:v>
                </c:pt>
                <c:pt idx="3210">
                  <c:v>-1.0604819213102631E-2</c:v>
                </c:pt>
                <c:pt idx="3211">
                  <c:v>-1.062048847621835E-2</c:v>
                </c:pt>
                <c:pt idx="3212">
                  <c:v>-1.0629278313325016E-2</c:v>
                </c:pt>
                <c:pt idx="3213">
                  <c:v>-1.0632209757628899E-2</c:v>
                </c:pt>
                <c:pt idx="3214">
                  <c:v>-1.0637694590050229E-2</c:v>
                </c:pt>
                <c:pt idx="3215">
                  <c:v>-1.0645951455339028E-2</c:v>
                </c:pt>
                <c:pt idx="3216">
                  <c:v>-1.0649535224450614E-2</c:v>
                </c:pt>
                <c:pt idx="3217">
                  <c:v>-1.065703091035575E-2</c:v>
                </c:pt>
                <c:pt idx="3218">
                  <c:v>-1.0671119702465367E-2</c:v>
                </c:pt>
                <c:pt idx="3219">
                  <c:v>-1.0678470833275951E-2</c:v>
                </c:pt>
                <c:pt idx="3220">
                  <c:v>-1.068009083255307E-2</c:v>
                </c:pt>
                <c:pt idx="3221">
                  <c:v>-1.0684195722552175E-2</c:v>
                </c:pt>
                <c:pt idx="3222">
                  <c:v>-1.0690998079756014E-2</c:v>
                </c:pt>
                <c:pt idx="3223">
                  <c:v>-1.0693235310641876E-2</c:v>
                </c:pt>
                <c:pt idx="3224">
                  <c:v>-1.069928246481134E-2</c:v>
                </c:pt>
                <c:pt idx="3225">
                  <c:v>-1.0711754722644982E-2</c:v>
                </c:pt>
                <c:pt idx="3226">
                  <c:v>-1.0717643404261118E-2</c:v>
                </c:pt>
                <c:pt idx="3227">
                  <c:v>-1.071793354032703E-2</c:v>
                </c:pt>
                <c:pt idx="3228">
                  <c:v>-1.0720639395102744E-2</c:v>
                </c:pt>
                <c:pt idx="3229">
                  <c:v>-1.0728588582650387E-2</c:v>
                </c:pt>
                <c:pt idx="3230">
                  <c:v>-1.073441438867689E-2</c:v>
                </c:pt>
                <c:pt idx="3231">
                  <c:v>-1.0734083988990494E-2</c:v>
                </c:pt>
                <c:pt idx="3232">
                  <c:v>-1.0736482871826682E-2</c:v>
                </c:pt>
                <c:pt idx="3233">
                  <c:v>-1.0742016537632799E-2</c:v>
                </c:pt>
                <c:pt idx="3234">
                  <c:v>-1.0741846741040766E-2</c:v>
                </c:pt>
                <c:pt idx="3235">
                  <c:v>-1.0745292079132808E-2</c:v>
                </c:pt>
                <c:pt idx="3236">
                  <c:v>-1.0755057229799145E-2</c:v>
                </c:pt>
                <c:pt idx="3237">
                  <c:v>-1.0758510559884131E-2</c:v>
                </c:pt>
                <c:pt idx="3238">
                  <c:v>-1.0756707801853237E-2</c:v>
                </c:pt>
                <c:pt idx="3239">
                  <c:v>-1.0757222002584303E-2</c:v>
                </c:pt>
                <c:pt idx="3240">
                  <c:v>-1.0760225977210812E-2</c:v>
                </c:pt>
                <c:pt idx="3241">
                  <c:v>-1.0758909939539103E-2</c:v>
                </c:pt>
                <c:pt idx="3242">
                  <c:v>-1.0761133422033043E-2</c:v>
                </c:pt>
                <c:pt idx="3243">
                  <c:v>-1.0769341670601148E-2</c:v>
                </c:pt>
                <c:pt idx="3244">
                  <c:v>-1.0771373456899642E-2</c:v>
                </c:pt>
                <c:pt idx="3245">
                  <c:v>-1.0768169254065322E-2</c:v>
                </c:pt>
                <c:pt idx="3246">
                  <c:v>-1.0767197147808055E-2</c:v>
                </c:pt>
                <c:pt idx="3247">
                  <c:v>-1.076864584696716E-2</c:v>
                </c:pt>
                <c:pt idx="3248">
                  <c:v>-1.0765928784690505E-2</c:v>
                </c:pt>
                <c:pt idx="3249">
                  <c:v>-1.0766640828671317E-2</c:v>
                </c:pt>
                <c:pt idx="3250">
                  <c:v>-1.0773150789596548E-2</c:v>
                </c:pt>
                <c:pt idx="3251">
                  <c:v>-1.0773659430895182E-2</c:v>
                </c:pt>
                <c:pt idx="3252">
                  <c:v>-1.076907137909925E-2</c:v>
                </c:pt>
                <c:pt idx="3253">
                  <c:v>-1.076664260302824E-2</c:v>
                </c:pt>
                <c:pt idx="3254">
                  <c:v>-1.0768925684870369E-2</c:v>
                </c:pt>
                <c:pt idx="3255">
                  <c:v>-1.0769264014175044E-2</c:v>
                </c:pt>
                <c:pt idx="3256">
                  <c:v>-1.076401485606392E-2</c:v>
                </c:pt>
                <c:pt idx="3257">
                  <c:v>-1.0761202209957011E-2</c:v>
                </c:pt>
                <c:pt idx="3258">
                  <c:v>-1.0761189855115197E-2</c:v>
                </c:pt>
                <c:pt idx="3259">
                  <c:v>-1.0756010374567922E-2</c:v>
                </c:pt>
                <c:pt idx="3260">
                  <c:v>-1.07540584277609E-2</c:v>
                </c:pt>
                <c:pt idx="3261">
                  <c:v>-1.0757766930383304E-2</c:v>
                </c:pt>
                <c:pt idx="3262">
                  <c:v>-1.0755763866998013E-2</c:v>
                </c:pt>
                <c:pt idx="3263">
                  <c:v>-1.074901101451327E-2</c:v>
                </c:pt>
                <c:pt idx="3264">
                  <c:v>-1.0744312174568432E-2</c:v>
                </c:pt>
                <c:pt idx="3265">
                  <c:v>-1.0741818942236227E-2</c:v>
                </c:pt>
                <c:pt idx="3266">
                  <c:v>-1.073542925348709E-2</c:v>
                </c:pt>
                <c:pt idx="3267">
                  <c:v>-1.0732183342597557E-2</c:v>
                </c:pt>
                <c:pt idx="3268">
                  <c:v>-1.0734268742048726E-2</c:v>
                </c:pt>
                <c:pt idx="3269">
                  <c:v>-1.073079200719638E-2</c:v>
                </c:pt>
                <c:pt idx="3270">
                  <c:v>-1.0722606518324008E-2</c:v>
                </c:pt>
                <c:pt idx="3271">
                  <c:v>-1.0716388564665029E-2</c:v>
                </c:pt>
                <c:pt idx="3272">
                  <c:v>-1.0712303453573855E-2</c:v>
                </c:pt>
                <c:pt idx="3273">
                  <c:v>-1.0704479593725051E-2</c:v>
                </c:pt>
                <c:pt idx="3274">
                  <c:v>-1.069968475303288E-2</c:v>
                </c:pt>
                <c:pt idx="3275">
                  <c:v>-1.0700027141527655E-2</c:v>
                </c:pt>
                <c:pt idx="3276">
                  <c:v>-1.0694991945244574E-2</c:v>
                </c:pt>
                <c:pt idx="3277">
                  <c:v>-1.0685396287510763E-2</c:v>
                </c:pt>
                <c:pt idx="3278">
                  <c:v>-1.0677693218521099E-2</c:v>
                </c:pt>
                <c:pt idx="3279">
                  <c:v>-1.0674145174549694E-2</c:v>
                </c:pt>
                <c:pt idx="3280">
                  <c:v>-1.0668845329907597E-2</c:v>
                </c:pt>
                <c:pt idx="3281">
                  <c:v>-1.0658562782697261E-2</c:v>
                </c:pt>
                <c:pt idx="3282">
                  <c:v>-1.0650412718588432E-2</c:v>
                </c:pt>
                <c:pt idx="3283">
                  <c:v>-1.0644715414733941E-2</c:v>
                </c:pt>
                <c:pt idx="3284">
                  <c:v>-1.0634419618117546E-2</c:v>
                </c:pt>
                <c:pt idx="3285">
                  <c:v>-1.0626948960327601E-2</c:v>
                </c:pt>
                <c:pt idx="3286">
                  <c:v>-1.0624451397973344E-2</c:v>
                </c:pt>
                <c:pt idx="3287">
                  <c:v>-1.0616877515620939E-2</c:v>
                </c:pt>
                <c:pt idx="3288">
                  <c:v>-1.0605088532895116E-2</c:v>
                </c:pt>
                <c:pt idx="3289">
                  <c:v>-1.0595083013505353E-2</c:v>
                </c:pt>
                <c:pt idx="3290">
                  <c:v>-1.0586991020599061E-2</c:v>
                </c:pt>
                <c:pt idx="3291">
                  <c:v>-1.0575448586478351E-2</c:v>
                </c:pt>
                <c:pt idx="3292">
                  <c:v>-1.056664182650411E-2</c:v>
                </c:pt>
                <c:pt idx="3293">
                  <c:v>-1.0562490133535047E-2</c:v>
                </c:pt>
                <c:pt idx="3294">
                  <c:v>-1.0553421740460495E-2</c:v>
                </c:pt>
                <c:pt idx="3295">
                  <c:v>-1.0540197504949304E-2</c:v>
                </c:pt>
                <c:pt idx="3296">
                  <c:v>-1.0528670688779718E-2</c:v>
                </c:pt>
                <c:pt idx="3297">
                  <c:v>-1.0518982633178658E-2</c:v>
                </c:pt>
                <c:pt idx="3298">
                  <c:v>-1.0506002183791059E-2</c:v>
                </c:pt>
                <c:pt idx="3299">
                  <c:v>-1.0495641231675427E-2</c:v>
                </c:pt>
                <c:pt idx="3300">
                  <c:v>-1.0489738563662464E-2</c:v>
                </c:pt>
                <c:pt idx="3301">
                  <c:v>-1.0479108941751082E-2</c:v>
                </c:pt>
                <c:pt idx="3302">
                  <c:v>-1.0464477157057905E-2</c:v>
                </c:pt>
                <c:pt idx="3303">
                  <c:v>-1.0451467405341518E-2</c:v>
                </c:pt>
                <c:pt idx="3304">
                  <c:v>-1.0442043961987932E-2</c:v>
                </c:pt>
                <c:pt idx="3305">
                  <c:v>-1.0431071684031692E-2</c:v>
                </c:pt>
                <c:pt idx="3306">
                  <c:v>-1.0415743366618661E-2</c:v>
                </c:pt>
                <c:pt idx="3307">
                  <c:v>-1.0402239708480145E-2</c:v>
                </c:pt>
                <c:pt idx="3308">
                  <c:v>-1.0390836637695723E-2</c:v>
                </c:pt>
                <c:pt idx="3309">
                  <c:v>-1.0375422683354427E-2</c:v>
                </c:pt>
                <c:pt idx="3310">
                  <c:v>-1.0362426276245652E-2</c:v>
                </c:pt>
                <c:pt idx="3311">
                  <c:v>-1.035370416179246E-2</c:v>
                </c:pt>
                <c:pt idx="3312">
                  <c:v>-1.0340561174096914E-2</c:v>
                </c:pt>
                <c:pt idx="3313">
                  <c:v>-1.0323753607728376E-2</c:v>
                </c:pt>
                <c:pt idx="3314">
                  <c:v>-1.030845806257121E-2</c:v>
                </c:pt>
                <c:pt idx="3315">
                  <c:v>-1.0294783014037216E-2</c:v>
                </c:pt>
                <c:pt idx="3316">
                  <c:v>-1.0278115485622597E-2</c:v>
                </c:pt>
                <c:pt idx="3317">
                  <c:v>-1.0263773489018304E-2</c:v>
                </c:pt>
                <c:pt idx="3318">
                  <c:v>-1.0253403940874001E-2</c:v>
                </c:pt>
                <c:pt idx="3319">
                  <c:v>-1.0238778798940102E-2</c:v>
                </c:pt>
                <c:pt idx="3320">
                  <c:v>-1.0220563248417896E-2</c:v>
                </c:pt>
                <c:pt idx="3321">
                  <c:v>-1.0203775923833728E-2</c:v>
                </c:pt>
                <c:pt idx="3322">
                  <c:v>-1.0188534526926364E-2</c:v>
                </c:pt>
                <c:pt idx="3323">
                  <c:v>-1.0170455940009357E-2</c:v>
                </c:pt>
                <c:pt idx="3324">
                  <c:v>-1.0154587669890766E-2</c:v>
                </c:pt>
                <c:pt idx="3325">
                  <c:v>-1.0142497136779687E-2</c:v>
                </c:pt>
                <c:pt idx="3326">
                  <c:v>-1.0126341832846652E-2</c:v>
                </c:pt>
                <c:pt idx="3327">
                  <c:v>-1.0106751300223529E-2</c:v>
                </c:pt>
                <c:pt idx="3328">
                  <c:v>-1.0088514995799682E-2</c:v>
                </c:pt>
                <c:pt idx="3329">
                  <c:v>-1.007329825605011E-2</c:v>
                </c:pt>
                <c:pt idx="3330">
                  <c:v>-1.0056741043059678E-2</c:v>
                </c:pt>
                <c:pt idx="3331">
                  <c:v>-1.0036461311505948E-2</c:v>
                </c:pt>
                <c:pt idx="3332">
                  <c:v>-1.0017701972319153E-2</c:v>
                </c:pt>
                <c:pt idx="3333">
                  <c:v>-1.0000695034555357E-2</c:v>
                </c:pt>
                <c:pt idx="3334">
                  <c:v>-9.9802698697556962E-3</c:v>
                </c:pt>
                <c:pt idx="3335">
                  <c:v>-9.961859876972054E-3</c:v>
                </c:pt>
                <c:pt idx="3336">
                  <c:v>-9.947030925288404E-3</c:v>
                </c:pt>
                <c:pt idx="3337">
                  <c:v>-9.9284408016376106E-3</c:v>
                </c:pt>
                <c:pt idx="3338">
                  <c:v>-9.9067392111491532E-3</c:v>
                </c:pt>
                <c:pt idx="3339">
                  <c:v>-9.8862837952887785E-3</c:v>
                </c:pt>
                <c:pt idx="3340">
                  <c:v>-9.867162523418703E-3</c:v>
                </c:pt>
                <c:pt idx="3341">
                  <c:v>-9.8455077145620674E-3</c:v>
                </c:pt>
                <c:pt idx="3342">
                  <c:v>-9.8257756158389963E-3</c:v>
                </c:pt>
                <c:pt idx="3343">
                  <c:v>-9.8093439734741935E-3</c:v>
                </c:pt>
                <c:pt idx="3344">
                  <c:v>-9.789317999567752E-3</c:v>
                </c:pt>
                <c:pt idx="3345">
                  <c:v>-9.7662656229017264E-3</c:v>
                </c:pt>
                <c:pt idx="3346">
                  <c:v>-9.7443798604113143E-3</c:v>
                </c:pt>
                <c:pt idx="3347">
                  <c:v>-9.7237555687856338E-3</c:v>
                </c:pt>
                <c:pt idx="3348">
                  <c:v>-9.70074709637124E-3</c:v>
                </c:pt>
                <c:pt idx="3349">
                  <c:v>-9.679550728137816E-3</c:v>
                </c:pt>
                <c:pt idx="3350">
                  <c:v>-9.6614666195409676E-3</c:v>
                </c:pt>
                <c:pt idx="3351">
                  <c:v>-9.6399750695680617E-3</c:v>
                </c:pt>
                <c:pt idx="3352">
                  <c:v>-9.6156101267975778E-3</c:v>
                </c:pt>
                <c:pt idx="3353">
                  <c:v>-9.5923408813785235E-3</c:v>
                </c:pt>
                <c:pt idx="3354">
                  <c:v>-9.571540582089642E-3</c:v>
                </c:pt>
                <c:pt idx="3355">
                  <c:v>-9.549608512332438E-3</c:v>
                </c:pt>
                <c:pt idx="3356">
                  <c:v>-9.5245786863784442E-3</c:v>
                </c:pt>
                <c:pt idx="3357">
                  <c:v>-9.5007765151003641E-3</c:v>
                </c:pt>
                <c:pt idx="3358">
                  <c:v>-9.4783912145328664E-3</c:v>
                </c:pt>
                <c:pt idx="3359">
                  <c:v>-9.453170539348292E-3</c:v>
                </c:pt>
                <c:pt idx="3360">
                  <c:v>-9.4295776305610823E-3</c:v>
                </c:pt>
                <c:pt idx="3361">
                  <c:v>-9.4088953448782688E-3</c:v>
                </c:pt>
                <c:pt idx="3362">
                  <c:v>-9.3850998015862358E-3</c:v>
                </c:pt>
                <c:pt idx="3363">
                  <c:v>-9.3587348664962745E-3</c:v>
                </c:pt>
                <c:pt idx="3364">
                  <c:v>-9.3333625995214702E-3</c:v>
                </c:pt>
                <c:pt idx="3365">
                  <c:v>-9.309051624446044E-3</c:v>
                </c:pt>
                <c:pt idx="3366">
                  <c:v>-9.2826557456230484E-3</c:v>
                </c:pt>
                <c:pt idx="3367">
                  <c:v>-9.2577978599336867E-3</c:v>
                </c:pt>
                <c:pt idx="3368">
                  <c:v>-9.2355954412258467E-3</c:v>
                </c:pt>
                <c:pt idx="3369">
                  <c:v>-9.2104433340175346E-3</c:v>
                </c:pt>
                <c:pt idx="3370">
                  <c:v>-9.182813784774856E-3</c:v>
                </c:pt>
                <c:pt idx="3371">
                  <c:v>-9.1561032965643795E-3</c:v>
                </c:pt>
                <c:pt idx="3372">
                  <c:v>-9.1303855109383918E-3</c:v>
                </c:pt>
                <c:pt idx="3373">
                  <c:v>-9.1027231943646026E-3</c:v>
                </c:pt>
                <c:pt idx="3374">
                  <c:v>-9.0764949898006972E-3</c:v>
                </c:pt>
                <c:pt idx="3375">
                  <c:v>-9.0527453483482609E-3</c:v>
                </c:pt>
                <c:pt idx="3376">
                  <c:v>-9.0262247507880648E-3</c:v>
                </c:pt>
                <c:pt idx="3377">
                  <c:v>-8.9973734953144799E-3</c:v>
                </c:pt>
                <c:pt idx="3378">
                  <c:v>-8.9693754953772287E-3</c:v>
                </c:pt>
                <c:pt idx="3379">
                  <c:v>-8.9433253223257826E-3</c:v>
                </c:pt>
                <c:pt idx="3380">
                  <c:v>-8.9163471261815772E-3</c:v>
                </c:pt>
                <c:pt idx="3381">
                  <c:v>-8.8868720537897024E-3</c:v>
                </c:pt>
                <c:pt idx="3382">
                  <c:v>-8.8583503116448619E-3</c:v>
                </c:pt>
                <c:pt idx="3383">
                  <c:v>-8.8309308948370524E-3</c:v>
                </c:pt>
                <c:pt idx="3384">
                  <c:v>-8.8012350684909414E-3</c:v>
                </c:pt>
                <c:pt idx="3385">
                  <c:v>-8.7728041254865642E-3</c:v>
                </c:pt>
                <c:pt idx="3386">
                  <c:v>-8.7466526614451527E-3</c:v>
                </c:pt>
                <c:pt idx="3387">
                  <c:v>-8.718007979843968E-3</c:v>
                </c:pt>
                <c:pt idx="3388">
                  <c:v>-8.6873117100555869E-3</c:v>
                </c:pt>
                <c:pt idx="3389">
                  <c:v>-8.6573732843201624E-3</c:v>
                </c:pt>
                <c:pt idx="3390">
                  <c:v>-8.6282435385354895E-3</c:v>
                </c:pt>
                <c:pt idx="3391">
                  <c:v>-8.5974561446084084E-3</c:v>
                </c:pt>
                <c:pt idx="3392">
                  <c:v>-8.5678492823144069E-3</c:v>
                </c:pt>
                <c:pt idx="3393">
                  <c:v>-8.5402957431707296E-3</c:v>
                </c:pt>
                <c:pt idx="3394">
                  <c:v>-8.5104048705261347E-3</c:v>
                </c:pt>
                <c:pt idx="3395">
                  <c:v>-8.4785569824223275E-3</c:v>
                </c:pt>
                <c:pt idx="3396">
                  <c:v>-8.4474008029542698E-3</c:v>
                </c:pt>
                <c:pt idx="3397">
                  <c:v>-8.4169906034763948E-3</c:v>
                </c:pt>
                <c:pt idx="3398">
                  <c:v>-8.3850514090377665E-3</c:v>
                </c:pt>
                <c:pt idx="3399">
                  <c:v>-8.3541981324702936E-3</c:v>
                </c:pt>
                <c:pt idx="3400">
                  <c:v>-8.3252366502073374E-3</c:v>
                </c:pt>
                <c:pt idx="3401">
                  <c:v>-8.2941041463389428E-3</c:v>
                </c:pt>
                <c:pt idx="3402">
                  <c:v>-8.2611516447814604E-3</c:v>
                </c:pt>
                <c:pt idx="3403">
                  <c:v>-8.228831675992504E-3</c:v>
                </c:pt>
                <c:pt idx="3404">
                  <c:v>-8.1979805250423227E-3</c:v>
                </c:pt>
                <c:pt idx="3405">
                  <c:v>-8.1663952171280065E-3</c:v>
                </c:pt>
                <c:pt idx="3406">
                  <c:v>-8.1328753514315916E-3</c:v>
                </c:pt>
                <c:pt idx="3407">
                  <c:v>-8.1000598233271458E-3</c:v>
                </c:pt>
                <c:pt idx="3408">
                  <c:v>-8.0680605814359672E-3</c:v>
                </c:pt>
                <c:pt idx="3409">
                  <c:v>-8.0343062380138896E-3</c:v>
                </c:pt>
                <c:pt idx="3410">
                  <c:v>-8.0014869494552873E-3</c:v>
                </c:pt>
                <c:pt idx="3411">
                  <c:v>-7.9703704853782698E-3</c:v>
                </c:pt>
                <c:pt idx="3412">
                  <c:v>-7.9373381656667307E-3</c:v>
                </c:pt>
                <c:pt idx="3413">
                  <c:v>-7.9027351806913778E-3</c:v>
                </c:pt>
                <c:pt idx="3414">
                  <c:v>-7.8686794575906684E-3</c:v>
                </c:pt>
                <c:pt idx="3415">
                  <c:v>-7.835206046887493E-3</c:v>
                </c:pt>
                <c:pt idx="3416">
                  <c:v>-7.8004705218886403E-3</c:v>
                </c:pt>
                <c:pt idx="3417">
                  <c:v>-7.7665937363550199E-3</c:v>
                </c:pt>
                <c:pt idx="3418">
                  <c:v>-7.7342253494554879E-3</c:v>
                </c:pt>
                <c:pt idx="3419">
                  <c:v>-7.7000850350000564E-3</c:v>
                </c:pt>
                <c:pt idx="3420">
                  <c:v>-7.6644670982201207E-3</c:v>
                </c:pt>
                <c:pt idx="3421">
                  <c:v>-7.6293389676376326E-3</c:v>
                </c:pt>
                <c:pt idx="3422">
                  <c:v>-7.5947378587865044E-3</c:v>
                </c:pt>
                <c:pt idx="3423">
                  <c:v>-7.5589893237630193E-3</c:v>
                </c:pt>
                <c:pt idx="3424">
                  <c:v>-7.524016414113298E-3</c:v>
                </c:pt>
                <c:pt idx="3425">
                  <c:v>-7.4904093045553366E-3</c:v>
                </c:pt>
                <c:pt idx="3426">
                  <c:v>-7.455180354065818E-3</c:v>
                </c:pt>
                <c:pt idx="3427">
                  <c:v>-7.418597705549158E-3</c:v>
                </c:pt>
                <c:pt idx="3428">
                  <c:v>-7.382453559532251E-3</c:v>
                </c:pt>
                <c:pt idx="3429">
                  <c:v>-7.3467811774097129E-3</c:v>
                </c:pt>
                <c:pt idx="3430">
                  <c:v>-7.3100605968600329E-3</c:v>
                </c:pt>
                <c:pt idx="3431">
                  <c:v>-7.2740364406981804E-3</c:v>
                </c:pt>
                <c:pt idx="3432">
                  <c:v>-7.23924332706958E-3</c:v>
                </c:pt>
                <c:pt idx="3433">
                  <c:v>-7.2029713764770967E-3</c:v>
                </c:pt>
                <c:pt idx="3434">
                  <c:v>-7.1654669274274886E-3</c:v>
                </c:pt>
                <c:pt idx="3435">
                  <c:v>-7.1283520670629395E-3</c:v>
                </c:pt>
                <c:pt idx="3436">
                  <c:v>-7.0921719382058329E-3</c:v>
                </c:pt>
                <c:pt idx="3437">
                  <c:v>-7.0554842480933938E-3</c:v>
                </c:pt>
                <c:pt idx="3438">
                  <c:v>-7.0175045028507089E-3</c:v>
                </c:pt>
                <c:pt idx="3439">
                  <c:v>-6.9799558590205868E-3</c:v>
                </c:pt>
                <c:pt idx="3440">
                  <c:v>-6.9429090955497362E-3</c:v>
                </c:pt>
                <c:pt idx="3441">
                  <c:v>-6.9047006125674253E-3</c:v>
                </c:pt>
                <c:pt idx="3442">
                  <c:v>-6.867065640778886E-3</c:v>
                </c:pt>
                <c:pt idx="3443">
                  <c:v>-6.830495324124994E-3</c:v>
                </c:pt>
                <c:pt idx="3444">
                  <c:v>-6.7926642095804254E-3</c:v>
                </c:pt>
                <c:pt idx="3445">
                  <c:v>-6.7538068864889398E-3</c:v>
                </c:pt>
                <c:pt idx="3446">
                  <c:v>-6.7152697502737644E-3</c:v>
                </c:pt>
                <c:pt idx="3447">
                  <c:v>-6.6770712306080558E-3</c:v>
                </c:pt>
                <c:pt idx="3448">
                  <c:v>-6.6380565544009902E-3</c:v>
                </c:pt>
                <c:pt idx="3449">
                  <c:v>-6.5995521247857796E-3</c:v>
                </c:pt>
                <c:pt idx="3450">
                  <c:v>-6.5619610539662324E-3</c:v>
                </c:pt>
                <c:pt idx="3451">
                  <c:v>-6.5232326532451796E-3</c:v>
                </c:pt>
                <c:pt idx="3452">
                  <c:v>-6.4835631966908697E-3</c:v>
                </c:pt>
                <c:pt idx="3453">
                  <c:v>-6.4441691577404809E-3</c:v>
                </c:pt>
                <c:pt idx="3454">
                  <c:v>-6.405069803184716E-3</c:v>
                </c:pt>
                <c:pt idx="3455">
                  <c:v>-6.3652482295912909E-3</c:v>
                </c:pt>
                <c:pt idx="3456">
                  <c:v>-6.3258709821955566E-3</c:v>
                </c:pt>
                <c:pt idx="3457">
                  <c:v>-6.2872928437286276E-3</c:v>
                </c:pt>
                <c:pt idx="3458">
                  <c:v>-6.2477020826079543E-3</c:v>
                </c:pt>
                <c:pt idx="3459">
                  <c:v>-6.2072735115541421E-3</c:v>
                </c:pt>
                <c:pt idx="3460">
                  <c:v>-6.1670806870313842E-3</c:v>
                </c:pt>
                <c:pt idx="3461">
                  <c:v>-6.1274779764955174E-3</c:v>
                </c:pt>
                <c:pt idx="3462">
                  <c:v>-6.0875227894006383E-3</c:v>
                </c:pt>
                <c:pt idx="3463">
                  <c:v>-6.0467035217149452E-3</c:v>
                </c:pt>
                <c:pt idx="3464">
                  <c:v>-6.0061430031841815E-3</c:v>
                </c:pt>
                <c:pt idx="3465">
                  <c:v>-5.9658854893212768E-3</c:v>
                </c:pt>
                <c:pt idx="3466">
                  <c:v>-5.9248594540776299E-3</c:v>
                </c:pt>
                <c:pt idx="3467">
                  <c:v>-5.8841786453151463E-3</c:v>
                </c:pt>
                <c:pt idx="3468">
                  <c:v>-5.8441550166321334E-3</c:v>
                </c:pt>
                <c:pt idx="3469">
                  <c:v>-5.8033032097699055E-3</c:v>
                </c:pt>
                <c:pt idx="3470">
                  <c:v>-5.7617834191128715E-3</c:v>
                </c:pt>
                <c:pt idx="3471">
                  <c:v>-5.7204440416444638E-3</c:v>
                </c:pt>
                <c:pt idx="3472">
                  <c:v>-5.6792935535709081E-3</c:v>
                </c:pt>
                <c:pt idx="3473">
                  <c:v>-5.6376188292268327E-3</c:v>
                </c:pt>
                <c:pt idx="3474">
                  <c:v>-5.5962382853664465E-3</c:v>
                </c:pt>
                <c:pt idx="3475">
                  <c:v>-5.5553978731252406E-3</c:v>
                </c:pt>
                <c:pt idx="3476">
                  <c:v>-5.5138333230455383E-3</c:v>
                </c:pt>
                <c:pt idx="3477">
                  <c:v>-5.4716758078610442E-3</c:v>
                </c:pt>
                <c:pt idx="3478">
                  <c:v>-5.4296644021805032E-3</c:v>
                </c:pt>
                <c:pt idx="3479">
                  <c:v>-5.3878078185716416E-3</c:v>
                </c:pt>
                <c:pt idx="3480">
                  <c:v>-5.3455034306312734E-3</c:v>
                </c:pt>
                <c:pt idx="3481">
                  <c:v>-5.3034420113965098E-3</c:v>
                </c:pt>
                <c:pt idx="3482">
                  <c:v>-5.2618308208452168E-3</c:v>
                </c:pt>
                <c:pt idx="3483">
                  <c:v>-5.2195977272516845E-3</c:v>
                </c:pt>
                <c:pt idx="3484">
                  <c:v>-5.1768563715239814E-3</c:v>
                </c:pt>
                <c:pt idx="3485">
                  <c:v>-5.134231317418237E-3</c:v>
                </c:pt>
                <c:pt idx="3486">
                  <c:v>-5.0919224369572356E-3</c:v>
                </c:pt>
                <c:pt idx="3487">
                  <c:v>-5.0493933573365415E-3</c:v>
                </c:pt>
                <c:pt idx="3488">
                  <c:v>-5.0063540311249682E-3</c:v>
                </c:pt>
                <c:pt idx="3489">
                  <c:v>-4.9634405578600589E-3</c:v>
                </c:pt>
                <c:pt idx="3490">
                  <c:v>-4.9206759204694179E-3</c:v>
                </c:pt>
                <c:pt idx="3491">
                  <c:v>-4.8774657849189954E-3</c:v>
                </c:pt>
                <c:pt idx="3492">
                  <c:v>-4.8344245579621846E-3</c:v>
                </c:pt>
                <c:pt idx="3493">
                  <c:v>-4.7917207230693554E-3</c:v>
                </c:pt>
                <c:pt idx="3494">
                  <c:v>-4.7485427426074865E-3</c:v>
                </c:pt>
                <c:pt idx="3495">
                  <c:v>-4.7049888168038912E-3</c:v>
                </c:pt>
                <c:pt idx="3496">
                  <c:v>-4.6615108026135006E-3</c:v>
                </c:pt>
                <c:pt idx="3497">
                  <c:v>-4.6181100935884642E-3</c:v>
                </c:pt>
                <c:pt idx="3498">
                  <c:v>-4.5744217499961064E-3</c:v>
                </c:pt>
                <c:pt idx="3499">
                  <c:v>-4.5308646185321178E-3</c:v>
                </c:pt>
                <c:pt idx="3500">
                  <c:v>-4.4875614384009667E-3</c:v>
                </c:pt>
                <c:pt idx="3501">
                  <c:v>-4.4438664881601289E-3</c:v>
                </c:pt>
                <c:pt idx="3502">
                  <c:v>-4.3998574472154097E-3</c:v>
                </c:pt>
                <c:pt idx="3503">
                  <c:v>-4.3559008753638944E-3</c:v>
                </c:pt>
                <c:pt idx="3504">
                  <c:v>-4.3119979576994654E-3</c:v>
                </c:pt>
                <c:pt idx="3505">
                  <c:v>-4.2678655390433716E-3</c:v>
                </c:pt>
                <c:pt idx="3506">
                  <c:v>-4.2238283480338151E-3</c:v>
                </c:pt>
                <c:pt idx="3507">
                  <c:v>-4.1799806603034133E-3</c:v>
                </c:pt>
                <c:pt idx="3508">
                  <c:v>-4.1358195449951677E-3</c:v>
                </c:pt>
                <c:pt idx="3509">
                  <c:v>-4.0914091300907106E-3</c:v>
                </c:pt>
                <c:pt idx="3510">
                  <c:v>-4.0470314726692037E-3</c:v>
                </c:pt>
                <c:pt idx="3511">
                  <c:v>-4.0027703712865017E-3</c:v>
                </c:pt>
                <c:pt idx="3512">
                  <c:v>-3.9583962773509576E-3</c:v>
                </c:pt>
                <c:pt idx="3513">
                  <c:v>-3.9137859789330955E-3</c:v>
                </c:pt>
                <c:pt idx="3514">
                  <c:v>-3.8692093456943527E-3</c:v>
                </c:pt>
                <c:pt idx="3515">
                  <c:v>-3.8246739428618409E-3</c:v>
                </c:pt>
                <c:pt idx="3516">
                  <c:v>-3.7799410972827966E-3</c:v>
                </c:pt>
                <c:pt idx="3517">
                  <c:v>-3.7352547986150703E-3</c:v>
                </c:pt>
                <c:pt idx="3518">
                  <c:v>-3.6906777221971444E-3</c:v>
                </c:pt>
                <c:pt idx="3519">
                  <c:v>-3.6458964864110365E-3</c:v>
                </c:pt>
                <c:pt idx="3520">
                  <c:v>-3.6009608503938442E-3</c:v>
                </c:pt>
                <c:pt idx="3521">
                  <c:v>-3.5560330258148447E-3</c:v>
                </c:pt>
                <c:pt idx="3522">
                  <c:v>-3.5111099892085034E-3</c:v>
                </c:pt>
                <c:pt idx="3523">
                  <c:v>-3.4660770754320162E-3</c:v>
                </c:pt>
                <c:pt idx="3524">
                  <c:v>-3.4210670001397162E-3</c:v>
                </c:pt>
                <c:pt idx="3525">
                  <c:v>-3.3761147941573449E-3</c:v>
                </c:pt>
                <c:pt idx="3526">
                  <c:v>-3.331017860733392E-3</c:v>
                </c:pt>
                <c:pt idx="3527">
                  <c:v>-3.2858127342188887E-3</c:v>
                </c:pt>
                <c:pt idx="3528">
                  <c:v>-3.2406025521820436E-3</c:v>
                </c:pt>
                <c:pt idx="3529">
                  <c:v>-3.1953840613628847E-3</c:v>
                </c:pt>
                <c:pt idx="3530">
                  <c:v>-3.1500956270718613E-3</c:v>
                </c:pt>
                <c:pt idx="3531">
                  <c:v>-3.104809500593427E-3</c:v>
                </c:pt>
                <c:pt idx="3532">
                  <c:v>-3.0595423618668834E-3</c:v>
                </c:pt>
                <c:pt idx="3533">
                  <c:v>-3.0141841892789246E-3</c:v>
                </c:pt>
                <c:pt idx="3534">
                  <c:v>-2.968762088961244E-3</c:v>
                </c:pt>
                <c:pt idx="3535">
                  <c:v>-2.9233252570501122E-3</c:v>
                </c:pt>
                <c:pt idx="3536">
                  <c:v>-2.8778808779677282E-3</c:v>
                </c:pt>
                <c:pt idx="3537">
                  <c:v>-2.8324041665253675E-3</c:v>
                </c:pt>
                <c:pt idx="3538">
                  <c:v>-2.7868826579072153E-3</c:v>
                </c:pt>
                <c:pt idx="3539">
                  <c:v>-2.7413437077389497E-3</c:v>
                </c:pt>
                <c:pt idx="3540">
                  <c:v>-2.6957851378788234E-3</c:v>
                </c:pt>
                <c:pt idx="3541">
                  <c:v>-2.6501996604962742E-3</c:v>
                </c:pt>
                <c:pt idx="3542">
                  <c:v>-2.6045925576270034E-3</c:v>
                </c:pt>
                <c:pt idx="3543">
                  <c:v>-2.5589590347322084E-3</c:v>
                </c:pt>
                <c:pt idx="3544">
                  <c:v>-2.5133048843235866E-3</c:v>
                </c:pt>
                <c:pt idx="3545">
                  <c:v>-2.4676454863491208E-3</c:v>
                </c:pt>
                <c:pt idx="3546">
                  <c:v>-2.4219617791937384E-3</c:v>
                </c:pt>
                <c:pt idx="3547">
                  <c:v>-2.3762490766511919E-3</c:v>
                </c:pt>
                <c:pt idx="3548">
                  <c:v>-2.3305442003186314E-3</c:v>
                </c:pt>
                <c:pt idx="3549">
                  <c:v>-2.284808204623668E-3</c:v>
                </c:pt>
                <c:pt idx="3550">
                  <c:v>-2.2390240173315885E-3</c:v>
                </c:pt>
                <c:pt idx="3551">
                  <c:v>-2.1932550507709164E-3</c:v>
                </c:pt>
                <c:pt idx="3552">
                  <c:v>-2.1475096317803604E-3</c:v>
                </c:pt>
                <c:pt idx="3553">
                  <c:v>-2.1017372051417575E-3</c:v>
                </c:pt>
                <c:pt idx="3554">
                  <c:v>-2.0559330830076804E-3</c:v>
                </c:pt>
                <c:pt idx="3555">
                  <c:v>-2.0101590149661317E-3</c:v>
                </c:pt>
                <c:pt idx="3556">
                  <c:v>-1.9643482648463765E-3</c:v>
                </c:pt>
                <c:pt idx="3557">
                  <c:v>-1.9184754286516636E-3</c:v>
                </c:pt>
                <c:pt idx="3558">
                  <c:v>-1.8726470597101366E-3</c:v>
                </c:pt>
                <c:pt idx="3559">
                  <c:v>-1.8268659566140133E-3</c:v>
                </c:pt>
                <c:pt idx="3560">
                  <c:v>-1.7810578770571053E-3</c:v>
                </c:pt>
                <c:pt idx="3561">
                  <c:v>-1.7351924288181914E-3</c:v>
                </c:pt>
                <c:pt idx="3562">
                  <c:v>-1.6893481743768494E-3</c:v>
                </c:pt>
                <c:pt idx="3563">
                  <c:v>-1.6435677541045452E-3</c:v>
                </c:pt>
                <c:pt idx="3564">
                  <c:v>-1.5977586568776713E-3</c:v>
                </c:pt>
                <c:pt idx="3565">
                  <c:v>-1.5519146453641141E-3</c:v>
                </c:pt>
                <c:pt idx="3566">
                  <c:v>-1.5061369760837472E-3</c:v>
                </c:pt>
                <c:pt idx="3567">
                  <c:v>-1.4603222389958184E-3</c:v>
                </c:pt>
                <c:pt idx="3568">
                  <c:v>-1.4144358989768412E-3</c:v>
                </c:pt>
                <c:pt idx="3569">
                  <c:v>-1.3686263241014841E-3</c:v>
                </c:pt>
                <c:pt idx="3570">
                  <c:v>-1.3228887543009183E-3</c:v>
                </c:pt>
                <c:pt idx="3571">
                  <c:v>-1.2771294178526322E-3</c:v>
                </c:pt>
                <c:pt idx="3572">
                  <c:v>-1.2313445296814193E-3</c:v>
                </c:pt>
                <c:pt idx="3573">
                  <c:v>-1.1856256800839373E-3</c:v>
                </c:pt>
                <c:pt idx="3574">
                  <c:v>-1.1398742092395E-3</c:v>
                </c:pt>
                <c:pt idx="3575">
                  <c:v>-1.0940557510905778E-3</c:v>
                </c:pt>
                <c:pt idx="3576">
                  <c:v>-1.0483265146937878E-3</c:v>
                </c:pt>
                <c:pt idx="3577">
                  <c:v>-1.002679519161726E-3</c:v>
                </c:pt>
                <c:pt idx="3578">
                  <c:v>-9.5701749658349015E-4</c:v>
                </c:pt>
                <c:pt idx="3579">
                  <c:v>-9.1133713953169037E-4</c:v>
                </c:pt>
                <c:pt idx="3580">
                  <c:v>-8.6572836735559903E-4</c:v>
                </c:pt>
                <c:pt idx="3581">
                  <c:v>-8.2009556011243968E-4</c:v>
                </c:pt>
                <c:pt idx="3582">
                  <c:v>-7.7440554504451357E-4</c:v>
                </c:pt>
                <c:pt idx="3583">
                  <c:v>-7.2881041785302463E-4</c:v>
                </c:pt>
                <c:pt idx="3584">
                  <c:v>-6.8330133465698245E-4</c:v>
                </c:pt>
                <c:pt idx="3585">
                  <c:v>-6.3778634240950428E-4</c:v>
                </c:pt>
                <c:pt idx="3586">
                  <c:v>-5.9223501606139558E-4</c:v>
                </c:pt>
                <c:pt idx="3587">
                  <c:v>-5.4673160555501104E-4</c:v>
                </c:pt>
                <c:pt idx="3588">
                  <c:v>-5.0132030074618314E-4</c:v>
                </c:pt>
                <c:pt idx="3589">
                  <c:v>-4.5590675378048449E-4</c:v>
                </c:pt>
                <c:pt idx="3590">
                  <c:v>-4.1048601582788945E-4</c:v>
                </c:pt>
                <c:pt idx="3591">
                  <c:v>-3.6515003008650909E-4</c:v>
                </c:pt>
                <c:pt idx="3592">
                  <c:v>-3.1981128350510023E-4</c:v>
                </c:pt>
                <c:pt idx="3593">
                  <c:v>-2.7444159811520618E-4</c:v>
                </c:pt>
                <c:pt idx="3594">
                  <c:v>-2.2916290062754131E-4</c:v>
                </c:pt>
                <c:pt idx="3595">
                  <c:v>-1.8396417230261627E-4</c:v>
                </c:pt>
                <c:pt idx="3596">
                  <c:v>-1.3877857520289111E-4</c:v>
                </c:pt>
                <c:pt idx="3597">
                  <c:v>-9.360556930707179E-5</c:v>
                </c:pt>
                <c:pt idx="3598">
                  <c:v>-4.8499682028612437E-5</c:v>
                </c:pt>
                <c:pt idx="3599">
                  <c:v>-3.4087741952656083E-6</c:v>
                </c:pt>
                <c:pt idx="3600">
                  <c:v>1.9153356377874528E-5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1-4C01-AC6B-4C0732B5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595455"/>
        <c:axId val="1570599615"/>
      </c:scatterChart>
      <c:valAx>
        <c:axId val="758469695"/>
        <c:scaling>
          <c:orientation val="minMax"/>
          <c:max val="6.2832000000000008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Position </a:t>
                </a:r>
                <a:r>
                  <a:rPr lang="el-GR">
                    <a:solidFill>
                      <a:schemeClr val="tx1"/>
                    </a:solidFill>
                  </a:rPr>
                  <a:t>θ [</a:t>
                </a:r>
                <a:r>
                  <a:rPr lang="en-GB">
                    <a:solidFill>
                      <a:schemeClr val="tx1"/>
                    </a:solidFill>
                  </a:rPr>
                  <a:t>rad] </a:t>
                </a:r>
              </a:p>
            </c:rich>
          </c:tx>
          <c:layout>
            <c:manualLayout>
              <c:xMode val="edge"/>
              <c:yMode val="edge"/>
              <c:x val="0.45099190726159233"/>
              <c:y val="0.92497666958296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40000"/>
                <a:lumOff val="6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166463"/>
        <c:crosses val="autoZero"/>
        <c:crossBetween val="midCat"/>
      </c:valAx>
      <c:valAx>
        <c:axId val="10571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accent3"/>
                    </a:solidFill>
                  </a:rPr>
                  <a:t>J</a:t>
                </a:r>
                <a:r>
                  <a:rPr lang="en-GB" baseline="0">
                    <a:solidFill>
                      <a:schemeClr val="accent3"/>
                    </a:solidFill>
                  </a:rPr>
                  <a:t> </a:t>
                </a:r>
                <a:r>
                  <a:rPr lang="en-GB">
                    <a:solidFill>
                      <a:schemeClr val="accent3"/>
                    </a:solidFill>
                  </a:rPr>
                  <a:t>[kgm²]</a:t>
                </a:r>
              </a:p>
            </c:rich>
          </c:tx>
          <c:layout>
            <c:manualLayout>
              <c:xMode val="edge"/>
              <c:yMode val="edge"/>
              <c:x val="8.3454421688560747E-3"/>
              <c:y val="0.303862874779541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469695"/>
        <c:crosses val="autoZero"/>
        <c:crossBetween val="midCat"/>
      </c:valAx>
      <c:valAx>
        <c:axId val="15705996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accent4"/>
                    </a:solidFill>
                  </a:rPr>
                  <a:t>dJ</a:t>
                </a:r>
                <a:r>
                  <a:rPr lang="en-GB" baseline="0">
                    <a:solidFill>
                      <a:schemeClr val="accent4"/>
                    </a:solidFill>
                  </a:rPr>
                  <a:t> </a:t>
                </a:r>
                <a:r>
                  <a:rPr lang="en-GB">
                    <a:solidFill>
                      <a:schemeClr val="accent4"/>
                    </a:solidFill>
                  </a:rPr>
                  <a:t>[kgm²/rad]</a:t>
                </a:r>
              </a:p>
            </c:rich>
          </c:tx>
          <c:layout>
            <c:manualLayout>
              <c:xMode val="edge"/>
              <c:yMode val="edge"/>
              <c:x val="0.9563167213200594"/>
              <c:y val="0.26623324514991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95455"/>
        <c:crosses val="max"/>
        <c:crossBetween val="midCat"/>
      </c:valAx>
      <c:valAx>
        <c:axId val="1570595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059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4663341645885"/>
          <c:y val="5.0925925925925923E-2"/>
          <c:w val="0.76576357662274763"/>
          <c:h val="0.78395282186948856"/>
        </c:manualLayout>
      </c:layout>
      <c:scatterChart>
        <c:scatterStyle val="lineMarker"/>
        <c:varyColors val="0"/>
        <c:ser>
          <c:idx val="0"/>
          <c:order val="0"/>
          <c:tx>
            <c:v>load torque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[0]!prop.Tl_x</c:f>
              <c:numCache>
                <c:formatCode>General</c:formatCode>
                <c:ptCount val="361"/>
                <c:pt idx="0">
                  <c:v>0</c:v>
                </c:pt>
                <c:pt idx="1">
                  <c:v>1.7453292519943299E-2</c:v>
                </c:pt>
                <c:pt idx="2">
                  <c:v>3.4906585039886591E-2</c:v>
                </c:pt>
                <c:pt idx="3">
                  <c:v>5.2359877559829883E-2</c:v>
                </c:pt>
                <c:pt idx="4">
                  <c:v>6.9813170079773182E-2</c:v>
                </c:pt>
                <c:pt idx="5">
                  <c:v>8.7266462599716474E-2</c:v>
                </c:pt>
                <c:pt idx="6">
                  <c:v>0.10471975511965977</c:v>
                </c:pt>
                <c:pt idx="7">
                  <c:v>0.12217304763960307</c:v>
                </c:pt>
                <c:pt idx="8">
                  <c:v>0.13962634015954636</c:v>
                </c:pt>
                <c:pt idx="9">
                  <c:v>0.15707963267948966</c:v>
                </c:pt>
                <c:pt idx="10">
                  <c:v>0.17453292519943295</c:v>
                </c:pt>
                <c:pt idx="11">
                  <c:v>0.19198621771937624</c:v>
                </c:pt>
                <c:pt idx="12">
                  <c:v>0.20943951023931953</c:v>
                </c:pt>
                <c:pt idx="13">
                  <c:v>0.22689280275926285</c:v>
                </c:pt>
                <c:pt idx="14">
                  <c:v>0.24434609527920614</c:v>
                </c:pt>
                <c:pt idx="15">
                  <c:v>0.26179938779914941</c:v>
                </c:pt>
                <c:pt idx="16">
                  <c:v>0.27925268031909273</c:v>
                </c:pt>
                <c:pt idx="17">
                  <c:v>0.29670597283903605</c:v>
                </c:pt>
                <c:pt idx="18">
                  <c:v>0.31415926535897931</c:v>
                </c:pt>
                <c:pt idx="19">
                  <c:v>0.33161255787892258</c:v>
                </c:pt>
                <c:pt idx="20">
                  <c:v>0.3490658503988659</c:v>
                </c:pt>
                <c:pt idx="21">
                  <c:v>0.36651914291880922</c:v>
                </c:pt>
                <c:pt idx="22">
                  <c:v>0.38397243543875248</c:v>
                </c:pt>
                <c:pt idx="23">
                  <c:v>0.40142572795869574</c:v>
                </c:pt>
                <c:pt idx="24">
                  <c:v>0.41887902047863906</c:v>
                </c:pt>
                <c:pt idx="25">
                  <c:v>0.43633231299858238</c:v>
                </c:pt>
                <c:pt idx="26">
                  <c:v>0.4537856055185257</c:v>
                </c:pt>
                <c:pt idx="27">
                  <c:v>0.47123889803846897</c:v>
                </c:pt>
                <c:pt idx="28">
                  <c:v>0.48869219055841229</c:v>
                </c:pt>
                <c:pt idx="29">
                  <c:v>0.50614548307835561</c:v>
                </c:pt>
                <c:pt idx="30">
                  <c:v>0.52359877559829882</c:v>
                </c:pt>
                <c:pt idx="31">
                  <c:v>0.54105206811824214</c:v>
                </c:pt>
                <c:pt idx="32">
                  <c:v>0.55850536063818546</c:v>
                </c:pt>
                <c:pt idx="33">
                  <c:v>0.57595865315812877</c:v>
                </c:pt>
                <c:pt idx="34">
                  <c:v>0.59341194567807209</c:v>
                </c:pt>
                <c:pt idx="35">
                  <c:v>0.6108652381980153</c:v>
                </c:pt>
                <c:pt idx="36">
                  <c:v>0.62831853071795862</c:v>
                </c:pt>
                <c:pt idx="37">
                  <c:v>0.64577182323790194</c:v>
                </c:pt>
                <c:pt idx="38">
                  <c:v>0.66322511575784515</c:v>
                </c:pt>
                <c:pt idx="39">
                  <c:v>0.68067840827778847</c:v>
                </c:pt>
                <c:pt idx="40">
                  <c:v>0.69813170079773179</c:v>
                </c:pt>
                <c:pt idx="41">
                  <c:v>0.715584993317675</c:v>
                </c:pt>
                <c:pt idx="42">
                  <c:v>0.73303828583761843</c:v>
                </c:pt>
                <c:pt idx="43">
                  <c:v>0.75049157835756164</c:v>
                </c:pt>
                <c:pt idx="44">
                  <c:v>0.76794487087750496</c:v>
                </c:pt>
                <c:pt idx="45">
                  <c:v>0.78539816339744828</c:v>
                </c:pt>
                <c:pt idx="46">
                  <c:v>0.80285145591739149</c:v>
                </c:pt>
                <c:pt idx="47">
                  <c:v>0.82030474843733492</c:v>
                </c:pt>
                <c:pt idx="48">
                  <c:v>0.83775804095727813</c:v>
                </c:pt>
                <c:pt idx="49">
                  <c:v>0.85521133347722145</c:v>
                </c:pt>
                <c:pt idx="50">
                  <c:v>0.87266462599716477</c:v>
                </c:pt>
                <c:pt idx="51">
                  <c:v>0.89011791851710798</c:v>
                </c:pt>
                <c:pt idx="52">
                  <c:v>0.90757121103705141</c:v>
                </c:pt>
                <c:pt idx="53">
                  <c:v>0.92502450355699462</c:v>
                </c:pt>
                <c:pt idx="54">
                  <c:v>0.94247779607693793</c:v>
                </c:pt>
                <c:pt idx="55">
                  <c:v>0.95993108859688125</c:v>
                </c:pt>
                <c:pt idx="56">
                  <c:v>0.97738438111682457</c:v>
                </c:pt>
                <c:pt idx="57">
                  <c:v>0.99483767363676778</c:v>
                </c:pt>
                <c:pt idx="58">
                  <c:v>1.0122909661567112</c:v>
                </c:pt>
                <c:pt idx="59">
                  <c:v>1.0297442586766543</c:v>
                </c:pt>
                <c:pt idx="60">
                  <c:v>1.0471975511965976</c:v>
                </c:pt>
                <c:pt idx="61">
                  <c:v>1.064650843716541</c:v>
                </c:pt>
                <c:pt idx="62">
                  <c:v>1.0821041362364843</c:v>
                </c:pt>
                <c:pt idx="63">
                  <c:v>1.0995574287564276</c:v>
                </c:pt>
                <c:pt idx="64">
                  <c:v>1.1170107212763709</c:v>
                </c:pt>
                <c:pt idx="65">
                  <c:v>1.1344640137963142</c:v>
                </c:pt>
                <c:pt idx="66">
                  <c:v>1.1519173063162575</c:v>
                </c:pt>
                <c:pt idx="67">
                  <c:v>1.1693705988362006</c:v>
                </c:pt>
                <c:pt idx="68">
                  <c:v>1.1868238913561442</c:v>
                </c:pt>
                <c:pt idx="69">
                  <c:v>1.2042771838760873</c:v>
                </c:pt>
                <c:pt idx="70">
                  <c:v>1.2217304763960306</c:v>
                </c:pt>
                <c:pt idx="71">
                  <c:v>1.2391837689159739</c:v>
                </c:pt>
                <c:pt idx="72">
                  <c:v>1.2566370614359172</c:v>
                </c:pt>
                <c:pt idx="73">
                  <c:v>1.2740903539558606</c:v>
                </c:pt>
                <c:pt idx="74">
                  <c:v>1.2915436464758039</c:v>
                </c:pt>
                <c:pt idx="75">
                  <c:v>1.3089969389957472</c:v>
                </c:pt>
                <c:pt idx="76">
                  <c:v>1.3264502315156903</c:v>
                </c:pt>
                <c:pt idx="77">
                  <c:v>1.3439035240356338</c:v>
                </c:pt>
                <c:pt idx="78">
                  <c:v>1.3613568165555769</c:v>
                </c:pt>
                <c:pt idx="79">
                  <c:v>1.3788101090755203</c:v>
                </c:pt>
                <c:pt idx="80">
                  <c:v>1.3962634015954636</c:v>
                </c:pt>
                <c:pt idx="81">
                  <c:v>1.4137166941154069</c:v>
                </c:pt>
                <c:pt idx="82">
                  <c:v>1.43116998663535</c:v>
                </c:pt>
                <c:pt idx="83">
                  <c:v>1.4486232791552935</c:v>
                </c:pt>
                <c:pt idx="84">
                  <c:v>1.4660765716752369</c:v>
                </c:pt>
                <c:pt idx="85">
                  <c:v>1.4835298641951802</c:v>
                </c:pt>
                <c:pt idx="86">
                  <c:v>1.5009831567151233</c:v>
                </c:pt>
                <c:pt idx="87">
                  <c:v>1.5184364492350666</c:v>
                </c:pt>
                <c:pt idx="88">
                  <c:v>1.5358897417550099</c:v>
                </c:pt>
                <c:pt idx="89">
                  <c:v>1.5533430342749535</c:v>
                </c:pt>
                <c:pt idx="90">
                  <c:v>1.5707963267948966</c:v>
                </c:pt>
                <c:pt idx="91">
                  <c:v>1.5882496193148399</c:v>
                </c:pt>
                <c:pt idx="92">
                  <c:v>1.605702911834783</c:v>
                </c:pt>
                <c:pt idx="93">
                  <c:v>1.6231562043547263</c:v>
                </c:pt>
                <c:pt idx="94">
                  <c:v>1.6406094968746698</c:v>
                </c:pt>
                <c:pt idx="95">
                  <c:v>1.6580627893946132</c:v>
                </c:pt>
                <c:pt idx="96">
                  <c:v>1.6755160819145563</c:v>
                </c:pt>
                <c:pt idx="97">
                  <c:v>1.6929693744344996</c:v>
                </c:pt>
                <c:pt idx="98">
                  <c:v>1.7104226669544429</c:v>
                </c:pt>
                <c:pt idx="99">
                  <c:v>1.7278759594743864</c:v>
                </c:pt>
                <c:pt idx="100">
                  <c:v>1.7453292519943295</c:v>
                </c:pt>
                <c:pt idx="101">
                  <c:v>1.7627825445142729</c:v>
                </c:pt>
                <c:pt idx="102">
                  <c:v>1.780235837034216</c:v>
                </c:pt>
                <c:pt idx="103">
                  <c:v>1.7976891295541593</c:v>
                </c:pt>
                <c:pt idx="104">
                  <c:v>1.8151424220741028</c:v>
                </c:pt>
                <c:pt idx="105">
                  <c:v>1.8325957145940461</c:v>
                </c:pt>
                <c:pt idx="106">
                  <c:v>1.8500490071139892</c:v>
                </c:pt>
                <c:pt idx="107">
                  <c:v>1.8675022996339325</c:v>
                </c:pt>
                <c:pt idx="108">
                  <c:v>1.8849555921538759</c:v>
                </c:pt>
                <c:pt idx="109">
                  <c:v>1.902408884673819</c:v>
                </c:pt>
                <c:pt idx="110">
                  <c:v>1.9198621771937625</c:v>
                </c:pt>
                <c:pt idx="111">
                  <c:v>1.9373154697137058</c:v>
                </c:pt>
                <c:pt idx="112">
                  <c:v>1.9547687622336491</c:v>
                </c:pt>
                <c:pt idx="113">
                  <c:v>1.9722220547535922</c:v>
                </c:pt>
                <c:pt idx="114">
                  <c:v>1.9896753472735356</c:v>
                </c:pt>
                <c:pt idx="115">
                  <c:v>2.0071286397934789</c:v>
                </c:pt>
                <c:pt idx="116">
                  <c:v>2.0245819323134224</c:v>
                </c:pt>
                <c:pt idx="117">
                  <c:v>2.0420352248333655</c:v>
                </c:pt>
                <c:pt idx="118">
                  <c:v>2.0594885173533086</c:v>
                </c:pt>
                <c:pt idx="119">
                  <c:v>2.0769418098732522</c:v>
                </c:pt>
                <c:pt idx="120">
                  <c:v>2.0943951023931953</c:v>
                </c:pt>
                <c:pt idx="121">
                  <c:v>2.1118483949131388</c:v>
                </c:pt>
                <c:pt idx="122">
                  <c:v>2.1293016874330819</c:v>
                </c:pt>
                <c:pt idx="123">
                  <c:v>2.1467549799530254</c:v>
                </c:pt>
                <c:pt idx="124">
                  <c:v>2.1642082724729685</c:v>
                </c:pt>
                <c:pt idx="125">
                  <c:v>2.1816615649929116</c:v>
                </c:pt>
                <c:pt idx="126">
                  <c:v>2.1991148575128552</c:v>
                </c:pt>
                <c:pt idx="127">
                  <c:v>2.2165681500327987</c:v>
                </c:pt>
                <c:pt idx="128">
                  <c:v>2.2340214425527418</c:v>
                </c:pt>
                <c:pt idx="129">
                  <c:v>2.2514747350726849</c:v>
                </c:pt>
                <c:pt idx="130">
                  <c:v>2.2689280275926285</c:v>
                </c:pt>
                <c:pt idx="131">
                  <c:v>2.286381320112572</c:v>
                </c:pt>
                <c:pt idx="132">
                  <c:v>2.3038346126325151</c:v>
                </c:pt>
                <c:pt idx="133">
                  <c:v>2.3212879051524582</c:v>
                </c:pt>
                <c:pt idx="134">
                  <c:v>2.3387411976724013</c:v>
                </c:pt>
                <c:pt idx="135">
                  <c:v>2.3561944901923448</c:v>
                </c:pt>
                <c:pt idx="136">
                  <c:v>2.3736477827122884</c:v>
                </c:pt>
                <c:pt idx="137">
                  <c:v>2.3911010752322315</c:v>
                </c:pt>
                <c:pt idx="138">
                  <c:v>2.4085543677521746</c:v>
                </c:pt>
                <c:pt idx="139">
                  <c:v>2.4260076602721181</c:v>
                </c:pt>
                <c:pt idx="140">
                  <c:v>2.4434609527920612</c:v>
                </c:pt>
                <c:pt idx="141">
                  <c:v>2.4609142453120043</c:v>
                </c:pt>
                <c:pt idx="142">
                  <c:v>2.4783675378319479</c:v>
                </c:pt>
                <c:pt idx="143">
                  <c:v>2.4958208303518914</c:v>
                </c:pt>
                <c:pt idx="144">
                  <c:v>2.5132741228718345</c:v>
                </c:pt>
                <c:pt idx="145">
                  <c:v>2.5307274153917776</c:v>
                </c:pt>
                <c:pt idx="146">
                  <c:v>2.5481807079117211</c:v>
                </c:pt>
                <c:pt idx="147">
                  <c:v>2.5656340004316647</c:v>
                </c:pt>
                <c:pt idx="148">
                  <c:v>2.5830872929516078</c:v>
                </c:pt>
                <c:pt idx="149">
                  <c:v>2.6005405854715509</c:v>
                </c:pt>
                <c:pt idx="150">
                  <c:v>2.6179938779914944</c:v>
                </c:pt>
                <c:pt idx="151">
                  <c:v>2.6354471705114375</c:v>
                </c:pt>
                <c:pt idx="152">
                  <c:v>2.6529004630313806</c:v>
                </c:pt>
                <c:pt idx="153">
                  <c:v>2.6703537555513241</c:v>
                </c:pt>
                <c:pt idx="154">
                  <c:v>2.6878070480712677</c:v>
                </c:pt>
                <c:pt idx="155">
                  <c:v>2.7052603405912108</c:v>
                </c:pt>
                <c:pt idx="156">
                  <c:v>2.7227136331111539</c:v>
                </c:pt>
                <c:pt idx="157">
                  <c:v>2.740166925631097</c:v>
                </c:pt>
                <c:pt idx="158">
                  <c:v>2.7576202181510405</c:v>
                </c:pt>
                <c:pt idx="159">
                  <c:v>2.7750735106709841</c:v>
                </c:pt>
                <c:pt idx="160">
                  <c:v>2.7925268031909272</c:v>
                </c:pt>
                <c:pt idx="161">
                  <c:v>2.8099800957108703</c:v>
                </c:pt>
                <c:pt idx="162">
                  <c:v>2.8274333882308138</c:v>
                </c:pt>
                <c:pt idx="163">
                  <c:v>2.8448866807507569</c:v>
                </c:pt>
                <c:pt idx="164">
                  <c:v>2.8623399732707</c:v>
                </c:pt>
                <c:pt idx="165">
                  <c:v>2.8797932657906435</c:v>
                </c:pt>
                <c:pt idx="166">
                  <c:v>2.8972465583105871</c:v>
                </c:pt>
                <c:pt idx="167">
                  <c:v>2.9146998508305306</c:v>
                </c:pt>
                <c:pt idx="168">
                  <c:v>2.9321531433504737</c:v>
                </c:pt>
                <c:pt idx="169">
                  <c:v>2.9496064358704168</c:v>
                </c:pt>
                <c:pt idx="170">
                  <c:v>2.9670597283903604</c:v>
                </c:pt>
                <c:pt idx="171">
                  <c:v>2.9845130209103035</c:v>
                </c:pt>
                <c:pt idx="172">
                  <c:v>3.0019663134302466</c:v>
                </c:pt>
                <c:pt idx="173">
                  <c:v>3.0194196059501901</c:v>
                </c:pt>
                <c:pt idx="174">
                  <c:v>3.0368728984701332</c:v>
                </c:pt>
                <c:pt idx="175">
                  <c:v>3.0543261909900763</c:v>
                </c:pt>
                <c:pt idx="176">
                  <c:v>3.0717794835100198</c:v>
                </c:pt>
                <c:pt idx="177">
                  <c:v>3.0892327760299634</c:v>
                </c:pt>
                <c:pt idx="178">
                  <c:v>3.1066860685499069</c:v>
                </c:pt>
                <c:pt idx="179">
                  <c:v>3.12413936106985</c:v>
                </c:pt>
                <c:pt idx="180">
                  <c:v>3.1415926535897931</c:v>
                </c:pt>
                <c:pt idx="181">
                  <c:v>3.1590459461097362</c:v>
                </c:pt>
                <c:pt idx="182">
                  <c:v>3.1764992386296798</c:v>
                </c:pt>
                <c:pt idx="183">
                  <c:v>3.1939525311496229</c:v>
                </c:pt>
                <c:pt idx="184">
                  <c:v>3.211405823669566</c:v>
                </c:pt>
                <c:pt idx="185">
                  <c:v>3.2288591161895095</c:v>
                </c:pt>
                <c:pt idx="186">
                  <c:v>3.2463124087094526</c:v>
                </c:pt>
                <c:pt idx="187">
                  <c:v>3.2637657012293966</c:v>
                </c:pt>
                <c:pt idx="188">
                  <c:v>3.2812189937493397</c:v>
                </c:pt>
                <c:pt idx="189">
                  <c:v>3.2986722862692828</c:v>
                </c:pt>
                <c:pt idx="190">
                  <c:v>3.3161255787892263</c:v>
                </c:pt>
                <c:pt idx="191">
                  <c:v>3.3335788713091694</c:v>
                </c:pt>
                <c:pt idx="192">
                  <c:v>3.3510321638291125</c:v>
                </c:pt>
                <c:pt idx="193">
                  <c:v>3.3684854563490561</c:v>
                </c:pt>
                <c:pt idx="194">
                  <c:v>3.3859387488689991</c:v>
                </c:pt>
                <c:pt idx="195">
                  <c:v>3.4033920413889422</c:v>
                </c:pt>
                <c:pt idx="196">
                  <c:v>3.4208453339088858</c:v>
                </c:pt>
                <c:pt idx="197">
                  <c:v>3.4382986264288289</c:v>
                </c:pt>
                <c:pt idx="198">
                  <c:v>3.4557519189487729</c:v>
                </c:pt>
                <c:pt idx="199">
                  <c:v>3.473205211468716</c:v>
                </c:pt>
                <c:pt idx="200">
                  <c:v>3.4906585039886591</c:v>
                </c:pt>
                <c:pt idx="201">
                  <c:v>3.5081117965086026</c:v>
                </c:pt>
                <c:pt idx="202">
                  <c:v>3.5255650890285457</c:v>
                </c:pt>
                <c:pt idx="203">
                  <c:v>3.5430183815484888</c:v>
                </c:pt>
                <c:pt idx="204">
                  <c:v>3.5604716740684319</c:v>
                </c:pt>
                <c:pt idx="205">
                  <c:v>3.5779249665883754</c:v>
                </c:pt>
                <c:pt idx="206">
                  <c:v>3.5953782591083185</c:v>
                </c:pt>
                <c:pt idx="207">
                  <c:v>3.6128315516282616</c:v>
                </c:pt>
                <c:pt idx="208">
                  <c:v>3.6302848441482056</c:v>
                </c:pt>
                <c:pt idx="209">
                  <c:v>3.6477381366681487</c:v>
                </c:pt>
                <c:pt idx="210">
                  <c:v>3.6651914291880923</c:v>
                </c:pt>
                <c:pt idx="211">
                  <c:v>3.6826447217080354</c:v>
                </c:pt>
                <c:pt idx="212">
                  <c:v>3.7000980142279785</c:v>
                </c:pt>
                <c:pt idx="213">
                  <c:v>3.717551306747922</c:v>
                </c:pt>
                <c:pt idx="214">
                  <c:v>3.7350045992678651</c:v>
                </c:pt>
                <c:pt idx="215">
                  <c:v>3.7524578917878082</c:v>
                </c:pt>
                <c:pt idx="216">
                  <c:v>3.7699111843077517</c:v>
                </c:pt>
                <c:pt idx="217">
                  <c:v>3.7873644768276948</c:v>
                </c:pt>
                <c:pt idx="218">
                  <c:v>3.8048177693476379</c:v>
                </c:pt>
                <c:pt idx="219">
                  <c:v>3.8222710618675819</c:v>
                </c:pt>
                <c:pt idx="220">
                  <c:v>3.839724354387525</c:v>
                </c:pt>
                <c:pt idx="221">
                  <c:v>3.8571776469074686</c:v>
                </c:pt>
                <c:pt idx="222">
                  <c:v>3.8746309394274117</c:v>
                </c:pt>
                <c:pt idx="223">
                  <c:v>3.8920842319473548</c:v>
                </c:pt>
                <c:pt idx="224">
                  <c:v>3.9095375244672983</c:v>
                </c:pt>
                <c:pt idx="225">
                  <c:v>3.9269908169872414</c:v>
                </c:pt>
                <c:pt idx="226">
                  <c:v>3.9444441095071845</c:v>
                </c:pt>
                <c:pt idx="227">
                  <c:v>3.9618974020271276</c:v>
                </c:pt>
                <c:pt idx="228">
                  <c:v>3.9793506945470711</c:v>
                </c:pt>
                <c:pt idx="229">
                  <c:v>3.9968039870670142</c:v>
                </c:pt>
                <c:pt idx="230">
                  <c:v>4.0142572795869578</c:v>
                </c:pt>
                <c:pt idx="231">
                  <c:v>4.0317105721069018</c:v>
                </c:pt>
                <c:pt idx="232">
                  <c:v>4.0491638646268449</c:v>
                </c:pt>
                <c:pt idx="233">
                  <c:v>4.066617157146788</c:v>
                </c:pt>
                <c:pt idx="234">
                  <c:v>4.0840704496667311</c:v>
                </c:pt>
                <c:pt idx="235">
                  <c:v>4.1015237421866741</c:v>
                </c:pt>
                <c:pt idx="236">
                  <c:v>4.1189770347066172</c:v>
                </c:pt>
                <c:pt idx="237">
                  <c:v>4.1364303272265612</c:v>
                </c:pt>
                <c:pt idx="238">
                  <c:v>4.1538836197465043</c:v>
                </c:pt>
                <c:pt idx="239">
                  <c:v>4.1713369122664474</c:v>
                </c:pt>
                <c:pt idx="240">
                  <c:v>4.1887902047863905</c:v>
                </c:pt>
                <c:pt idx="241">
                  <c:v>4.2062434973063345</c:v>
                </c:pt>
                <c:pt idx="242">
                  <c:v>4.2236967898262776</c:v>
                </c:pt>
                <c:pt idx="243">
                  <c:v>4.2411500823462207</c:v>
                </c:pt>
                <c:pt idx="244">
                  <c:v>4.2586033748661638</c:v>
                </c:pt>
                <c:pt idx="245">
                  <c:v>4.2760566673861069</c:v>
                </c:pt>
                <c:pt idx="246">
                  <c:v>4.2935099599060509</c:v>
                </c:pt>
                <c:pt idx="247">
                  <c:v>4.310963252425994</c:v>
                </c:pt>
                <c:pt idx="248">
                  <c:v>4.3284165449459371</c:v>
                </c:pt>
                <c:pt idx="249">
                  <c:v>4.3458698374658802</c:v>
                </c:pt>
                <c:pt idx="250">
                  <c:v>4.3633231299858233</c:v>
                </c:pt>
                <c:pt idx="251">
                  <c:v>4.3807764225057673</c:v>
                </c:pt>
                <c:pt idx="252">
                  <c:v>4.3982297150257104</c:v>
                </c:pt>
                <c:pt idx="253">
                  <c:v>4.4156830075456535</c:v>
                </c:pt>
                <c:pt idx="254">
                  <c:v>4.4331363000655974</c:v>
                </c:pt>
                <c:pt idx="255">
                  <c:v>4.4505895925855405</c:v>
                </c:pt>
                <c:pt idx="256">
                  <c:v>4.4680428851054836</c:v>
                </c:pt>
                <c:pt idx="257">
                  <c:v>4.4854961776254267</c:v>
                </c:pt>
                <c:pt idx="258">
                  <c:v>4.5029494701453698</c:v>
                </c:pt>
                <c:pt idx="259">
                  <c:v>4.5204027626653129</c:v>
                </c:pt>
                <c:pt idx="260">
                  <c:v>4.5378560551852569</c:v>
                </c:pt>
                <c:pt idx="261">
                  <c:v>4.5553093477052</c:v>
                </c:pt>
                <c:pt idx="262">
                  <c:v>4.572762640225144</c:v>
                </c:pt>
                <c:pt idx="263">
                  <c:v>4.5902159327450871</c:v>
                </c:pt>
                <c:pt idx="264">
                  <c:v>4.6076692252650302</c:v>
                </c:pt>
                <c:pt idx="265">
                  <c:v>4.6251225177849733</c:v>
                </c:pt>
                <c:pt idx="266">
                  <c:v>4.6425758103049164</c:v>
                </c:pt>
                <c:pt idx="267">
                  <c:v>4.6600291028248595</c:v>
                </c:pt>
                <c:pt idx="268">
                  <c:v>4.6774823953448026</c:v>
                </c:pt>
                <c:pt idx="269">
                  <c:v>4.6949356878647466</c:v>
                </c:pt>
                <c:pt idx="270">
                  <c:v>4.7123889803846897</c:v>
                </c:pt>
                <c:pt idx="271">
                  <c:v>4.7298422729046328</c:v>
                </c:pt>
                <c:pt idx="272">
                  <c:v>4.7472955654245768</c:v>
                </c:pt>
                <c:pt idx="273">
                  <c:v>4.7647488579445199</c:v>
                </c:pt>
                <c:pt idx="274">
                  <c:v>4.782202150464463</c:v>
                </c:pt>
                <c:pt idx="275">
                  <c:v>4.7996554429844061</c:v>
                </c:pt>
                <c:pt idx="276">
                  <c:v>4.8171087355043491</c:v>
                </c:pt>
                <c:pt idx="277">
                  <c:v>4.8345620280242931</c:v>
                </c:pt>
                <c:pt idx="278">
                  <c:v>4.8520153205442362</c:v>
                </c:pt>
                <c:pt idx="279">
                  <c:v>4.8694686130641793</c:v>
                </c:pt>
                <c:pt idx="280">
                  <c:v>4.8869219055841224</c:v>
                </c:pt>
                <c:pt idx="281">
                  <c:v>4.9043751981040655</c:v>
                </c:pt>
                <c:pt idx="282">
                  <c:v>4.9218284906240086</c:v>
                </c:pt>
                <c:pt idx="283">
                  <c:v>4.9392817831439526</c:v>
                </c:pt>
                <c:pt idx="284">
                  <c:v>4.9567350756638957</c:v>
                </c:pt>
                <c:pt idx="285">
                  <c:v>4.9741883681838397</c:v>
                </c:pt>
                <c:pt idx="286">
                  <c:v>4.9916416607037828</c:v>
                </c:pt>
                <c:pt idx="287">
                  <c:v>5.0090949532237259</c:v>
                </c:pt>
                <c:pt idx="288">
                  <c:v>5.026548245743669</c:v>
                </c:pt>
                <c:pt idx="289">
                  <c:v>5.0440015382636121</c:v>
                </c:pt>
                <c:pt idx="290">
                  <c:v>5.0614548307835552</c:v>
                </c:pt>
                <c:pt idx="291">
                  <c:v>5.0789081233034983</c:v>
                </c:pt>
                <c:pt idx="292">
                  <c:v>5.0963614158234423</c:v>
                </c:pt>
                <c:pt idx="293">
                  <c:v>5.1138147083433854</c:v>
                </c:pt>
                <c:pt idx="294">
                  <c:v>5.1312680008633293</c:v>
                </c:pt>
                <c:pt idx="295">
                  <c:v>5.1487212933832724</c:v>
                </c:pt>
                <c:pt idx="296">
                  <c:v>5.1661745859032155</c:v>
                </c:pt>
                <c:pt idx="297">
                  <c:v>5.1836278784231586</c:v>
                </c:pt>
                <c:pt idx="298">
                  <c:v>5.2010811709431017</c:v>
                </c:pt>
                <c:pt idx="299">
                  <c:v>5.2185344634630448</c:v>
                </c:pt>
                <c:pt idx="300">
                  <c:v>5.2359877559829888</c:v>
                </c:pt>
                <c:pt idx="301">
                  <c:v>5.2534410485029319</c:v>
                </c:pt>
                <c:pt idx="302">
                  <c:v>5.270894341022875</c:v>
                </c:pt>
                <c:pt idx="303">
                  <c:v>5.2883476335428181</c:v>
                </c:pt>
                <c:pt idx="304">
                  <c:v>5.3058009260627612</c:v>
                </c:pt>
                <c:pt idx="305">
                  <c:v>5.3232542185827052</c:v>
                </c:pt>
                <c:pt idx="306">
                  <c:v>5.3407075111026483</c:v>
                </c:pt>
                <c:pt idx="307">
                  <c:v>5.3581608036225914</c:v>
                </c:pt>
                <c:pt idx="308">
                  <c:v>5.3756140961425354</c:v>
                </c:pt>
                <c:pt idx="309">
                  <c:v>5.3930673886624785</c:v>
                </c:pt>
                <c:pt idx="310">
                  <c:v>5.4105206811824216</c:v>
                </c:pt>
                <c:pt idx="311">
                  <c:v>5.4279739737023647</c:v>
                </c:pt>
                <c:pt idx="312">
                  <c:v>5.4454272662223078</c:v>
                </c:pt>
                <c:pt idx="313">
                  <c:v>5.4628805587422509</c:v>
                </c:pt>
                <c:pt idx="314">
                  <c:v>5.480333851262194</c:v>
                </c:pt>
                <c:pt idx="315">
                  <c:v>5.497787143782138</c:v>
                </c:pt>
                <c:pt idx="316">
                  <c:v>5.5152404363020811</c:v>
                </c:pt>
                <c:pt idx="317">
                  <c:v>5.532693728822025</c:v>
                </c:pt>
                <c:pt idx="318">
                  <c:v>5.5501470213419681</c:v>
                </c:pt>
                <c:pt idx="319">
                  <c:v>5.5676003138619112</c:v>
                </c:pt>
                <c:pt idx="320">
                  <c:v>5.5850536063818543</c:v>
                </c:pt>
                <c:pt idx="321">
                  <c:v>5.6025068989017974</c:v>
                </c:pt>
                <c:pt idx="322">
                  <c:v>5.6199601914217405</c:v>
                </c:pt>
                <c:pt idx="323">
                  <c:v>5.6374134839416845</c:v>
                </c:pt>
                <c:pt idx="324">
                  <c:v>5.6548667764616276</c:v>
                </c:pt>
                <c:pt idx="325">
                  <c:v>5.6723200689815707</c:v>
                </c:pt>
                <c:pt idx="326">
                  <c:v>5.6897733615015138</c:v>
                </c:pt>
                <c:pt idx="327">
                  <c:v>5.7072266540214578</c:v>
                </c:pt>
                <c:pt idx="328">
                  <c:v>5.7246799465414</c:v>
                </c:pt>
                <c:pt idx="329">
                  <c:v>5.742133239061344</c:v>
                </c:pt>
                <c:pt idx="330">
                  <c:v>5.7595865315812871</c:v>
                </c:pt>
                <c:pt idx="331">
                  <c:v>5.7770398241012311</c:v>
                </c:pt>
                <c:pt idx="332">
                  <c:v>5.7944931166211742</c:v>
                </c:pt>
                <c:pt idx="333">
                  <c:v>5.8119464091411173</c:v>
                </c:pt>
                <c:pt idx="334">
                  <c:v>5.8293997016610613</c:v>
                </c:pt>
                <c:pt idx="335">
                  <c:v>5.8468529941810035</c:v>
                </c:pt>
                <c:pt idx="336">
                  <c:v>5.8643062867009474</c:v>
                </c:pt>
                <c:pt idx="337">
                  <c:v>5.8817595792208897</c:v>
                </c:pt>
                <c:pt idx="338">
                  <c:v>5.8992128717408336</c:v>
                </c:pt>
                <c:pt idx="339">
                  <c:v>5.9166661642607767</c:v>
                </c:pt>
                <c:pt idx="340">
                  <c:v>5.9341194567807207</c:v>
                </c:pt>
                <c:pt idx="341">
                  <c:v>5.9515727493006629</c:v>
                </c:pt>
                <c:pt idx="342">
                  <c:v>5.9690260418206069</c:v>
                </c:pt>
                <c:pt idx="343">
                  <c:v>5.9864793343405509</c:v>
                </c:pt>
                <c:pt idx="344">
                  <c:v>6.0039326268604931</c:v>
                </c:pt>
                <c:pt idx="345">
                  <c:v>6.0213859193804371</c:v>
                </c:pt>
                <c:pt idx="346">
                  <c:v>6.0388392119003802</c:v>
                </c:pt>
                <c:pt idx="347">
                  <c:v>6.0562925044203233</c:v>
                </c:pt>
                <c:pt idx="348">
                  <c:v>6.0737457969402664</c:v>
                </c:pt>
                <c:pt idx="349">
                  <c:v>6.0911990894602104</c:v>
                </c:pt>
                <c:pt idx="350">
                  <c:v>6.1086523819801526</c:v>
                </c:pt>
                <c:pt idx="351">
                  <c:v>6.1261056745000966</c:v>
                </c:pt>
                <c:pt idx="352">
                  <c:v>6.1435589670200397</c:v>
                </c:pt>
                <c:pt idx="353">
                  <c:v>6.1610122595399828</c:v>
                </c:pt>
                <c:pt idx="354">
                  <c:v>6.1784655520599268</c:v>
                </c:pt>
                <c:pt idx="355">
                  <c:v>6.1959188445798699</c:v>
                </c:pt>
                <c:pt idx="356">
                  <c:v>6.2133721370998138</c:v>
                </c:pt>
                <c:pt idx="357">
                  <c:v>6.2308254296197561</c:v>
                </c:pt>
                <c:pt idx="358">
                  <c:v>6.2482787221397</c:v>
                </c:pt>
                <c:pt idx="359">
                  <c:v>6.2657320146596422</c:v>
                </c:pt>
                <c:pt idx="360">
                  <c:v>6.2831853071795862</c:v>
                </c:pt>
              </c:numCache>
            </c:numRef>
          </c:xVal>
          <c:yVal>
            <c:numRef>
              <c:f>[0]!prop.Tl_y</c:f>
              <c:numCache>
                <c:formatCode>General</c:formatCode>
                <c:ptCount val="361"/>
                <c:pt idx="0">
                  <c:v>0.1025359665978</c:v>
                </c:pt>
                <c:pt idx="1">
                  <c:v>0.12380594846490001</c:v>
                </c:pt>
                <c:pt idx="2">
                  <c:v>0.14494880092700002</c:v>
                </c:pt>
                <c:pt idx="3">
                  <c:v>0.1659316659956</c:v>
                </c:pt>
                <c:pt idx="4">
                  <c:v>0.1867223085775</c:v>
                </c:pt>
                <c:pt idx="5">
                  <c:v>0.20728917531969998</c:v>
                </c:pt>
                <c:pt idx="6">
                  <c:v>0.2276014495474</c:v>
                </c:pt>
                <c:pt idx="7">
                  <c:v>0.24762910224279999</c:v>
                </c:pt>
                <c:pt idx="8">
                  <c:v>0.26734293903060008</c:v>
                </c:pt>
                <c:pt idx="9">
                  <c:v>0.28671464314150003</c:v>
                </c:pt>
                <c:pt idx="10">
                  <c:v>0.30571681440319998</c:v>
                </c:pt>
                <c:pt idx="11">
                  <c:v>0.3243230042586</c:v>
                </c:pt>
                <c:pt idx="12">
                  <c:v>0.3425077468885</c:v>
                </c:pt>
                <c:pt idx="13">
                  <c:v>0.36024658650769997</c:v>
                </c:pt>
                <c:pt idx="14">
                  <c:v>0.37751610092509996</c:v>
                </c:pt>
                <c:pt idx="15">
                  <c:v>0.39429392147729997</c:v>
                </c:pt>
                <c:pt idx="16">
                  <c:v>0.41055874945650001</c:v>
                </c:pt>
                <c:pt idx="17">
                  <c:v>0.4262903691587</c:v>
                </c:pt>
                <c:pt idx="18">
                  <c:v>0.44146965770519997</c:v>
                </c:pt>
                <c:pt idx="19">
                  <c:v>0.45607859177170001</c:v>
                </c:pt>
                <c:pt idx="20">
                  <c:v>0.47010025139420003</c:v>
                </c:pt>
                <c:pt idx="21">
                  <c:v>0.48351882100800003</c:v>
                </c:pt>
                <c:pt idx="22">
                  <c:v>0.49631958788030001</c:v>
                </c:pt>
                <c:pt idx="23">
                  <c:v>0.50848893811639995</c:v>
                </c:pt>
                <c:pt idx="24">
                  <c:v>0.52001435037749999</c:v>
                </c:pt>
                <c:pt idx="25">
                  <c:v>0.53088438751599998</c:v>
                </c:pt>
                <c:pt idx="26">
                  <c:v>0.54108868625999995</c:v>
                </c:pt>
                <c:pt idx="27">
                  <c:v>0.55061794512969997</c:v>
                </c:pt>
                <c:pt idx="28">
                  <c:v>0.55946391073629997</c:v>
                </c:pt>
                <c:pt idx="29">
                  <c:v>0.56761936260829993</c:v>
                </c:pt>
                <c:pt idx="30">
                  <c:v>0.57507809672499988</c:v>
                </c:pt>
                <c:pt idx="31">
                  <c:v>0.58183490786820002</c:v>
                </c:pt>
                <c:pt idx="32">
                  <c:v>0.58788557096719996</c:v>
                </c:pt>
                <c:pt idx="33">
                  <c:v>0.59322682150740014</c:v>
                </c:pt>
                <c:pt idx="34">
                  <c:v>0.59785633521390003</c:v>
                </c:pt>
                <c:pt idx="35">
                  <c:v>0.6017727070751</c:v>
                </c:pt>
                <c:pt idx="36">
                  <c:v>0.60497542979230001</c:v>
                </c:pt>
                <c:pt idx="37">
                  <c:v>0.60746487186319997</c:v>
                </c:pt>
                <c:pt idx="38">
                  <c:v>0.60924225527240006</c:v>
                </c:pt>
                <c:pt idx="39">
                  <c:v>0.61030963296889995</c:v>
                </c:pt>
                <c:pt idx="40">
                  <c:v>0.61066986617510011</c:v>
                </c:pt>
                <c:pt idx="41">
                  <c:v>0.61032660164670005</c:v>
                </c:pt>
                <c:pt idx="42">
                  <c:v>0.60928424886920007</c:v>
                </c:pt>
                <c:pt idx="43">
                  <c:v>0.60754795736369993</c:v>
                </c:pt>
                <c:pt idx="44">
                  <c:v>0.60512359408959993</c:v>
                </c:pt>
                <c:pt idx="45">
                  <c:v>0.60201772099850004</c:v>
                </c:pt>
                <c:pt idx="46">
                  <c:v>0.59823757283029999</c:v>
                </c:pt>
                <c:pt idx="47">
                  <c:v>0.59379103515119991</c:v>
                </c:pt>
                <c:pt idx="48">
                  <c:v>0.58868662268860006</c:v>
                </c:pt>
                <c:pt idx="49">
                  <c:v>0.58293345797639995</c:v>
                </c:pt>
                <c:pt idx="50">
                  <c:v>0.5765412503852001</c:v>
                </c:pt>
                <c:pt idx="51">
                  <c:v>0.56952027547499995</c:v>
                </c:pt>
                <c:pt idx="52">
                  <c:v>0.56188135479229995</c:v>
                </c:pt>
                <c:pt idx="53">
                  <c:v>0.55363583601029998</c:v>
                </c:pt>
                <c:pt idx="54">
                  <c:v>0.54479557355539998</c:v>
                </c:pt>
                <c:pt idx="55">
                  <c:v>0.53537290958640005</c:v>
                </c:pt>
                <c:pt idx="56">
                  <c:v>0.52538065542839985</c:v>
                </c:pt>
                <c:pt idx="57">
                  <c:v>0.51483207347280002</c:v>
                </c:pt>
                <c:pt idx="58">
                  <c:v>0.50374085941620006</c:v>
                </c:pt>
                <c:pt idx="59">
                  <c:v>0.492121124992</c:v>
                </c:pt>
                <c:pt idx="60">
                  <c:v>0.47998738107650002</c:v>
                </c:pt>
                <c:pt idx="61">
                  <c:v>0.46735452122900001</c:v>
                </c:pt>
                <c:pt idx="62">
                  <c:v>0.45423780560709998</c:v>
                </c:pt>
                <c:pt idx="63">
                  <c:v>0.44065284525179998</c:v>
                </c:pt>
                <c:pt idx="64">
                  <c:v>0.42661558678950001</c:v>
                </c:pt>
                <c:pt idx="65">
                  <c:v>0.41214229742640002</c:v>
                </c:pt>
                <c:pt idx="66">
                  <c:v>0.39724955033620002</c:v>
                </c:pt>
                <c:pt idx="67">
                  <c:v>0.3819542103136</c:v>
                </c:pt>
                <c:pt idx="68">
                  <c:v>0.36627341977850003</c:v>
                </c:pt>
                <c:pt idx="69">
                  <c:v>0.3502245850313</c:v>
                </c:pt>
                <c:pt idx="70">
                  <c:v>0.33382536277240005</c:v>
                </c:pt>
                <c:pt idx="71">
                  <c:v>0.31709364685710001</c:v>
                </c:pt>
                <c:pt idx="72">
                  <c:v>0.3000475552813</c:v>
                </c:pt>
                <c:pt idx="73">
                  <c:v>0.28270541734189997</c:v>
                </c:pt>
                <c:pt idx="74">
                  <c:v>0.26508576097520004</c:v>
                </c:pt>
                <c:pt idx="75">
                  <c:v>0.24720730026139998</c:v>
                </c:pt>
                <c:pt idx="76">
                  <c:v>0.22908892300589997</c:v>
                </c:pt>
                <c:pt idx="77">
                  <c:v>0.21074967845839998</c:v>
                </c:pt>
                <c:pt idx="78">
                  <c:v>0.19220876507319998</c:v>
                </c:pt>
                <c:pt idx="79">
                  <c:v>0.17348551836080001</c:v>
                </c:pt>
                <c:pt idx="80">
                  <c:v>0.15459939867879999</c:v>
                </c:pt>
                <c:pt idx="81">
                  <c:v>0.13556997913179999</c:v>
                </c:pt>
                <c:pt idx="82">
                  <c:v>0.1164169333314</c:v>
                </c:pt>
                <c:pt idx="83">
                  <c:v>9.7160023152000008E-2</c:v>
                </c:pt>
                <c:pt idx="84">
                  <c:v>7.7819086394800008E-2</c:v>
                </c:pt>
                <c:pt idx="85">
                  <c:v>5.8414024377899998E-2</c:v>
                </c:pt>
                <c:pt idx="86">
                  <c:v>3.89647892839E-2</c:v>
                </c:pt>
                <c:pt idx="87">
                  <c:v>1.9491371489199997E-2</c:v>
                </c:pt>
                <c:pt idx="88">
                  <c:v>1.37865795E-5</c:v>
                </c:pt>
                <c:pt idx="89">
                  <c:v>-1.9447937755000002E-2</c:v>
                </c:pt>
                <c:pt idx="90">
                  <c:v>-3.8873775144399998E-2</c:v>
                </c:pt>
                <c:pt idx="91">
                  <c:v>-5.82437141477E-2</c:v>
                </c:pt>
                <c:pt idx="92">
                  <c:v>-7.7537772201900002E-2</c:v>
                </c:pt>
                <c:pt idx="93">
                  <c:v>-9.6736009879500012E-2</c:v>
                </c:pt>
                <c:pt idx="94">
                  <c:v>-0.1158185454462</c:v>
                </c:pt>
                <c:pt idx="95">
                  <c:v>-0.13476556981209997</c:v>
                </c:pt>
                <c:pt idx="96">
                  <c:v>-0.15355736183349999</c:v>
                </c:pt>
                <c:pt idx="97">
                  <c:v>-0.1721743040267</c:v>
                </c:pt>
                <c:pt idx="98">
                  <c:v>-0.19059689867919999</c:v>
                </c:pt>
                <c:pt idx="99">
                  <c:v>-0.20880578442709999</c:v>
                </c:pt>
                <c:pt idx="100">
                  <c:v>-0.22678175322959998</c:v>
                </c:pt>
                <c:pt idx="101">
                  <c:v>-0.24450576785959999</c:v>
                </c:pt>
                <c:pt idx="102">
                  <c:v>-0.2619589797786</c:v>
                </c:pt>
                <c:pt idx="103">
                  <c:v>-0.27912274763770001</c:v>
                </c:pt>
                <c:pt idx="104">
                  <c:v>-0.29597865608680002</c:v>
                </c:pt>
                <c:pt idx="105">
                  <c:v>-0.31250853520969996</c:v>
                </c:pt>
                <c:pt idx="106">
                  <c:v>-0.3286944803595</c:v>
                </c:pt>
                <c:pt idx="107">
                  <c:v>-0.34451887258590003</c:v>
                </c:pt>
                <c:pt idx="108">
                  <c:v>-0.35996439936629998</c:v>
                </c:pt>
                <c:pt idx="109">
                  <c:v>-0.37501407604680004</c:v>
                </c:pt>
                <c:pt idx="110">
                  <c:v>-0.38965126746209994</c:v>
                </c:pt>
                <c:pt idx="111">
                  <c:v>-0.40385971023829997</c:v>
                </c:pt>
                <c:pt idx="112">
                  <c:v>-0.41762353531840002</c:v>
                </c:pt>
                <c:pt idx="113">
                  <c:v>-0.43092729100429999</c:v>
                </c:pt>
                <c:pt idx="114">
                  <c:v>-0.44375596621429997</c:v>
                </c:pt>
                <c:pt idx="115">
                  <c:v>-0.45609501419700005</c:v>
                </c:pt>
                <c:pt idx="116">
                  <c:v>-0.46793037635720003</c:v>
                </c:pt>
                <c:pt idx="117">
                  <c:v>-0.47924850639139999</c:v>
                </c:pt>
                <c:pt idx="118">
                  <c:v>-0.49003639452160003</c:v>
                </c:pt>
                <c:pt idx="119">
                  <c:v>-0.50028159185429999</c:v>
                </c:pt>
                <c:pt idx="120">
                  <c:v>-0.50997223472859998</c:v>
                </c:pt>
                <c:pt idx="121">
                  <c:v>-0.51909706900529995</c:v>
                </c:pt>
                <c:pt idx="122">
                  <c:v>-0.52764547423590002</c:v>
                </c:pt>
                <c:pt idx="123">
                  <c:v>-0.53560748759050014</c:v>
                </c:pt>
                <c:pt idx="124">
                  <c:v>-0.54297382747629996</c:v>
                </c:pt>
                <c:pt idx="125">
                  <c:v>-0.54973591666690003</c:v>
                </c:pt>
                <c:pt idx="126">
                  <c:v>-0.55588590502000002</c:v>
                </c:pt>
                <c:pt idx="127">
                  <c:v>-0.56141669141649997</c:v>
                </c:pt>
                <c:pt idx="128">
                  <c:v>-0.56632194509709999</c:v>
                </c:pt>
                <c:pt idx="129">
                  <c:v>-0.57059612594880005</c:v>
                </c:pt>
                <c:pt idx="130">
                  <c:v>-0.57423450390190001</c:v>
                </c:pt>
                <c:pt idx="131">
                  <c:v>-0.57723317727300005</c:v>
                </c:pt>
                <c:pt idx="132">
                  <c:v>-0.57958908963130007</c:v>
                </c:pt>
                <c:pt idx="133">
                  <c:v>-0.58130004550689995</c:v>
                </c:pt>
                <c:pt idx="134">
                  <c:v>-0.58236472443840004</c:v>
                </c:pt>
                <c:pt idx="135">
                  <c:v>-0.5827826935057</c:v>
                </c:pt>
                <c:pt idx="136">
                  <c:v>-0.58255441799550001</c:v>
                </c:pt>
                <c:pt idx="137">
                  <c:v>-0.58168127020080007</c:v>
                </c:pt>
                <c:pt idx="138">
                  <c:v>-0.58016553632029999</c:v>
                </c:pt>
                <c:pt idx="139">
                  <c:v>-0.57801042108569989</c:v>
                </c:pt>
                <c:pt idx="140">
                  <c:v>-0.57522005027760004</c:v>
                </c:pt>
                <c:pt idx="141">
                  <c:v>-0.57179947090930006</c:v>
                </c:pt>
                <c:pt idx="142">
                  <c:v>-0.56775464898919992</c:v>
                </c:pt>
                <c:pt idx="143">
                  <c:v>-0.56309246481700004</c:v>
                </c:pt>
                <c:pt idx="144">
                  <c:v>-0.5578207057515</c:v>
                </c:pt>
                <c:pt idx="145">
                  <c:v>-0.55194805639080002</c:v>
                </c:pt>
                <c:pt idx="146">
                  <c:v>-0.54548408612080002</c:v>
                </c:pt>
                <c:pt idx="147">
                  <c:v>-0.53843923402829996</c:v>
                </c:pt>
                <c:pt idx="148">
                  <c:v>-0.53082479119699988</c:v>
                </c:pt>
                <c:pt idx="149">
                  <c:v>-0.52265288033619994</c:v>
                </c:pt>
                <c:pt idx="150">
                  <c:v>-0.5139364328421</c:v>
                </c:pt>
                <c:pt idx="151">
                  <c:v>-0.50468916332109992</c:v>
                </c:pt>
                <c:pt idx="152">
                  <c:v>-0.4949255416135</c:v>
                </c:pt>
                <c:pt idx="153">
                  <c:v>-0.48466076243460005</c:v>
                </c:pt>
                <c:pt idx="154">
                  <c:v>-0.47391071274969998</c:v>
                </c:pt>
                <c:pt idx="155">
                  <c:v>-0.46269193697009997</c:v>
                </c:pt>
                <c:pt idx="156">
                  <c:v>-0.45102160011719999</c:v>
                </c:pt>
                <c:pt idx="157">
                  <c:v>-0.4389174491335</c:v>
                </c:pt>
                <c:pt idx="158">
                  <c:v>-0.42639777247010002</c:v>
                </c:pt>
                <c:pt idx="159">
                  <c:v>-0.41348135817079995</c:v>
                </c:pt>
                <c:pt idx="160">
                  <c:v>-0.40018745062360001</c:v>
                </c:pt>
                <c:pt idx="161">
                  <c:v>-0.38653570617909999</c:v>
                </c:pt>
                <c:pt idx="162">
                  <c:v>-0.37254614786719997</c:v>
                </c:pt>
                <c:pt idx="163">
                  <c:v>-0.35823911941790004</c:v>
                </c:pt>
                <c:pt idx="164">
                  <c:v>-0.34363523882210001</c:v>
                </c:pt>
                <c:pt idx="165">
                  <c:v>-0.32875535163470004</c:v>
                </c:pt>
                <c:pt idx="166">
                  <c:v>-0.31362048427329997</c:v>
                </c:pt>
                <c:pt idx="167">
                  <c:v>-0.29825179752709996</c:v>
                </c:pt>
                <c:pt idx="168">
                  <c:v>-0.28267054049430002</c:v>
                </c:pt>
                <c:pt idx="169">
                  <c:v>-0.26689800516309997</c:v>
                </c:pt>
                <c:pt idx="170">
                  <c:v>-0.2509554818586</c:v>
                </c:pt>
                <c:pt idx="171">
                  <c:v>-0.23486421574239999</c:v>
                </c:pt>
                <c:pt idx="172">
                  <c:v>-0.21864536455860001</c:v>
                </c:pt>
                <c:pt idx="173">
                  <c:v>-0.20231995779680001</c:v>
                </c:pt>
                <c:pt idx="174">
                  <c:v>-0.18590885745050001</c:v>
                </c:pt>
                <c:pt idx="175">
                  <c:v>-0.1694327204976</c:v>
                </c:pt>
                <c:pt idx="176">
                  <c:v>-0.1529119632572</c:v>
                </c:pt>
                <c:pt idx="177">
                  <c:v>-0.13636672771950001</c:v>
                </c:pt>
                <c:pt idx="178">
                  <c:v>-0.11981684996350001</c:v>
                </c:pt>
                <c:pt idx="179">
                  <c:v>-0.1032818307347</c:v>
                </c:pt>
                <c:pt idx="180">
                  <c:v>-8.6780808251499988E-2</c:v>
                </c:pt>
                <c:pt idx="181">
                  <c:v>-7.0332533285699994E-2</c:v>
                </c:pt>
                <c:pt idx="182">
                  <c:v>-5.3955346549600006E-2</c:v>
                </c:pt>
                <c:pt idx="183">
                  <c:v>-3.7667158399300002E-2</c:v>
                </c:pt>
                <c:pt idx="184">
                  <c:v>-2.14854308561E-2</c:v>
                </c:pt>
                <c:pt idx="185">
                  <c:v>-5.4271619263E-3</c:v>
                </c:pt>
                <c:pt idx="186">
                  <c:v>1.0491127814900001E-2</c:v>
                </c:pt>
                <c:pt idx="187">
                  <c:v>2.62534064173E-2</c:v>
                </c:pt>
                <c:pt idx="188">
                  <c:v>4.1844139588500001E-2</c:v>
                </c:pt>
                <c:pt idx="189">
                  <c:v>5.72482976358E-2</c:v>
                </c:pt>
                <c:pt idx="190">
                  <c:v>7.2451360383900001E-2</c:v>
                </c:pt>
                <c:pt idx="191">
                  <c:v>8.7439320193500009E-2</c:v>
                </c:pt>
                <c:pt idx="192">
                  <c:v>0.1021986831181</c:v>
                </c:pt>
                <c:pt idx="193">
                  <c:v>0.116716468364</c:v>
                </c:pt>
                <c:pt idx="194">
                  <c:v>0.13098020611899999</c:v>
                </c:pt>
                <c:pt idx="195">
                  <c:v>0.14497793388559999</c:v>
                </c:pt>
                <c:pt idx="196">
                  <c:v>0.15869819140889999</c:v>
                </c:pt>
                <c:pt idx="197">
                  <c:v>0.17213001436279998</c:v>
                </c:pt>
                <c:pt idx="198">
                  <c:v>0.18526292684659998</c:v>
                </c:pt>
                <c:pt idx="199">
                  <c:v>0.19808693289269996</c:v>
                </c:pt>
                <c:pt idx="200">
                  <c:v>0.21059250701929999</c:v>
                </c:pt>
                <c:pt idx="201">
                  <c:v>0.22277058401029998</c:v>
                </c:pt>
                <c:pt idx="202">
                  <c:v>0.2346125480039</c:v>
                </c:pt>
                <c:pt idx="203">
                  <c:v>0.24611022101149999</c:v>
                </c:pt>
                <c:pt idx="204">
                  <c:v>0.2572558509722</c:v>
                </c:pt>
                <c:pt idx="205">
                  <c:v>0.26804209945579999</c:v>
                </c:pt>
                <c:pt idx="206">
                  <c:v>0.27846202909969997</c:v>
                </c:pt>
                <c:pt idx="207">
                  <c:v>0.28850909089429999</c:v>
                </c:pt>
                <c:pt idx="208">
                  <c:v>0.29817711138779995</c:v>
                </c:pt>
                <c:pt idx="209">
                  <c:v>0.30746027993560004</c:v>
                </c:pt>
                <c:pt idx="210">
                  <c:v>0.31635313600210002</c:v>
                </c:pt>
                <c:pt idx="211">
                  <c:v>0.32485055667719998</c:v>
                </c:pt>
                <c:pt idx="212">
                  <c:v>0.33294774443110003</c:v>
                </c:pt>
                <c:pt idx="213">
                  <c:v>0.3406402151679</c:v>
                </c:pt>
                <c:pt idx="214">
                  <c:v>0.34792378667489998</c:v>
                </c:pt>
                <c:pt idx="215">
                  <c:v>0.35479456747260002</c:v>
                </c:pt>
                <c:pt idx="216">
                  <c:v>0.36124894618369996</c:v>
                </c:pt>
                <c:pt idx="217">
                  <c:v>0.36728358140259998</c:v>
                </c:pt>
                <c:pt idx="218">
                  <c:v>0.37289539214309997</c:v>
                </c:pt>
                <c:pt idx="219">
                  <c:v>0.37808154890039997</c:v>
                </c:pt>
                <c:pt idx="220">
                  <c:v>0.38283946535590002</c:v>
                </c:pt>
                <c:pt idx="221">
                  <c:v>0.38716679074049998</c:v>
                </c:pt>
                <c:pt idx="222">
                  <c:v>0.39106140291120001</c:v>
                </c:pt>
                <c:pt idx="223">
                  <c:v>0.39452140215170001</c:v>
                </c:pt>
                <c:pt idx="224">
                  <c:v>0.39754510570450002</c:v>
                </c:pt>
                <c:pt idx="225">
                  <c:v>0.40013104304210001</c:v>
                </c:pt>
                <c:pt idx="226">
                  <c:v>0.40227795195619998</c:v>
                </c:pt>
                <c:pt idx="227">
                  <c:v>0.4039847753752</c:v>
                </c:pt>
                <c:pt idx="228">
                  <c:v>0.40525065898570001</c:v>
                </c:pt>
                <c:pt idx="229">
                  <c:v>0.4060749496703</c:v>
                </c:pt>
                <c:pt idx="230">
                  <c:v>0.40645719469379998</c:v>
                </c:pt>
                <c:pt idx="231">
                  <c:v>0.40639714171250002</c:v>
                </c:pt>
                <c:pt idx="232">
                  <c:v>0.40589473957879996</c:v>
                </c:pt>
                <c:pt idx="233">
                  <c:v>0.40495013992669998</c:v>
                </c:pt>
                <c:pt idx="234">
                  <c:v>0.4035636995045</c:v>
                </c:pt>
                <c:pt idx="235">
                  <c:v>0.40173598335380001</c:v>
                </c:pt>
                <c:pt idx="236">
                  <c:v>0.39946776868860001</c:v>
                </c:pt>
                <c:pt idx="237">
                  <c:v>0.39676004954980004</c:v>
                </c:pt>
                <c:pt idx="238">
                  <c:v>0.39361404219860002</c:v>
                </c:pt>
                <c:pt idx="239">
                  <c:v>0.39003119122859997</c:v>
                </c:pt>
                <c:pt idx="240">
                  <c:v>0.38601317638210003</c:v>
                </c:pt>
                <c:pt idx="241">
                  <c:v>0.3815619200575</c:v>
                </c:pt>
                <c:pt idx="242">
                  <c:v>0.37667959546329999</c:v>
                </c:pt>
                <c:pt idx="243">
                  <c:v>0.37136863543470006</c:v>
                </c:pt>
                <c:pt idx="244">
                  <c:v>0.36563174185320002</c:v>
                </c:pt>
                <c:pt idx="245">
                  <c:v>0.35947189564670007</c:v>
                </c:pt>
                <c:pt idx="246">
                  <c:v>0.3528923673596</c:v>
                </c:pt>
                <c:pt idx="247">
                  <c:v>0.34589672824560003</c:v>
                </c:pt>
                <c:pt idx="248">
                  <c:v>0.33848886183889998</c:v>
                </c:pt>
                <c:pt idx="249">
                  <c:v>0.33067297601680001</c:v>
                </c:pt>
                <c:pt idx="250">
                  <c:v>0.3224536153791</c:v>
                </c:pt>
                <c:pt idx="251">
                  <c:v>0.31383567414110003</c:v>
                </c:pt>
                <c:pt idx="252">
                  <c:v>0.30482440922729998</c:v>
                </c:pt>
                <c:pt idx="253">
                  <c:v>0.29542545371080003</c:v>
                </c:pt>
                <c:pt idx="254">
                  <c:v>0.28564483045780004</c:v>
                </c:pt>
                <c:pt idx="255">
                  <c:v>0.27548896592009997</c:v>
                </c:pt>
                <c:pt idx="256">
                  <c:v>0.26496470409210005</c:v>
                </c:pt>
                <c:pt idx="257">
                  <c:v>0.25407932046540005</c:v>
                </c:pt>
                <c:pt idx="258">
                  <c:v>0.24284053601840003</c:v>
                </c:pt>
                <c:pt idx="259">
                  <c:v>0.23125653105839999</c:v>
                </c:pt>
                <c:pt idx="260">
                  <c:v>0.21933595900129998</c:v>
                </c:pt>
                <c:pt idx="261">
                  <c:v>0.20708795980879999</c:v>
                </c:pt>
                <c:pt idx="262">
                  <c:v>0.19452217324660001</c:v>
                </c:pt>
                <c:pt idx="263">
                  <c:v>0.1816487516268</c:v>
                </c:pt>
                <c:pt idx="264">
                  <c:v>0.16847837212819999</c:v>
                </c:pt>
                <c:pt idx="265">
                  <c:v>0.15502224859249999</c:v>
                </c:pt>
                <c:pt idx="266">
                  <c:v>0.1412921425568</c:v>
                </c:pt>
                <c:pt idx="267">
                  <c:v>0.12730037361390001</c:v>
                </c:pt>
                <c:pt idx="268">
                  <c:v>0.11305982886339999</c:v>
                </c:pt>
                <c:pt idx="269">
                  <c:v>9.8583971428600009E-2</c:v>
                </c:pt>
                <c:pt idx="270">
                  <c:v>8.3886847897699998E-2</c:v>
                </c:pt>
                <c:pt idx="271">
                  <c:v>6.898309456820001E-2</c:v>
                </c:pt>
                <c:pt idx="272">
                  <c:v>5.3887942426299996E-2</c:v>
                </c:pt>
                <c:pt idx="273">
                  <c:v>3.8617220758000004E-2</c:v>
                </c:pt>
                <c:pt idx="274">
                  <c:v>2.3187359185100002E-2</c:v>
                </c:pt>
                <c:pt idx="275">
                  <c:v>7.6153880934000003E-3</c:v>
                </c:pt>
                <c:pt idx="276">
                  <c:v>-8.0810626299000002E-3</c:v>
                </c:pt>
                <c:pt idx="277">
                  <c:v>-2.3883766767299999E-2</c:v>
                </c:pt>
                <c:pt idx="278">
                  <c:v>-3.97739068779E-2</c:v>
                </c:pt>
                <c:pt idx="279">
                  <c:v>-5.5732081498799997E-2</c:v>
                </c:pt>
                <c:pt idx="280">
                  <c:v>-7.1738314503E-2</c:v>
                </c:pt>
                <c:pt idx="281">
                  <c:v>-8.7772066790999997E-2</c:v>
                </c:pt>
                <c:pt idx="282">
                  <c:v>-0.10381225032630001</c:v>
                </c:pt>
                <c:pt idx="283">
                  <c:v>-0.11983724467619999</c:v>
                </c:pt>
                <c:pt idx="284">
                  <c:v>-0.1358249161459</c:v>
                </c:pt>
                <c:pt idx="285">
                  <c:v>-0.1517526395179</c:v>
                </c:pt>
                <c:pt idx="286">
                  <c:v>-0.16759732259079999</c:v>
                </c:pt>
                <c:pt idx="287">
                  <c:v>-0.18333543344479999</c:v>
                </c:pt>
                <c:pt idx="288">
                  <c:v>-0.19894303060060001</c:v>
                </c:pt>
                <c:pt idx="289">
                  <c:v>-0.21439579604739997</c:v>
                </c:pt>
                <c:pt idx="290">
                  <c:v>-0.22966907120169999</c:v>
                </c:pt>
                <c:pt idx="291">
                  <c:v>-0.24473789580660002</c:v>
                </c:pt>
                <c:pt idx="292">
                  <c:v>-0.25957704975579998</c:v>
                </c:pt>
                <c:pt idx="293">
                  <c:v>-0.27416109783940001</c:v>
                </c:pt>
                <c:pt idx="294">
                  <c:v>-0.28846443740310002</c:v>
                </c:pt>
                <c:pt idx="295">
                  <c:v>-0.30246134881879999</c:v>
                </c:pt>
                <c:pt idx="296">
                  <c:v>-0.3161260487534</c:v>
                </c:pt>
                <c:pt idx="297">
                  <c:v>-0.32943274611639994</c:v>
                </c:pt>
                <c:pt idx="298">
                  <c:v>-0.34235570056549997</c:v>
                </c:pt>
                <c:pt idx="299">
                  <c:v>-0.35486928350700003</c:v>
                </c:pt>
                <c:pt idx="300">
                  <c:v>-0.36694804131199998</c:v>
                </c:pt>
                <c:pt idx="301">
                  <c:v>-0.37856676076829998</c:v>
                </c:pt>
                <c:pt idx="302">
                  <c:v>-0.38970053638910002</c:v>
                </c:pt>
                <c:pt idx="303">
                  <c:v>-0.40032483944629998</c:v>
                </c:pt>
                <c:pt idx="304">
                  <c:v>-0.41041558852569998</c:v>
                </c:pt>
                <c:pt idx="305">
                  <c:v>-0.41994922126379997</c:v>
                </c:pt>
                <c:pt idx="306">
                  <c:v>-0.428902767091</c:v>
                </c:pt>
                <c:pt idx="307">
                  <c:v>-0.43725392057939999</c:v>
                </c:pt>
                <c:pt idx="308">
                  <c:v>-0.44498111514889999</c:v>
                </c:pt>
                <c:pt idx="309">
                  <c:v>-0.45206359682590003</c:v>
                </c:pt>
                <c:pt idx="310">
                  <c:v>-0.45848149760300005</c:v>
                </c:pt>
                <c:pt idx="311">
                  <c:v>-0.46421590817210007</c:v>
                </c:pt>
                <c:pt idx="312">
                  <c:v>-0.4692489495671</c:v>
                </c:pt>
                <c:pt idx="313">
                  <c:v>-0.47356384339669999</c:v>
                </c:pt>
                <c:pt idx="314">
                  <c:v>-0.47714498026060004</c:v>
                </c:pt>
                <c:pt idx="315">
                  <c:v>-0.47997798594559998</c:v>
                </c:pt>
                <c:pt idx="316">
                  <c:v>-0.48204978506219998</c:v>
                </c:pt>
                <c:pt idx="317">
                  <c:v>-0.48334866170449997</c:v>
                </c:pt>
                <c:pt idx="318">
                  <c:v>-0.48386431676930003</c:v>
                </c:pt>
                <c:pt idx="319">
                  <c:v>-0.48358792155750002</c:v>
                </c:pt>
                <c:pt idx="320">
                  <c:v>-0.48251216728660001</c:v>
                </c:pt>
                <c:pt idx="321">
                  <c:v>-0.4806313102418</c:v>
                </c:pt>
                <c:pt idx="322">
                  <c:v>-0.47794121213399998</c:v>
                </c:pt>
                <c:pt idx="323">
                  <c:v>-0.47443937546029996</c:v>
                </c:pt>
                <c:pt idx="324">
                  <c:v>-0.4701249735493</c:v>
                </c:pt>
                <c:pt idx="325">
                  <c:v>-0.46499887503260001</c:v>
                </c:pt>
                <c:pt idx="326">
                  <c:v>-0.45906366254620001</c:v>
                </c:pt>
                <c:pt idx="327">
                  <c:v>-0.45232364548629994</c:v>
                </c:pt>
                <c:pt idx="328">
                  <c:v>-0.44478486662280003</c:v>
                </c:pt>
                <c:pt idx="329">
                  <c:v>-0.43645510250159997</c:v>
                </c:pt>
                <c:pt idx="330">
                  <c:v>-0.4273438575629</c:v>
                </c:pt>
                <c:pt idx="331">
                  <c:v>-0.41746235189539999</c:v>
                </c:pt>
                <c:pt idx="332">
                  <c:v>-0.40682350266340001</c:v>
                </c:pt>
                <c:pt idx="333">
                  <c:v>-0.3954418992732</c:v>
                </c:pt>
                <c:pt idx="334">
                  <c:v>-0.38333377231330001</c:v>
                </c:pt>
                <c:pt idx="335">
                  <c:v>-0.37051695645299998</c:v>
                </c:pt>
                <c:pt idx="336">
                  <c:v>-0.35701084740479999</c:v>
                </c:pt>
                <c:pt idx="337">
                  <c:v>-0.34283635320779998</c:v>
                </c:pt>
                <c:pt idx="338">
                  <c:v>-0.3280158400671</c:v>
                </c:pt>
                <c:pt idx="339">
                  <c:v>-0.31257307297699999</c:v>
                </c:pt>
                <c:pt idx="340">
                  <c:v>-0.29653315151729998</c:v>
                </c:pt>
                <c:pt idx="341">
                  <c:v>-0.27992244107669995</c:v>
                </c:pt>
                <c:pt idx="342">
                  <c:v>-0.26276849993920004</c:v>
                </c:pt>
                <c:pt idx="343">
                  <c:v>-0.24510000257870002</c:v>
                </c:pt>
                <c:pt idx="344">
                  <c:v>-0.22694665957990001</c:v>
                </c:pt>
                <c:pt idx="345">
                  <c:v>-0.20833913461340001</c:v>
                </c:pt>
                <c:pt idx="346">
                  <c:v>-0.18930895891500002</c:v>
                </c:pt>
                <c:pt idx="347">
                  <c:v>-0.16988844368060002</c:v>
                </c:pt>
                <c:pt idx="348">
                  <c:v>-0.1501105908542</c:v>
                </c:pt>
                <c:pt idx="349">
                  <c:v>-0.13000900276040001</c:v>
                </c:pt>
                <c:pt idx="350">
                  <c:v>-0.10961779101239999</c:v>
                </c:pt>
                <c:pt idx="351">
                  <c:v>-8.8971485145700011E-2</c:v>
                </c:pt>
                <c:pt idx="352">
                  <c:v>-6.8104941430399996E-2</c:v>
                </c:pt>
                <c:pt idx="353">
                  <c:v>-4.7053252241899997E-2</c:v>
                </c:pt>
                <c:pt idx="354">
                  <c:v>-2.5851656425200001E-2</c:v>
                </c:pt>
                <c:pt idx="355">
                  <c:v>-4.5354510292000003E-3</c:v>
                </c:pt>
                <c:pt idx="356">
                  <c:v>1.6860095225600003E-2</c:v>
                </c:pt>
                <c:pt idx="357">
                  <c:v>3.8299826410399994E-2</c:v>
                </c:pt>
                <c:pt idx="358">
                  <c:v>5.97487814578E-2</c:v>
                </c:pt>
                <c:pt idx="359">
                  <c:v>8.117227355550001E-2</c:v>
                </c:pt>
                <c:pt idx="360">
                  <c:v>0.10253596659770001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D-4E0C-AD37-D3D4809A6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469695"/>
        <c:axId val="1057166463"/>
      </c:scatterChart>
      <c:scatterChart>
        <c:scatterStyle val="lineMarker"/>
        <c:varyColors val="0"/>
        <c:ser>
          <c:idx val="1"/>
          <c:order val="1"/>
          <c:tx>
            <c:v>friction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[0]!prop.fw_x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[0]!prop.fw_y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FD-4E0C-AD37-D3D4809A6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595455"/>
        <c:axId val="1570599615"/>
      </c:scatterChart>
      <c:valAx>
        <c:axId val="758469695"/>
        <c:scaling>
          <c:orientation val="minMax"/>
          <c:max val="6.2832000000000008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Position </a:t>
                </a:r>
                <a:r>
                  <a:rPr lang="el-GR">
                    <a:solidFill>
                      <a:schemeClr val="tx1"/>
                    </a:solidFill>
                  </a:rPr>
                  <a:t>θ [</a:t>
                </a:r>
                <a:r>
                  <a:rPr lang="en-GB">
                    <a:solidFill>
                      <a:schemeClr val="tx1"/>
                    </a:solidFill>
                  </a:rPr>
                  <a:t>rad] </a:t>
                </a:r>
              </a:p>
            </c:rich>
          </c:tx>
          <c:layout>
            <c:manualLayout>
              <c:xMode val="edge"/>
              <c:yMode val="edge"/>
              <c:x val="0.45099190726159233"/>
              <c:y val="0.92497666958296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166463"/>
        <c:crosses val="autoZero"/>
        <c:crossBetween val="midCat"/>
      </c:valAx>
      <c:valAx>
        <c:axId val="10571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Tl [Nm]</a:t>
                </a:r>
              </a:p>
            </c:rich>
          </c:tx>
          <c:layout>
            <c:manualLayout>
              <c:xMode val="edge"/>
              <c:yMode val="edge"/>
              <c:x val="1.873613211066821E-2"/>
              <c:y val="0.34306040564373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469695"/>
        <c:crosses val="autoZero"/>
        <c:crossBetween val="midCat"/>
      </c:valAx>
      <c:valAx>
        <c:axId val="15705996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chemeClr val="accent2"/>
                    </a:solidFill>
                  </a:rPr>
                  <a:t>μ</a:t>
                </a:r>
                <a:r>
                  <a:rPr lang="en-GB" baseline="-25000">
                    <a:solidFill>
                      <a:schemeClr val="accent2"/>
                    </a:solidFill>
                  </a:rPr>
                  <a:t>k</a:t>
                </a:r>
                <a:r>
                  <a:rPr lang="en-GB">
                    <a:solidFill>
                      <a:schemeClr val="accent2"/>
                    </a:solidFill>
                  </a:rPr>
                  <a:t> </a:t>
                </a:r>
                <a:r>
                  <a:rPr lang="en-GB" baseline="0">
                    <a:solidFill>
                      <a:schemeClr val="accent2"/>
                    </a:solidFill>
                  </a:rPr>
                  <a:t> </a:t>
                </a:r>
                <a:r>
                  <a:rPr lang="en-GB">
                    <a:solidFill>
                      <a:schemeClr val="accent2"/>
                    </a:solidFill>
                  </a:rPr>
                  <a:t>[Nms/rad]</a:t>
                </a:r>
              </a:p>
            </c:rich>
          </c:tx>
          <c:layout>
            <c:manualLayout>
              <c:xMode val="edge"/>
              <c:yMode val="edge"/>
              <c:x val="0.94384789338988484"/>
              <c:y val="0.3054307760141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95455"/>
        <c:crosses val="max"/>
        <c:crossBetween val="midCat"/>
      </c:valAx>
      <c:valAx>
        <c:axId val="1570595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059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Position</a:t>
            </a:r>
          </a:p>
        </c:rich>
      </c:tx>
      <c:layout>
        <c:manualLayout>
          <c:xMode val="edge"/>
          <c:yMode val="edge"/>
          <c:x val="0.386074652777777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90625"/>
          <c:y val="0.12723132969034609"/>
          <c:w val="0.73147361111111109"/>
          <c:h val="0.68537249544626588"/>
        </c:manualLayout>
      </c:layout>
      <c:scatterChart>
        <c:scatterStyle val="smoothMarker"/>
        <c:varyColors val="0"/>
        <c:ser>
          <c:idx val="1"/>
          <c:order val="0"/>
          <c:tx>
            <c:v>reference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[0]!refpoly.q</c:f>
              <c:numCache>
                <c:formatCode>0.00000</c:formatCode>
                <c:ptCount val="296"/>
                <c:pt idx="0">
                  <c:v>0</c:v>
                </c:pt>
                <c:pt idx="1">
                  <c:v>1.1626374443185483E-6</c:v>
                </c:pt>
                <c:pt idx="2">
                  <c:v>9.2537578164630929E-6</c:v>
                </c:pt>
                <c:pt idx="3">
                  <c:v>3.1072089326400487E-5</c:v>
                </c:pt>
                <c:pt idx="4">
                  <c:v>7.3275688507346004E-5</c:v>
                </c:pt>
                <c:pt idx="5">
                  <c:v>1.4238290703283418E-4</c:v>
                </c:pt>
                <c:pt idx="6">
                  <c:v>2.4477335852846061E-4</c:v>
                </c:pt>
                <c:pt idx="7">
                  <c:v>3.8668888539206137E-4</c:v>
                </c:pt>
                <c:pt idx="8">
                  <c:v>5.7423452560545485E-4</c:v>
                </c:pt>
                <c:pt idx="9">
                  <c:v>8.1337947955217871E-4</c:v>
                </c:pt>
                <c:pt idx="10">
                  <c:v>1.1099580768341166E-3</c:v>
                </c:pt>
                <c:pt idx="11">
                  <c:v>1.4696707430839062E-3</c:v>
                </c:pt>
                <c:pt idx="12">
                  <c:v>1.8980849667833422E-3</c:v>
                </c:pt>
                <c:pt idx="13">
                  <c:v>2.4006362660782266E-3</c:v>
                </c:pt>
                <c:pt idx="14">
                  <c:v>2.9826291555941076E-3</c:v>
                </c:pt>
                <c:pt idx="15">
                  <c:v>3.6492381132509077E-3</c:v>
                </c:pt>
                <c:pt idx="16">
                  <c:v>4.405508547080661E-3</c:v>
                </c:pt>
                <c:pt idx="17">
                  <c:v>5.2563577620403645E-3</c:v>
                </c:pt>
                <c:pt idx="18">
                  <c:v>6.2065759268310483E-3</c:v>
                </c:pt>
                <c:pt idx="19">
                  <c:v>7.2608270407101827E-3</c:v>
                </c:pt>
                <c:pt idx="20">
                  <c:v>8.4236499003091936E-3</c:v>
                </c:pt>
                <c:pt idx="21">
                  <c:v>9.6994590664485347E-3</c:v>
                </c:pt>
                <c:pt idx="22">
                  <c:v>1.1092545830953648E-2</c:v>
                </c:pt>
                <c:pt idx="23">
                  <c:v>1.260707918347026E-2</c:v>
                </c:pt>
                <c:pt idx="24">
                  <c:v>1.4247106778279894E-2</c:v>
                </c:pt>
                <c:pt idx="25">
                  <c:v>1.6016555901116503E-2</c:v>
                </c:pt>
                <c:pt idx="26">
                  <c:v>1.7919234435980425E-2</c:v>
                </c:pt>
                <c:pt idx="27">
                  <c:v>1.9958831831956125E-2</c:v>
                </c:pt>
                <c:pt idx="28">
                  <c:v>2.2138920070025492E-2</c:v>
                </c:pt>
                <c:pt idx="29">
                  <c:v>2.4462954629886013E-2</c:v>
                </c:pt>
                <c:pt idx="30">
                  <c:v>2.6934275456764301E-2</c:v>
                </c:pt>
                <c:pt idx="31">
                  <c:v>2.9556107928232489E-2</c:v>
                </c:pt>
                <c:pt idx="32">
                  <c:v>3.2331563821024867E-2</c:v>
                </c:pt>
                <c:pt idx="33">
                  <c:v>3.5263642277851837E-2</c:v>
                </c:pt>
                <c:pt idx="34">
                  <c:v>3.8355230774216542E-2</c:v>
                </c:pt>
                <c:pt idx="35">
                  <c:v>4.1609106085230385E-2</c:v>
                </c:pt>
                <c:pt idx="36">
                  <c:v>4.5027935252428763E-2</c:v>
                </c:pt>
                <c:pt idx="37">
                  <c:v>4.8614276550586366E-2</c:v>
                </c:pt>
                <c:pt idx="38">
                  <c:v>5.2370580454532689E-2</c:v>
                </c:pt>
                <c:pt idx="39">
                  <c:v>5.6299190605969329E-2</c:v>
                </c:pt>
                <c:pt idx="40">
                  <c:v>6.0402344780282835E-2</c:v>
                </c:pt>
                <c:pt idx="41">
                  <c:v>6.4682175853362667E-2</c:v>
                </c:pt>
                <c:pt idx="42">
                  <c:v>6.9140712768415602E-2</c:v>
                </c:pt>
                <c:pt idx="43">
                  <c:v>7.3779881502782585E-2</c:v>
                </c:pt>
                <c:pt idx="44">
                  <c:v>7.8601506034752688E-2</c:v>
                </c:pt>
                <c:pt idx="45">
                  <c:v>8.3607309310380629E-2</c:v>
                </c:pt>
                <c:pt idx="46">
                  <c:v>8.8798914210300062E-2</c:v>
                </c:pt>
                <c:pt idx="47">
                  <c:v>9.417784451654243E-2</c:v>
                </c:pt>
                <c:pt idx="48">
                  <c:v>9.9745525879349151E-2</c:v>
                </c:pt>
                <c:pt idx="49">
                  <c:v>0.10550328678398979</c:v>
                </c:pt>
                <c:pt idx="50">
                  <c:v>0.11145235951757715</c:v>
                </c:pt>
                <c:pt idx="51">
                  <c:v>0.11759388113588254</c:v>
                </c:pt>
                <c:pt idx="52">
                  <c:v>0.12392889443014998</c:v>
                </c:pt>
                <c:pt idx="53">
                  <c:v>0.13045834889391528</c:v>
                </c:pt>
                <c:pt idx="54">
                  <c:v>0.13718310168981973</c:v>
                </c:pt>
                <c:pt idx="55">
                  <c:v>0.14410391861642413</c:v>
                </c:pt>
                <c:pt idx="56">
                  <c:v>0.15122147507502737</c:v>
                </c:pt>
                <c:pt idx="57">
                  <c:v>0.15853635703648128</c:v>
                </c:pt>
                <c:pt idx="58">
                  <c:v>0.1660490620080044</c:v>
                </c:pt>
                <c:pt idx="59">
                  <c:v>0.17376000000000014</c:v>
                </c:pt>
                <c:pt idx="60">
                  <c:v>0.18166949449287073</c:v>
                </c:pt>
                <c:pt idx="61">
                  <c:v>0.18977778340383433</c:v>
                </c:pt>
                <c:pt idx="62">
                  <c:v>0.19808502005373851</c:v>
                </c:pt>
                <c:pt idx="63">
                  <c:v>0.20659127413387868</c:v>
                </c:pt>
                <c:pt idx="64">
                  <c:v>0.21529653267281113</c:v>
                </c:pt>
                <c:pt idx="65">
                  <c:v>0.22420070100317013</c:v>
                </c:pt>
                <c:pt idx="66">
                  <c:v>0.23330360372848391</c:v>
                </c:pt>
                <c:pt idx="67">
                  <c:v>0.24260498568998856</c:v>
                </c:pt>
                <c:pt idx="68">
                  <c:v>0.2521045129334456</c:v>
                </c:pt>
                <c:pt idx="69">
                  <c:v>0.26180177367595681</c:v>
                </c:pt>
                <c:pt idx="70">
                  <c:v>0.27169627927277951</c:v>
                </c:pt>
                <c:pt idx="71">
                  <c:v>0.28178746518414277</c:v>
                </c:pt>
                <c:pt idx="72">
                  <c:v>0.2920746919420627</c:v>
                </c:pt>
                <c:pt idx="73">
                  <c:v>0.3025572461171584</c:v>
                </c:pt>
                <c:pt idx="74">
                  <c:v>0.31323434128546812</c:v>
                </c:pt>
                <c:pt idx="75">
                  <c:v>0.32410511899526284</c:v>
                </c:pt>
                <c:pt idx="76">
                  <c:v>0.33516864973386484</c:v>
                </c:pt>
                <c:pt idx="77">
                  <c:v>0.34642393389446124</c:v>
                </c:pt>
                <c:pt idx="78">
                  <c:v>0.35786990274291952</c:v>
                </c:pt>
                <c:pt idx="79">
                  <c:v>0.36950541938460546</c:v>
                </c:pt>
                <c:pt idx="80">
                  <c:v>0.38132927973119557</c:v>
                </c:pt>
                <c:pt idx="81">
                  <c:v>0.39334021346749615</c:v>
                </c:pt>
                <c:pt idx="82">
                  <c:v>0.40553688501825569</c:v>
                </c:pt>
                <c:pt idx="83">
                  <c:v>0.41791789451498262</c:v>
                </c:pt>
                <c:pt idx="84">
                  <c:v>0.43048177876276106</c:v>
                </c:pt>
                <c:pt idx="85">
                  <c:v>0.44322701220706451</c:v>
                </c:pt>
                <c:pt idx="86">
                  <c:v>0.45615200790057364</c:v>
                </c:pt>
                <c:pt idx="87">
                  <c:v>0.46925511846999091</c:v>
                </c:pt>
                <c:pt idx="88">
                  <c:v>0.48253463708285582</c:v>
                </c:pt>
                <c:pt idx="89">
                  <c:v>0.49598879841436183</c:v>
                </c:pt>
                <c:pt idx="90">
                  <c:v>0.50961577961417148</c:v>
                </c:pt>
                <c:pt idx="91">
                  <c:v>0.52341370127323095</c:v>
                </c:pt>
                <c:pt idx="92">
                  <c:v>0.5373806283905872</c:v>
                </c:pt>
                <c:pt idx="93">
                  <c:v>0.55151457134020299</c:v>
                </c:pt>
                <c:pt idx="94">
                  <c:v>0.56581348683777233</c:v>
                </c:pt>
                <c:pt idx="95">
                  <c:v>0.58027527890753661</c:v>
                </c:pt>
                <c:pt idx="96">
                  <c:v>0.59489779984909996</c:v>
                </c:pt>
                <c:pt idx="97">
                  <c:v>0.60967885120424492</c:v>
                </c:pt>
                <c:pt idx="98">
                  <c:v>0.62461618472374814</c:v>
                </c:pt>
                <c:pt idx="99">
                  <c:v>0.6397075033341959</c:v>
                </c:pt>
                <c:pt idx="100">
                  <c:v>0.6549504621047999</c:v>
                </c:pt>
                <c:pt idx="101">
                  <c:v>0.67034266921421315</c:v>
                </c:pt>
                <c:pt idx="102">
                  <c:v>0.68588168691734475</c:v>
                </c:pt>
                <c:pt idx="103">
                  <c:v>0.70156503251217672</c:v>
                </c:pt>
                <c:pt idx="104">
                  <c:v>0.71739017930657889</c:v>
                </c:pt>
                <c:pt idx="105">
                  <c:v>0.73335455758512413</c:v>
                </c:pt>
                <c:pt idx="106">
                  <c:v>0.74945555557590582</c:v>
                </c:pt>
                <c:pt idx="107">
                  <c:v>0.76569052041735119</c:v>
                </c:pt>
                <c:pt idx="108">
                  <c:v>0.78205675912503847</c:v>
                </c:pt>
                <c:pt idx="109">
                  <c:v>0.7985515395585121</c:v>
                </c:pt>
                <c:pt idx="110">
                  <c:v>0.81517209138809821</c:v>
                </c:pt>
                <c:pt idx="111">
                  <c:v>0.83191560706172063</c:v>
                </c:pt>
                <c:pt idx="112">
                  <c:v>0.84877924277171612</c:v>
                </c:pt>
                <c:pt idx="113">
                  <c:v>0.86576011942165088</c:v>
                </c:pt>
                <c:pt idx="114">
                  <c:v>0.88285532359313479</c:v>
                </c:pt>
                <c:pt idx="115">
                  <c:v>0.90006190851263823</c:v>
                </c:pt>
                <c:pt idx="116">
                  <c:v>0.91737689501830755</c:v>
                </c:pt>
                <c:pt idx="117">
                  <c:v>0.93479727252677991</c:v>
                </c:pt>
                <c:pt idx="118">
                  <c:v>0.95232000000000017</c:v>
                </c:pt>
                <c:pt idx="119">
                  <c:v>0.96994200691203547</c:v>
                </c:pt>
                <c:pt idx="120">
                  <c:v>0.98766019421589146</c:v>
                </c:pt>
                <c:pt idx="121">
                  <c:v>1.005471435310328</c:v>
                </c:pt>
                <c:pt idx="122">
                  <c:v>1.0233725770066742</c:v>
                </c:pt>
                <c:pt idx="123">
                  <c:v>1.0413604404956449</c:v>
                </c:pt>
                <c:pt idx="124">
                  <c:v>1.0594318223141554</c:v>
                </c:pt>
                <c:pt idx="125">
                  <c:v>1.0775834953121382</c:v>
                </c:pt>
                <c:pt idx="126">
                  <c:v>1.0958122096193574</c:v>
                </c:pt>
                <c:pt idx="127">
                  <c:v>1.1141146936122257</c:v>
                </c:pt>
                <c:pt idx="128">
                  <c:v>1.1324876548806186</c:v>
                </c:pt>
                <c:pt idx="129">
                  <c:v>1.1509277811946914</c:v>
                </c:pt>
                <c:pt idx="130">
                  <c:v>1.1694317414716942</c:v>
                </c:pt>
                <c:pt idx="131">
                  <c:v>1.1879961867427871</c:v>
                </c:pt>
                <c:pt idx="132">
                  <c:v>1.206617751119857</c:v>
                </c:pt>
                <c:pt idx="133">
                  <c:v>1.225293052762332</c:v>
                </c:pt>
                <c:pt idx="134">
                  <c:v>1.244018694843998</c:v>
                </c:pt>
                <c:pt idx="135">
                  <c:v>1.262791266519814</c:v>
                </c:pt>
                <c:pt idx="136">
                  <c:v>1.2816073438927276</c:v>
                </c:pt>
                <c:pt idx="137">
                  <c:v>1.3004634909804909</c:v>
                </c:pt>
                <c:pt idx="138">
                  <c:v>1.3193562606824758</c:v>
                </c:pt>
                <c:pt idx="139">
                  <c:v>1.3382821957464901</c:v>
                </c:pt>
                <c:pt idx="140">
                  <c:v>1.3572378297355931</c:v>
                </c:pt>
                <c:pt idx="141">
                  <c:v>1.3762196879949107</c:v>
                </c:pt>
                <c:pt idx="142">
                  <c:v>1.3952242886184518</c:v>
                </c:pt>
                <c:pt idx="143">
                  <c:v>1.4142481434159231</c:v>
                </c:pt>
                <c:pt idx="144">
                  <c:v>1.4332877588795458</c:v>
                </c:pt>
                <c:pt idx="145">
                  <c:v>1.4523396371508697</c:v>
                </c:pt>
                <c:pt idx="146">
                  <c:v>1.4714002769875918</c:v>
                </c:pt>
                <c:pt idx="147">
                  <c:v>1.490466174730368</c:v>
                </c:pt>
                <c:pt idx="148">
                  <c:v>1.5095338252696318</c:v>
                </c:pt>
                <c:pt idx="149">
                  <c:v>1.5285997230124082</c:v>
                </c:pt>
                <c:pt idx="150">
                  <c:v>1.5476603628491299</c:v>
                </c:pt>
                <c:pt idx="151">
                  <c:v>1.5667122411204548</c:v>
                </c:pt>
                <c:pt idx="152">
                  <c:v>1.5857518565840771</c:v>
                </c:pt>
                <c:pt idx="153">
                  <c:v>1.6047757113815488</c:v>
                </c:pt>
                <c:pt idx="154">
                  <c:v>1.6237803120050895</c:v>
                </c:pt>
                <c:pt idx="155">
                  <c:v>1.6427621702644075</c:v>
                </c:pt>
                <c:pt idx="156">
                  <c:v>1.6617178042535101</c:v>
                </c:pt>
                <c:pt idx="157">
                  <c:v>1.6806437393175249</c:v>
                </c:pt>
                <c:pt idx="158">
                  <c:v>1.6995365090195094</c:v>
                </c:pt>
                <c:pt idx="159">
                  <c:v>1.7183926561072731</c:v>
                </c:pt>
                <c:pt idx="160">
                  <c:v>1.7372087334801862</c:v>
                </c:pt>
                <c:pt idx="161">
                  <c:v>1.7559813051560025</c:v>
                </c:pt>
                <c:pt idx="162">
                  <c:v>1.7747069472376684</c:v>
                </c:pt>
                <c:pt idx="163">
                  <c:v>1.7933822488801436</c:v>
                </c:pt>
                <c:pt idx="164">
                  <c:v>1.8120038132572132</c:v>
                </c:pt>
                <c:pt idx="165">
                  <c:v>1.8305682585283063</c:v>
                </c:pt>
                <c:pt idx="166">
                  <c:v>1.8490722188053088</c:v>
                </c:pt>
                <c:pt idx="167">
                  <c:v>1.867512345119382</c:v>
                </c:pt>
                <c:pt idx="168">
                  <c:v>1.8858853063877747</c:v>
                </c:pt>
                <c:pt idx="169">
                  <c:v>1.9041877903806432</c:v>
                </c:pt>
                <c:pt idx="170">
                  <c:v>1.9224165046878623</c:v>
                </c:pt>
                <c:pt idx="171">
                  <c:v>1.9405681776858452</c:v>
                </c:pt>
                <c:pt idx="172">
                  <c:v>1.9586395595043555</c:v>
                </c:pt>
                <c:pt idx="173">
                  <c:v>1.9766274229933263</c:v>
                </c:pt>
                <c:pt idx="174">
                  <c:v>1.9945285646896729</c:v>
                </c:pt>
                <c:pt idx="175">
                  <c:v>2.0123398057841091</c:v>
                </c:pt>
                <c:pt idx="176">
                  <c:v>2.030057993087965</c:v>
                </c:pt>
                <c:pt idx="177">
                  <c:v>2.0476799999999997</c:v>
                </c:pt>
                <c:pt idx="178">
                  <c:v>2.0652027274732205</c:v>
                </c:pt>
                <c:pt idx="179">
                  <c:v>2.0826231049816926</c:v>
                </c:pt>
                <c:pt idx="180">
                  <c:v>2.099938091487362</c:v>
                </c:pt>
                <c:pt idx="181">
                  <c:v>2.1171446764068653</c:v>
                </c:pt>
                <c:pt idx="182">
                  <c:v>2.1342398805783493</c:v>
                </c:pt>
                <c:pt idx="183">
                  <c:v>2.151220757228284</c:v>
                </c:pt>
                <c:pt idx="184">
                  <c:v>2.1680843929382796</c:v>
                </c:pt>
                <c:pt idx="185">
                  <c:v>2.1848279086119016</c:v>
                </c:pt>
                <c:pt idx="186">
                  <c:v>2.2014484604414881</c:v>
                </c:pt>
                <c:pt idx="187">
                  <c:v>2.2179432408749618</c:v>
                </c:pt>
                <c:pt idx="188">
                  <c:v>2.2343094795826492</c:v>
                </c:pt>
                <c:pt idx="189">
                  <c:v>2.2505444444240941</c:v>
                </c:pt>
                <c:pt idx="190">
                  <c:v>2.2666454424148763</c:v>
                </c:pt>
                <c:pt idx="191">
                  <c:v>2.2826098206934216</c:v>
                </c:pt>
                <c:pt idx="192">
                  <c:v>2.2984349674878239</c:v>
                </c:pt>
                <c:pt idx="193">
                  <c:v>2.3141183130826555</c:v>
                </c:pt>
                <c:pt idx="194">
                  <c:v>2.3296573307857873</c:v>
                </c:pt>
                <c:pt idx="195">
                  <c:v>2.3450495378952003</c:v>
                </c:pt>
                <c:pt idx="196">
                  <c:v>2.3602924966658048</c:v>
                </c:pt>
                <c:pt idx="197">
                  <c:v>2.3753838152762521</c:v>
                </c:pt>
                <c:pt idx="198">
                  <c:v>2.3903211487957554</c:v>
                </c:pt>
                <c:pt idx="199">
                  <c:v>2.4051022001509006</c:v>
                </c:pt>
                <c:pt idx="200">
                  <c:v>2.4197247210924639</c:v>
                </c:pt>
                <c:pt idx="201">
                  <c:v>2.4341865131622278</c:v>
                </c:pt>
                <c:pt idx="202">
                  <c:v>2.4484854286597977</c:v>
                </c:pt>
                <c:pt idx="203">
                  <c:v>2.4626193716094127</c:v>
                </c:pt>
                <c:pt idx="204">
                  <c:v>2.4765862987267697</c:v>
                </c:pt>
                <c:pt idx="205">
                  <c:v>2.4903842203858289</c:v>
                </c:pt>
                <c:pt idx="206">
                  <c:v>2.5040112015856382</c:v>
                </c:pt>
                <c:pt idx="207">
                  <c:v>2.5174653629171448</c:v>
                </c:pt>
                <c:pt idx="208">
                  <c:v>2.5307448815300098</c:v>
                </c:pt>
                <c:pt idx="209">
                  <c:v>2.5438479920994266</c:v>
                </c:pt>
                <c:pt idx="210">
                  <c:v>2.5567729877929355</c:v>
                </c:pt>
                <c:pt idx="211">
                  <c:v>2.5695182212372392</c:v>
                </c:pt>
                <c:pt idx="212">
                  <c:v>2.5820821054850174</c:v>
                </c:pt>
                <c:pt idx="213">
                  <c:v>2.5944631149817443</c:v>
                </c:pt>
                <c:pt idx="214">
                  <c:v>2.6066597865325036</c:v>
                </c:pt>
                <c:pt idx="215">
                  <c:v>2.6186707202688044</c:v>
                </c:pt>
                <c:pt idx="216">
                  <c:v>2.6304945806153945</c:v>
                </c:pt>
                <c:pt idx="217">
                  <c:v>2.6421300972570805</c:v>
                </c:pt>
                <c:pt idx="218">
                  <c:v>2.653576066105539</c:v>
                </c:pt>
                <c:pt idx="219">
                  <c:v>2.6648313502661352</c:v>
                </c:pt>
                <c:pt idx="220">
                  <c:v>2.6758948810047372</c:v>
                </c:pt>
                <c:pt idx="221">
                  <c:v>2.6867656587145321</c:v>
                </c:pt>
                <c:pt idx="222">
                  <c:v>2.6974427538828416</c:v>
                </c:pt>
                <c:pt idx="223">
                  <c:v>2.7079253080579377</c:v>
                </c:pt>
                <c:pt idx="224">
                  <c:v>2.7182125348158577</c:v>
                </c:pt>
                <c:pt idx="225">
                  <c:v>2.7283037207272205</c:v>
                </c:pt>
                <c:pt idx="226">
                  <c:v>2.7381982263240436</c:v>
                </c:pt>
                <c:pt idx="227">
                  <c:v>2.7478954870665548</c:v>
                </c:pt>
                <c:pt idx="228">
                  <c:v>2.7573950143100117</c:v>
                </c:pt>
                <c:pt idx="229">
                  <c:v>2.7666963962715165</c:v>
                </c:pt>
                <c:pt idx="230">
                  <c:v>2.7757992989968301</c:v>
                </c:pt>
                <c:pt idx="231">
                  <c:v>2.7847034673271889</c:v>
                </c:pt>
                <c:pt idx="232">
                  <c:v>2.7934087258661213</c:v>
                </c:pt>
                <c:pt idx="233">
                  <c:v>2.8019149799462619</c:v>
                </c:pt>
                <c:pt idx="234">
                  <c:v>2.8102222165961659</c:v>
                </c:pt>
                <c:pt idx="235">
                  <c:v>2.8183305055071295</c:v>
                </c:pt>
                <c:pt idx="236">
                  <c:v>2.8262400000000003</c:v>
                </c:pt>
                <c:pt idx="237">
                  <c:v>2.8339509379919958</c:v>
                </c:pt>
                <c:pt idx="238">
                  <c:v>2.8414636429635189</c:v>
                </c:pt>
                <c:pt idx="239">
                  <c:v>2.8487785249249726</c:v>
                </c:pt>
                <c:pt idx="240">
                  <c:v>2.8558960813835759</c:v>
                </c:pt>
                <c:pt idx="241">
                  <c:v>2.8628168983101805</c:v>
                </c:pt>
                <c:pt idx="242">
                  <c:v>2.8695416511060845</c:v>
                </c:pt>
                <c:pt idx="243">
                  <c:v>2.8760711055698502</c:v>
                </c:pt>
                <c:pt idx="244">
                  <c:v>2.8824061188641177</c:v>
                </c:pt>
                <c:pt idx="245">
                  <c:v>2.8885476404824226</c:v>
                </c:pt>
                <c:pt idx="246">
                  <c:v>2.89449671321601</c:v>
                </c:pt>
                <c:pt idx="247">
                  <c:v>2.9002544741206506</c:v>
                </c:pt>
                <c:pt idx="248">
                  <c:v>2.9058221554834578</c:v>
                </c:pt>
                <c:pt idx="249">
                  <c:v>2.9112010857896999</c:v>
                </c:pt>
                <c:pt idx="250">
                  <c:v>2.9163926906896194</c:v>
                </c:pt>
                <c:pt idx="251">
                  <c:v>2.9213984939652473</c:v>
                </c:pt>
                <c:pt idx="252">
                  <c:v>2.9262201184972172</c:v>
                </c:pt>
                <c:pt idx="253">
                  <c:v>2.9308592872315842</c:v>
                </c:pt>
                <c:pt idx="254">
                  <c:v>2.9353178241466376</c:v>
                </c:pt>
                <c:pt idx="255">
                  <c:v>2.9395976552197172</c:v>
                </c:pt>
                <c:pt idx="256">
                  <c:v>2.9437008093940307</c:v>
                </c:pt>
                <c:pt idx="257">
                  <c:v>2.9476294195454673</c:v>
                </c:pt>
                <c:pt idx="258">
                  <c:v>2.9513857234494139</c:v>
                </c:pt>
                <c:pt idx="259">
                  <c:v>2.9549720647475715</c:v>
                </c:pt>
                <c:pt idx="260">
                  <c:v>2.9583908939147694</c:v>
                </c:pt>
                <c:pt idx="261">
                  <c:v>2.9616447692257832</c:v>
                </c:pt>
                <c:pt idx="262">
                  <c:v>2.9647363577221482</c:v>
                </c:pt>
                <c:pt idx="263">
                  <c:v>2.9676684361789754</c:v>
                </c:pt>
                <c:pt idx="264">
                  <c:v>2.9704438920717675</c:v>
                </c:pt>
                <c:pt idx="265">
                  <c:v>2.9730657245432361</c:v>
                </c:pt>
                <c:pt idx="266">
                  <c:v>2.9755370453701144</c:v>
                </c:pt>
                <c:pt idx="267">
                  <c:v>2.9778610799299745</c:v>
                </c:pt>
                <c:pt idx="268">
                  <c:v>2.9800411681680439</c:v>
                </c:pt>
                <c:pt idx="269">
                  <c:v>2.9820807655640196</c:v>
                </c:pt>
                <c:pt idx="270">
                  <c:v>2.9839834440988833</c:v>
                </c:pt>
                <c:pt idx="271">
                  <c:v>2.9857528932217203</c:v>
                </c:pt>
                <c:pt idx="272">
                  <c:v>2.98739292081653</c:v>
                </c:pt>
                <c:pt idx="273">
                  <c:v>2.9889074541690461</c:v>
                </c:pt>
                <c:pt idx="274">
                  <c:v>2.9903005409335512</c:v>
                </c:pt>
                <c:pt idx="275">
                  <c:v>2.9915763500996908</c:v>
                </c:pt>
                <c:pt idx="276">
                  <c:v>2.9927391729592898</c:v>
                </c:pt>
                <c:pt idx="277">
                  <c:v>2.9937934240731687</c:v>
                </c:pt>
                <c:pt idx="278">
                  <c:v>2.9947436422379594</c:v>
                </c:pt>
                <c:pt idx="279">
                  <c:v>2.9955944914529198</c:v>
                </c:pt>
                <c:pt idx="280">
                  <c:v>2.9963507618867489</c:v>
                </c:pt>
                <c:pt idx="281">
                  <c:v>2.9970173708444059</c:v>
                </c:pt>
                <c:pt idx="282">
                  <c:v>2.9975993637339218</c:v>
                </c:pt>
                <c:pt idx="283">
                  <c:v>2.9981019150332164</c:v>
                </c:pt>
                <c:pt idx="284">
                  <c:v>2.9985303292569165</c:v>
                </c:pt>
                <c:pt idx="285">
                  <c:v>2.9988900419231657</c:v>
                </c:pt>
                <c:pt idx="286">
                  <c:v>2.9991866205204474</c:v>
                </c:pt>
                <c:pt idx="287">
                  <c:v>2.9994257654743945</c:v>
                </c:pt>
                <c:pt idx="288">
                  <c:v>2.9996133111146079</c:v>
                </c:pt>
                <c:pt idx="289">
                  <c:v>2.9997552266414713</c:v>
                </c:pt>
                <c:pt idx="290">
                  <c:v>2.9998576170929674</c:v>
                </c:pt>
                <c:pt idx="291">
                  <c:v>2.9999267243114929</c:v>
                </c:pt>
                <c:pt idx="292">
                  <c:v>2.9999689279106736</c:v>
                </c:pt>
                <c:pt idx="293">
                  <c:v>2.9999907462421835</c:v>
                </c:pt>
                <c:pt idx="294">
                  <c:v>2.9999988373625555</c:v>
                </c:pt>
                <c:pt idx="295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D8-427D-B7BC-073115F2D8A8}"/>
            </c:ext>
          </c:extLst>
        </c:ser>
        <c:ser>
          <c:idx val="0"/>
          <c:order val="1"/>
          <c:tx>
            <c:v>optimized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[0]!optipoly.q</c:f>
              <c:numCache>
                <c:formatCode>0.00000</c:formatCode>
                <c:ptCount val="296"/>
                <c:pt idx="0">
                  <c:v>0</c:v>
                </c:pt>
                <c:pt idx="1">
                  <c:v>1.1626374445405929E-6</c:v>
                </c:pt>
                <c:pt idx="2">
                  <c:v>9.2537578164630929E-6</c:v>
                </c:pt>
                <c:pt idx="3">
                  <c:v>3.1072089326178443E-5</c:v>
                </c:pt>
                <c:pt idx="4">
                  <c:v>7.3275688507568049E-5</c:v>
                </c:pt>
                <c:pt idx="5">
                  <c:v>1.4238290703283418E-4</c:v>
                </c:pt>
                <c:pt idx="6">
                  <c:v>2.4477335852868265E-4</c:v>
                </c:pt>
                <c:pt idx="7">
                  <c:v>3.8668888539206137E-4</c:v>
                </c:pt>
                <c:pt idx="8">
                  <c:v>5.7423452560545485E-4</c:v>
                </c:pt>
                <c:pt idx="9">
                  <c:v>8.1337947955240075E-4</c:v>
                </c:pt>
                <c:pt idx="10">
                  <c:v>1.1099580768338946E-3</c:v>
                </c:pt>
                <c:pt idx="11">
                  <c:v>1.4696707430839062E-3</c:v>
                </c:pt>
                <c:pt idx="12">
                  <c:v>1.8980849667833422E-3</c:v>
                </c:pt>
                <c:pt idx="13">
                  <c:v>2.4006362660782266E-3</c:v>
                </c:pt>
                <c:pt idx="14">
                  <c:v>2.9826291555941076E-3</c:v>
                </c:pt>
                <c:pt idx="15">
                  <c:v>3.6492381132509077E-3</c:v>
                </c:pt>
                <c:pt idx="16">
                  <c:v>4.405508547080661E-3</c:v>
                </c:pt>
                <c:pt idx="17">
                  <c:v>5.2563577620403645E-3</c:v>
                </c:pt>
                <c:pt idx="18">
                  <c:v>6.2065759268310483E-3</c:v>
                </c:pt>
                <c:pt idx="19">
                  <c:v>7.2608270407101827E-3</c:v>
                </c:pt>
                <c:pt idx="20">
                  <c:v>8.4236499003091936E-3</c:v>
                </c:pt>
                <c:pt idx="21">
                  <c:v>9.6994590664485347E-3</c:v>
                </c:pt>
                <c:pt idx="22">
                  <c:v>1.109254583095387E-2</c:v>
                </c:pt>
                <c:pt idx="23">
                  <c:v>1.260707918347026E-2</c:v>
                </c:pt>
                <c:pt idx="24">
                  <c:v>1.4247106778279894E-2</c:v>
                </c:pt>
                <c:pt idx="25">
                  <c:v>1.6016555901116503E-2</c:v>
                </c:pt>
                <c:pt idx="26">
                  <c:v>1.7919234435980425E-2</c:v>
                </c:pt>
                <c:pt idx="27">
                  <c:v>1.9958831831955903E-2</c:v>
                </c:pt>
                <c:pt idx="28">
                  <c:v>2.2138920070025492E-2</c:v>
                </c:pt>
                <c:pt idx="29">
                  <c:v>2.4462954629886013E-2</c:v>
                </c:pt>
                <c:pt idx="30">
                  <c:v>2.6934275456764079E-2</c:v>
                </c:pt>
                <c:pt idx="31">
                  <c:v>2.9556107928232489E-2</c:v>
                </c:pt>
                <c:pt idx="32">
                  <c:v>3.2331563821024867E-2</c:v>
                </c:pt>
                <c:pt idx="33">
                  <c:v>3.5263642277851837E-2</c:v>
                </c:pt>
                <c:pt idx="34">
                  <c:v>3.8355230774216542E-2</c:v>
                </c:pt>
                <c:pt idx="35">
                  <c:v>4.1609106085230385E-2</c:v>
                </c:pt>
                <c:pt idx="36">
                  <c:v>4.5027935252428763E-2</c:v>
                </c:pt>
                <c:pt idx="37">
                  <c:v>4.8614276550586366E-2</c:v>
                </c:pt>
                <c:pt idx="38">
                  <c:v>5.2370580454532689E-2</c:v>
                </c:pt>
                <c:pt idx="39">
                  <c:v>5.6299190605969329E-2</c:v>
                </c:pt>
                <c:pt idx="40">
                  <c:v>6.0402344780282835E-2</c:v>
                </c:pt>
                <c:pt idx="41">
                  <c:v>6.4682175853362667E-2</c:v>
                </c:pt>
                <c:pt idx="42">
                  <c:v>6.9140712768415602E-2</c:v>
                </c:pt>
                <c:pt idx="43">
                  <c:v>7.3779881502782807E-2</c:v>
                </c:pt>
                <c:pt idx="44">
                  <c:v>7.8601506034752688E-2</c:v>
                </c:pt>
                <c:pt idx="45">
                  <c:v>8.3607309310380629E-2</c:v>
                </c:pt>
                <c:pt idx="46">
                  <c:v>8.8798914210300062E-2</c:v>
                </c:pt>
                <c:pt idx="47">
                  <c:v>9.417784451654243E-2</c:v>
                </c:pt>
                <c:pt idx="48">
                  <c:v>9.9745525879349151E-2</c:v>
                </c:pt>
                <c:pt idx="49">
                  <c:v>0.10550328678399024</c:v>
                </c:pt>
                <c:pt idx="50">
                  <c:v>0.11145235951757715</c:v>
                </c:pt>
                <c:pt idx="51">
                  <c:v>0.11759388113588232</c:v>
                </c:pt>
                <c:pt idx="52">
                  <c:v>0.12392889443014998</c:v>
                </c:pt>
                <c:pt idx="53">
                  <c:v>0.13045834889391572</c:v>
                </c:pt>
                <c:pt idx="54">
                  <c:v>0.13718310168981973</c:v>
                </c:pt>
                <c:pt idx="55">
                  <c:v>0.14410391861642413</c:v>
                </c:pt>
                <c:pt idx="56">
                  <c:v>0.15122147507502737</c:v>
                </c:pt>
                <c:pt idx="57">
                  <c:v>0.15853635703648128</c:v>
                </c:pt>
                <c:pt idx="58">
                  <c:v>0.1660490620080044</c:v>
                </c:pt>
                <c:pt idx="59">
                  <c:v>0.17376000000000014</c:v>
                </c:pt>
                <c:pt idx="60">
                  <c:v>0.18166949449287073</c:v>
                </c:pt>
                <c:pt idx="61">
                  <c:v>0.18977778340383433</c:v>
                </c:pt>
                <c:pt idx="62">
                  <c:v>0.19808502005373851</c:v>
                </c:pt>
                <c:pt idx="63">
                  <c:v>0.20659127413387868</c:v>
                </c:pt>
                <c:pt idx="64">
                  <c:v>0.21529653267281113</c:v>
                </c:pt>
                <c:pt idx="65">
                  <c:v>0.22420070100317013</c:v>
                </c:pt>
                <c:pt idx="66">
                  <c:v>0.23330360372848391</c:v>
                </c:pt>
                <c:pt idx="67">
                  <c:v>0.24260498568998856</c:v>
                </c:pt>
                <c:pt idx="68">
                  <c:v>0.2521045129334456</c:v>
                </c:pt>
                <c:pt idx="69">
                  <c:v>0.26180177367595681</c:v>
                </c:pt>
                <c:pt idx="70">
                  <c:v>0.27169627927277951</c:v>
                </c:pt>
                <c:pt idx="71">
                  <c:v>0.28178746518414277</c:v>
                </c:pt>
                <c:pt idx="72">
                  <c:v>0.2920746919420627</c:v>
                </c:pt>
                <c:pt idx="73">
                  <c:v>0.3025572461171584</c:v>
                </c:pt>
                <c:pt idx="74">
                  <c:v>0.31323434128546812</c:v>
                </c:pt>
                <c:pt idx="75">
                  <c:v>0.32410511899526284</c:v>
                </c:pt>
                <c:pt idx="76">
                  <c:v>0.33516864973386484</c:v>
                </c:pt>
                <c:pt idx="77">
                  <c:v>0.34642393389446124</c:v>
                </c:pt>
                <c:pt idx="78">
                  <c:v>0.35786990274291952</c:v>
                </c:pt>
                <c:pt idx="79">
                  <c:v>0.36950541938460546</c:v>
                </c:pt>
                <c:pt idx="80">
                  <c:v>0.38132927973119557</c:v>
                </c:pt>
                <c:pt idx="81">
                  <c:v>0.39334021346749615</c:v>
                </c:pt>
                <c:pt idx="82">
                  <c:v>0.40553688501825569</c:v>
                </c:pt>
                <c:pt idx="83">
                  <c:v>0.41791789451498262</c:v>
                </c:pt>
                <c:pt idx="84">
                  <c:v>0.43048177876276106</c:v>
                </c:pt>
                <c:pt idx="85">
                  <c:v>0.44322701220706451</c:v>
                </c:pt>
                <c:pt idx="86">
                  <c:v>0.45615200790057364</c:v>
                </c:pt>
                <c:pt idx="87">
                  <c:v>0.46925511846999091</c:v>
                </c:pt>
                <c:pt idx="88">
                  <c:v>0.48253463708285582</c:v>
                </c:pt>
                <c:pt idx="89">
                  <c:v>0.49598879841436183</c:v>
                </c:pt>
                <c:pt idx="90">
                  <c:v>0.50961577961417148</c:v>
                </c:pt>
                <c:pt idx="91">
                  <c:v>0.52341370127323095</c:v>
                </c:pt>
                <c:pt idx="92">
                  <c:v>0.5373806283905872</c:v>
                </c:pt>
                <c:pt idx="93">
                  <c:v>0.55151457134020299</c:v>
                </c:pt>
                <c:pt idx="94">
                  <c:v>0.56581348683777233</c:v>
                </c:pt>
                <c:pt idx="95">
                  <c:v>0.58027527890753661</c:v>
                </c:pt>
                <c:pt idx="96">
                  <c:v>0.59489779984909996</c:v>
                </c:pt>
                <c:pt idx="97">
                  <c:v>0.60967885120424492</c:v>
                </c:pt>
                <c:pt idx="98">
                  <c:v>0.62461618472374814</c:v>
                </c:pt>
                <c:pt idx="99">
                  <c:v>0.6397075033341959</c:v>
                </c:pt>
                <c:pt idx="100">
                  <c:v>0.6549504621047999</c:v>
                </c:pt>
                <c:pt idx="101">
                  <c:v>0.67034266921421315</c:v>
                </c:pt>
                <c:pt idx="102">
                  <c:v>0.68588168691734475</c:v>
                </c:pt>
                <c:pt idx="103">
                  <c:v>0.70156503251217672</c:v>
                </c:pt>
                <c:pt idx="104">
                  <c:v>0.71739017930657889</c:v>
                </c:pt>
                <c:pt idx="105">
                  <c:v>0.73335455758512413</c:v>
                </c:pt>
                <c:pt idx="106">
                  <c:v>0.74945555557590582</c:v>
                </c:pt>
                <c:pt idx="107">
                  <c:v>0.76569052041735119</c:v>
                </c:pt>
                <c:pt idx="108">
                  <c:v>0.78205675912503847</c:v>
                </c:pt>
                <c:pt idx="109">
                  <c:v>0.7985515395585121</c:v>
                </c:pt>
                <c:pt idx="110">
                  <c:v>0.81517209138809821</c:v>
                </c:pt>
                <c:pt idx="111">
                  <c:v>0.83191560706172063</c:v>
                </c:pt>
                <c:pt idx="112">
                  <c:v>0.84877924277171612</c:v>
                </c:pt>
                <c:pt idx="113">
                  <c:v>0.86576011942165088</c:v>
                </c:pt>
                <c:pt idx="114">
                  <c:v>0.88285532359313479</c:v>
                </c:pt>
                <c:pt idx="115">
                  <c:v>0.90006190851263823</c:v>
                </c:pt>
                <c:pt idx="116">
                  <c:v>0.91737689501830755</c:v>
                </c:pt>
                <c:pt idx="117">
                  <c:v>0.93479727252677991</c:v>
                </c:pt>
                <c:pt idx="118">
                  <c:v>0.95232000000000017</c:v>
                </c:pt>
                <c:pt idx="119">
                  <c:v>0.96994200691203547</c:v>
                </c:pt>
                <c:pt idx="120">
                  <c:v>0.98766019421589146</c:v>
                </c:pt>
                <c:pt idx="121">
                  <c:v>1.005471435310328</c:v>
                </c:pt>
                <c:pt idx="122">
                  <c:v>1.0233725770066742</c:v>
                </c:pt>
                <c:pt idx="123">
                  <c:v>1.0413604404956449</c:v>
                </c:pt>
                <c:pt idx="124">
                  <c:v>1.0594318223141554</c:v>
                </c:pt>
                <c:pt idx="125">
                  <c:v>1.0775834953121382</c:v>
                </c:pt>
                <c:pt idx="126">
                  <c:v>1.0958122096193574</c:v>
                </c:pt>
                <c:pt idx="127">
                  <c:v>1.1141146936122257</c:v>
                </c:pt>
                <c:pt idx="128">
                  <c:v>1.1324876548806186</c:v>
                </c:pt>
                <c:pt idx="129">
                  <c:v>1.1509277811946914</c:v>
                </c:pt>
                <c:pt idx="130">
                  <c:v>1.1694317414716942</c:v>
                </c:pt>
                <c:pt idx="131">
                  <c:v>1.1879961867427871</c:v>
                </c:pt>
                <c:pt idx="132">
                  <c:v>1.206617751119857</c:v>
                </c:pt>
                <c:pt idx="133">
                  <c:v>1.225293052762332</c:v>
                </c:pt>
                <c:pt idx="134">
                  <c:v>1.244018694843998</c:v>
                </c:pt>
                <c:pt idx="135">
                  <c:v>1.262791266519814</c:v>
                </c:pt>
                <c:pt idx="136">
                  <c:v>1.2816073438927276</c:v>
                </c:pt>
                <c:pt idx="137">
                  <c:v>1.3004634909804909</c:v>
                </c:pt>
                <c:pt idx="138">
                  <c:v>1.3193562606824758</c:v>
                </c:pt>
                <c:pt idx="139">
                  <c:v>1.3382821957464901</c:v>
                </c:pt>
                <c:pt idx="140">
                  <c:v>1.3572378297355931</c:v>
                </c:pt>
                <c:pt idx="141">
                  <c:v>1.3762196879949107</c:v>
                </c:pt>
                <c:pt idx="142">
                  <c:v>1.3952242886184518</c:v>
                </c:pt>
                <c:pt idx="143">
                  <c:v>1.4142481434159231</c:v>
                </c:pt>
                <c:pt idx="144">
                  <c:v>1.4332877588795458</c:v>
                </c:pt>
                <c:pt idx="145">
                  <c:v>1.4523396371508697</c:v>
                </c:pt>
                <c:pt idx="146">
                  <c:v>1.4714002769875918</c:v>
                </c:pt>
                <c:pt idx="147">
                  <c:v>1.490466174730368</c:v>
                </c:pt>
                <c:pt idx="148">
                  <c:v>1.5095338252696318</c:v>
                </c:pt>
                <c:pt idx="149">
                  <c:v>1.5285997230124082</c:v>
                </c:pt>
                <c:pt idx="150">
                  <c:v>1.5476603628491299</c:v>
                </c:pt>
                <c:pt idx="151">
                  <c:v>1.5667122411204548</c:v>
                </c:pt>
                <c:pt idx="152">
                  <c:v>1.5857518565840771</c:v>
                </c:pt>
                <c:pt idx="153">
                  <c:v>1.6047757113815488</c:v>
                </c:pt>
                <c:pt idx="154">
                  <c:v>1.6237803120050895</c:v>
                </c:pt>
                <c:pt idx="155">
                  <c:v>1.6427621702644075</c:v>
                </c:pt>
                <c:pt idx="156">
                  <c:v>1.6617178042535101</c:v>
                </c:pt>
                <c:pt idx="157">
                  <c:v>1.6806437393175249</c:v>
                </c:pt>
                <c:pt idx="158">
                  <c:v>1.6995365090195094</c:v>
                </c:pt>
                <c:pt idx="159">
                  <c:v>1.7183926561072731</c:v>
                </c:pt>
                <c:pt idx="160">
                  <c:v>1.7372087334801862</c:v>
                </c:pt>
                <c:pt idx="161">
                  <c:v>1.7559813051560025</c:v>
                </c:pt>
                <c:pt idx="162">
                  <c:v>1.7747069472376684</c:v>
                </c:pt>
                <c:pt idx="163">
                  <c:v>1.7933822488801436</c:v>
                </c:pt>
                <c:pt idx="164">
                  <c:v>1.8120038132572132</c:v>
                </c:pt>
                <c:pt idx="165">
                  <c:v>1.8305682585283063</c:v>
                </c:pt>
                <c:pt idx="166">
                  <c:v>1.8490722188053088</c:v>
                </c:pt>
                <c:pt idx="167">
                  <c:v>1.867512345119382</c:v>
                </c:pt>
                <c:pt idx="168">
                  <c:v>1.8858853063877747</c:v>
                </c:pt>
                <c:pt idx="169">
                  <c:v>1.9041877903806432</c:v>
                </c:pt>
                <c:pt idx="170">
                  <c:v>1.9224165046878623</c:v>
                </c:pt>
                <c:pt idx="171">
                  <c:v>1.9405681776858452</c:v>
                </c:pt>
                <c:pt idx="172">
                  <c:v>1.9586395595043555</c:v>
                </c:pt>
                <c:pt idx="173">
                  <c:v>1.9766274229933263</c:v>
                </c:pt>
                <c:pt idx="174">
                  <c:v>1.9945285646896729</c:v>
                </c:pt>
                <c:pt idx="175">
                  <c:v>2.0123398057841091</c:v>
                </c:pt>
                <c:pt idx="176">
                  <c:v>2.030057993087965</c:v>
                </c:pt>
                <c:pt idx="177">
                  <c:v>2.0476799999999997</c:v>
                </c:pt>
                <c:pt idx="178">
                  <c:v>2.0652027274732205</c:v>
                </c:pt>
                <c:pt idx="179">
                  <c:v>2.0826231049816926</c:v>
                </c:pt>
                <c:pt idx="180">
                  <c:v>2.099938091487362</c:v>
                </c:pt>
                <c:pt idx="181">
                  <c:v>2.1171446764068653</c:v>
                </c:pt>
                <c:pt idx="182">
                  <c:v>2.1342398805783493</c:v>
                </c:pt>
                <c:pt idx="183">
                  <c:v>2.151220757228284</c:v>
                </c:pt>
                <c:pt idx="184">
                  <c:v>2.1680843929382796</c:v>
                </c:pt>
                <c:pt idx="185">
                  <c:v>2.1848279086119016</c:v>
                </c:pt>
                <c:pt idx="186">
                  <c:v>2.2014484604414881</c:v>
                </c:pt>
                <c:pt idx="187">
                  <c:v>2.2179432408749618</c:v>
                </c:pt>
                <c:pt idx="188">
                  <c:v>2.2343094795826492</c:v>
                </c:pt>
                <c:pt idx="189">
                  <c:v>2.2505444444240941</c:v>
                </c:pt>
                <c:pt idx="190">
                  <c:v>2.2666454424148763</c:v>
                </c:pt>
                <c:pt idx="191">
                  <c:v>2.2826098206934216</c:v>
                </c:pt>
                <c:pt idx="192">
                  <c:v>2.2984349674878239</c:v>
                </c:pt>
                <c:pt idx="193">
                  <c:v>2.3141183130826555</c:v>
                </c:pt>
                <c:pt idx="194">
                  <c:v>2.3296573307857873</c:v>
                </c:pt>
                <c:pt idx="195">
                  <c:v>2.3450495378952003</c:v>
                </c:pt>
                <c:pt idx="196">
                  <c:v>2.3602924966658048</c:v>
                </c:pt>
                <c:pt idx="197">
                  <c:v>2.3753838152762521</c:v>
                </c:pt>
                <c:pt idx="198">
                  <c:v>2.3903211487957554</c:v>
                </c:pt>
                <c:pt idx="199">
                  <c:v>2.4051022001509006</c:v>
                </c:pt>
                <c:pt idx="200">
                  <c:v>2.4197247210924639</c:v>
                </c:pt>
                <c:pt idx="201">
                  <c:v>2.4341865131622278</c:v>
                </c:pt>
                <c:pt idx="202">
                  <c:v>2.4484854286597977</c:v>
                </c:pt>
                <c:pt idx="203">
                  <c:v>2.4626193716094127</c:v>
                </c:pt>
                <c:pt idx="204">
                  <c:v>2.4765862987267697</c:v>
                </c:pt>
                <c:pt idx="205">
                  <c:v>2.4903842203858289</c:v>
                </c:pt>
                <c:pt idx="206">
                  <c:v>2.5040112015856382</c:v>
                </c:pt>
                <c:pt idx="207">
                  <c:v>2.5174653629171448</c:v>
                </c:pt>
                <c:pt idx="208">
                  <c:v>2.5307448815300098</c:v>
                </c:pt>
                <c:pt idx="209">
                  <c:v>2.5438479920994266</c:v>
                </c:pt>
                <c:pt idx="210">
                  <c:v>2.5567729877929355</c:v>
                </c:pt>
                <c:pt idx="211">
                  <c:v>2.5695182212372392</c:v>
                </c:pt>
                <c:pt idx="212">
                  <c:v>2.5820821054850174</c:v>
                </c:pt>
                <c:pt idx="213">
                  <c:v>2.5944631149817443</c:v>
                </c:pt>
                <c:pt idx="214">
                  <c:v>2.6066597865325036</c:v>
                </c:pt>
                <c:pt idx="215">
                  <c:v>2.6186707202688044</c:v>
                </c:pt>
                <c:pt idx="216">
                  <c:v>2.6304945806153945</c:v>
                </c:pt>
                <c:pt idx="217">
                  <c:v>2.6421300972570805</c:v>
                </c:pt>
                <c:pt idx="218">
                  <c:v>2.653576066105539</c:v>
                </c:pt>
                <c:pt idx="219">
                  <c:v>2.6648313502661352</c:v>
                </c:pt>
                <c:pt idx="220">
                  <c:v>2.6758948810047372</c:v>
                </c:pt>
                <c:pt idx="221">
                  <c:v>2.6867656587145321</c:v>
                </c:pt>
                <c:pt idx="222">
                  <c:v>2.6974427538828416</c:v>
                </c:pt>
                <c:pt idx="223">
                  <c:v>2.7079253080579377</c:v>
                </c:pt>
                <c:pt idx="224">
                  <c:v>2.7182125348158577</c:v>
                </c:pt>
                <c:pt idx="225">
                  <c:v>2.7283037207272205</c:v>
                </c:pt>
                <c:pt idx="226">
                  <c:v>2.7381982263240436</c:v>
                </c:pt>
                <c:pt idx="227">
                  <c:v>2.7478954870665548</c:v>
                </c:pt>
                <c:pt idx="228">
                  <c:v>2.7573950143100117</c:v>
                </c:pt>
                <c:pt idx="229">
                  <c:v>2.7666963962715165</c:v>
                </c:pt>
                <c:pt idx="230">
                  <c:v>2.7757992989968301</c:v>
                </c:pt>
                <c:pt idx="231">
                  <c:v>2.7847034673271889</c:v>
                </c:pt>
                <c:pt idx="232">
                  <c:v>2.7934087258661213</c:v>
                </c:pt>
                <c:pt idx="233">
                  <c:v>2.8019149799462619</c:v>
                </c:pt>
                <c:pt idx="234">
                  <c:v>2.8102222165961659</c:v>
                </c:pt>
                <c:pt idx="235">
                  <c:v>2.8183305055071295</c:v>
                </c:pt>
                <c:pt idx="236">
                  <c:v>2.8262400000000003</c:v>
                </c:pt>
                <c:pt idx="237">
                  <c:v>2.8339509379919958</c:v>
                </c:pt>
                <c:pt idx="238">
                  <c:v>2.8414636429635189</c:v>
                </c:pt>
                <c:pt idx="239">
                  <c:v>2.8487785249249726</c:v>
                </c:pt>
                <c:pt idx="240">
                  <c:v>2.8558960813835759</c:v>
                </c:pt>
                <c:pt idx="241">
                  <c:v>2.8628168983101805</c:v>
                </c:pt>
                <c:pt idx="242">
                  <c:v>2.8695416511060845</c:v>
                </c:pt>
                <c:pt idx="243">
                  <c:v>2.8760711055698502</c:v>
                </c:pt>
                <c:pt idx="244">
                  <c:v>2.8824061188641177</c:v>
                </c:pt>
                <c:pt idx="245">
                  <c:v>2.8885476404824226</c:v>
                </c:pt>
                <c:pt idx="246">
                  <c:v>2.89449671321601</c:v>
                </c:pt>
                <c:pt idx="247">
                  <c:v>2.9002544741206506</c:v>
                </c:pt>
                <c:pt idx="248">
                  <c:v>2.9058221554834578</c:v>
                </c:pt>
                <c:pt idx="249">
                  <c:v>2.9112010857896999</c:v>
                </c:pt>
                <c:pt idx="250">
                  <c:v>2.9163926906896194</c:v>
                </c:pt>
                <c:pt idx="251">
                  <c:v>2.9213984939652473</c:v>
                </c:pt>
                <c:pt idx="252">
                  <c:v>2.9262201184972172</c:v>
                </c:pt>
                <c:pt idx="253">
                  <c:v>2.9308592872315842</c:v>
                </c:pt>
                <c:pt idx="254">
                  <c:v>2.9353178241466376</c:v>
                </c:pt>
                <c:pt idx="255">
                  <c:v>2.9395976552197172</c:v>
                </c:pt>
                <c:pt idx="256">
                  <c:v>2.9437008093940307</c:v>
                </c:pt>
                <c:pt idx="257">
                  <c:v>2.9476294195454673</c:v>
                </c:pt>
                <c:pt idx="258">
                  <c:v>2.9513857234494139</c:v>
                </c:pt>
                <c:pt idx="259">
                  <c:v>2.9549720647475715</c:v>
                </c:pt>
                <c:pt idx="260">
                  <c:v>2.9583908939147694</c:v>
                </c:pt>
                <c:pt idx="261">
                  <c:v>2.9616447692257832</c:v>
                </c:pt>
                <c:pt idx="262">
                  <c:v>2.9647363577221482</c:v>
                </c:pt>
                <c:pt idx="263">
                  <c:v>2.9676684361789754</c:v>
                </c:pt>
                <c:pt idx="264">
                  <c:v>2.9704438920717675</c:v>
                </c:pt>
                <c:pt idx="265">
                  <c:v>2.9730657245432361</c:v>
                </c:pt>
                <c:pt idx="266">
                  <c:v>2.9755370453701144</c:v>
                </c:pt>
                <c:pt idx="267">
                  <c:v>2.9778610799299745</c:v>
                </c:pt>
                <c:pt idx="268">
                  <c:v>2.9800411681680439</c:v>
                </c:pt>
                <c:pt idx="269">
                  <c:v>2.9820807655640196</c:v>
                </c:pt>
                <c:pt idx="270">
                  <c:v>2.9839834440988837</c:v>
                </c:pt>
                <c:pt idx="271">
                  <c:v>2.9857528932217199</c:v>
                </c:pt>
                <c:pt idx="272">
                  <c:v>2.98739292081653</c:v>
                </c:pt>
                <c:pt idx="273">
                  <c:v>2.9889074541690461</c:v>
                </c:pt>
                <c:pt idx="274">
                  <c:v>2.9903005409335517</c:v>
                </c:pt>
                <c:pt idx="275">
                  <c:v>2.9915763500996908</c:v>
                </c:pt>
                <c:pt idx="276">
                  <c:v>2.9927391729592898</c:v>
                </c:pt>
                <c:pt idx="277">
                  <c:v>2.9937934240731687</c:v>
                </c:pt>
                <c:pt idx="278">
                  <c:v>2.9947436422379594</c:v>
                </c:pt>
                <c:pt idx="279">
                  <c:v>2.9955944914529198</c:v>
                </c:pt>
                <c:pt idx="280">
                  <c:v>2.9963507618867489</c:v>
                </c:pt>
                <c:pt idx="281">
                  <c:v>2.9970173708444059</c:v>
                </c:pt>
                <c:pt idx="282">
                  <c:v>2.9975993637339218</c:v>
                </c:pt>
                <c:pt idx="283">
                  <c:v>2.9981019150332169</c:v>
                </c:pt>
                <c:pt idx="284">
                  <c:v>2.9985303292569165</c:v>
                </c:pt>
                <c:pt idx="285">
                  <c:v>2.9988900419231657</c:v>
                </c:pt>
                <c:pt idx="286">
                  <c:v>2.9991866205204474</c:v>
                </c:pt>
                <c:pt idx="287">
                  <c:v>2.9994257654743945</c:v>
                </c:pt>
                <c:pt idx="288">
                  <c:v>2.9996133111146079</c:v>
                </c:pt>
                <c:pt idx="289">
                  <c:v>2.9997552266414713</c:v>
                </c:pt>
                <c:pt idx="290">
                  <c:v>2.9998576170929674</c:v>
                </c:pt>
                <c:pt idx="291">
                  <c:v>2.9999267243114924</c:v>
                </c:pt>
                <c:pt idx="292">
                  <c:v>2.9999689279106736</c:v>
                </c:pt>
                <c:pt idx="293">
                  <c:v>2.9999907462421835</c:v>
                </c:pt>
                <c:pt idx="294">
                  <c:v>2.9999988373625555</c:v>
                </c:pt>
                <c:pt idx="295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E4-4215-8F86-A5BD2BA1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62767"/>
        <c:axId val="1570608351"/>
      </c:scatterChart>
      <c:valAx>
        <c:axId val="10693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[s] </a:t>
                </a:r>
              </a:p>
            </c:rich>
          </c:tx>
          <c:layout>
            <c:manualLayout>
              <c:xMode val="edge"/>
              <c:yMode val="edge"/>
              <c:x val="0.47130208333333334"/>
              <c:y val="0.90049908925318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351"/>
        <c:crosses val="autoZero"/>
        <c:crossBetween val="midCat"/>
      </c:valAx>
      <c:valAx>
        <c:axId val="15706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0"/>
                  <a:t>θ [</a:t>
                </a:r>
                <a:r>
                  <a:rPr lang="en-GB" b="0"/>
                  <a:t>rad]</a:t>
                </a:r>
              </a:p>
            </c:rich>
          </c:tx>
          <c:layout>
            <c:manualLayout>
              <c:xMode val="edge"/>
              <c:yMode val="edge"/>
              <c:x val="7.131994014766844E-3"/>
              <c:y val="0.3721496158890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627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legend>
      <c:legendPos val="l"/>
      <c:layout>
        <c:manualLayout>
          <c:xMode val="edge"/>
          <c:yMode val="edge"/>
          <c:x val="0.18691588785046728"/>
          <c:y val="0.13398492974454079"/>
          <c:w val="0.39740476365687927"/>
          <c:h val="0.151206982699394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</a:p>
        </c:rich>
      </c:tx>
      <c:layout>
        <c:manualLayout>
          <c:xMode val="edge"/>
          <c:yMode val="edge"/>
          <c:x val="0.4226642361111110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49652777777779"/>
          <c:y val="0.12723132969034609"/>
          <c:w val="0.73588333333333333"/>
          <c:h val="0.68537249544626588"/>
        </c:manualLayout>
      </c:layout>
      <c:scatterChart>
        <c:scatterStyle val="smoothMarker"/>
        <c:varyColors val="0"/>
        <c:ser>
          <c:idx val="1"/>
          <c:order val="0"/>
          <c:tx>
            <c:v>reference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[0]!refpoly.qd1</c:f>
              <c:numCache>
                <c:formatCode>0.00000</c:formatCode>
                <c:ptCount val="296"/>
                <c:pt idx="0">
                  <c:v>0</c:v>
                </c:pt>
                <c:pt idx="1">
                  <c:v>1.392794623700459E-2</c:v>
                </c:pt>
                <c:pt idx="2">
                  <c:v>5.53334377574363E-2</c:v>
                </c:pt>
                <c:pt idx="3">
                  <c:v>0.12365185422240671</c:v>
                </c:pt>
                <c:pt idx="4">
                  <c:v>0.21832244255555716</c:v>
                </c:pt>
                <c:pt idx="5">
                  <c:v>0.33878831694319134</c:v>
                </c:pt>
                <c:pt idx="6">
                  <c:v>0.48449645883417874</c:v>
                </c:pt>
                <c:pt idx="7">
                  <c:v>0.65489771693996701</c:v>
                </c:pt>
                <c:pt idx="8">
                  <c:v>0.84944680723461763</c:v>
                </c:pt>
                <c:pt idx="9">
                  <c:v>1.0676023129548184</c:v>
                </c:pt>
                <c:pt idx="10">
                  <c:v>1.3088266845997991</c:v>
                </c:pt>
                <c:pt idx="11">
                  <c:v>1.5725862399314035</c:v>
                </c:pt>
                <c:pt idx="12">
                  <c:v>1.8583511639740649</c:v>
                </c:pt>
                <c:pt idx="13">
                  <c:v>2.1655955090148673</c:v>
                </c:pt>
                <c:pt idx="14">
                  <c:v>2.4937971946034008</c:v>
                </c:pt>
                <c:pt idx="15">
                  <c:v>2.8424380075518934</c:v>
                </c:pt>
                <c:pt idx="16">
                  <c:v>3.21100360193521</c:v>
                </c:pt>
                <c:pt idx="17">
                  <c:v>3.5989834990907235</c:v>
                </c:pt>
                <c:pt idx="18">
                  <c:v>4.0058710876184671</c:v>
                </c:pt>
                <c:pt idx="19">
                  <c:v>4.4311636233810416</c:v>
                </c:pt>
                <c:pt idx="20">
                  <c:v>4.874362229503685</c:v>
                </c:pt>
                <c:pt idx="21">
                  <c:v>5.3349718963741637</c:v>
                </c:pt>
                <c:pt idx="22">
                  <c:v>5.8125014816428857</c:v>
                </c:pt>
                <c:pt idx="23">
                  <c:v>6.3064637102228343</c:v>
                </c:pt>
                <c:pt idx="24">
                  <c:v>6.8163751742896075</c:v>
                </c:pt>
                <c:pt idx="25">
                  <c:v>7.3417563332813822</c:v>
                </c:pt>
                <c:pt idx="26">
                  <c:v>7.8821315138989361</c:v>
                </c:pt>
                <c:pt idx="27">
                  <c:v>8.4370289101056244</c:v>
                </c:pt>
                <c:pt idx="28">
                  <c:v>9.0059805831274424</c:v>
                </c:pt>
                <c:pt idx="29">
                  <c:v>9.5885224614529516</c:v>
                </c:pt>
                <c:pt idx="30">
                  <c:v>10.184194340833276</c:v>
                </c:pt>
                <c:pt idx="31">
                  <c:v>10.792539884282217</c:v>
                </c:pt>
                <c:pt idx="32">
                  <c:v>11.41310662207608</c:v>
                </c:pt>
                <c:pt idx="33">
                  <c:v>12.045445951753836</c:v>
                </c:pt>
                <c:pt idx="34">
                  <c:v>12.689113138117028</c:v>
                </c:pt>
                <c:pt idx="35">
                  <c:v>13.34366731322976</c:v>
                </c:pt>
                <c:pt idx="36">
                  <c:v>14.008671476418792</c:v>
                </c:pt>
                <c:pt idx="37">
                  <c:v>14.683692494273441</c:v>
                </c:pt>
                <c:pt idx="38">
                  <c:v>15.368301100645613</c:v>
                </c:pt>
                <c:pt idx="39">
                  <c:v>16.062071896649854</c:v>
                </c:pt>
                <c:pt idx="40">
                  <c:v>16.764583350663251</c:v>
                </c:pt>
                <c:pt idx="41">
                  <c:v>17.475417798325541</c:v>
                </c:pt>
                <c:pt idx="42">
                  <c:v>18.194161442538963</c:v>
                </c:pt>
                <c:pt idx="43">
                  <c:v>18.920404353468495</c:v>
                </c:pt>
                <c:pt idx="44">
                  <c:v>19.65374046854155</c:v>
                </c:pt>
                <c:pt idx="45">
                  <c:v>20.393767592448285</c:v>
                </c:pt>
                <c:pt idx="46">
                  <c:v>21.140087397141325</c:v>
                </c:pt>
                <c:pt idx="47">
                  <c:v>21.892305421836006</c:v>
                </c:pt>
                <c:pt idx="48">
                  <c:v>22.650031073010155</c:v>
                </c:pt>
                <c:pt idx="49">
                  <c:v>23.41287762440427</c:v>
                </c:pt>
                <c:pt idx="50">
                  <c:v>24.180462217021393</c:v>
                </c:pt>
                <c:pt idx="51">
                  <c:v>24.952405859127204</c:v>
                </c:pt>
                <c:pt idx="52">
                  <c:v>25.728333426249939</c:v>
                </c:pt>
                <c:pt idx="53">
                  <c:v>26.507873661180454</c:v>
                </c:pt>
                <c:pt idx="54">
                  <c:v>27.290659173972205</c:v>
                </c:pt>
                <c:pt idx="55">
                  <c:v>28.07632644194123</c:v>
                </c:pt>
                <c:pt idx="56">
                  <c:v>28.864515809666166</c:v>
                </c:pt>
                <c:pt idx="57">
                  <c:v>29.654871488988235</c:v>
                </c:pt>
                <c:pt idx="58">
                  <c:v>30.447041559011272</c:v>
                </c:pt>
                <c:pt idx="59">
                  <c:v>31.2406779661017</c:v>
                </c:pt>
                <c:pt idx="60">
                  <c:v>32.035436523888535</c:v>
                </c:pt>
                <c:pt idx="61">
                  <c:v>32.830976913263378</c:v>
                </c:pt>
                <c:pt idx="62">
                  <c:v>33.626962682380451</c:v>
                </c:pt>
                <c:pt idx="63">
                  <c:v>34.423061246656552</c:v>
                </c:pt>
                <c:pt idx="64">
                  <c:v>35.218943888771086</c:v>
                </c:pt>
                <c:pt idx="65">
                  <c:v>36.014285758666041</c:v>
                </c:pt>
                <c:pt idx="66">
                  <c:v>36.808765873546008</c:v>
                </c:pt>
                <c:pt idx="67">
                  <c:v>37.602067117878178</c:v>
                </c:pt>
                <c:pt idx="68">
                  <c:v>38.393876243392327</c:v>
                </c:pt>
                <c:pt idx="69">
                  <c:v>39.183883869080809</c:v>
                </c:pt>
                <c:pt idx="70">
                  <c:v>39.971784481198625</c:v>
                </c:pt>
                <c:pt idx="71">
                  <c:v>40.757276433263335</c:v>
                </c:pt>
                <c:pt idx="72">
                  <c:v>41.540061946055083</c:v>
                </c:pt>
                <c:pt idx="73">
                  <c:v>42.319847107616638</c:v>
                </c:pt>
                <c:pt idx="74">
                  <c:v>43.096341873253351</c:v>
                </c:pt>
                <c:pt idx="75">
                  <c:v>43.869260065533176</c:v>
                </c:pt>
                <c:pt idx="76">
                  <c:v>44.638319374286645</c:v>
                </c:pt>
                <c:pt idx="77">
                  <c:v>45.403241356606905</c:v>
                </c:pt>
                <c:pt idx="78">
                  <c:v>46.16375143684968</c:v>
                </c:pt>
                <c:pt idx="79">
                  <c:v>46.919578906633305</c:v>
                </c:pt>
                <c:pt idx="80">
                  <c:v>47.670456924838696</c:v>
                </c:pt>
                <c:pt idx="81">
                  <c:v>48.416122517609381</c:v>
                </c:pt>
                <c:pt idx="82">
                  <c:v>49.156316578351465</c:v>
                </c:pt>
                <c:pt idx="83">
                  <c:v>49.890783867733667</c:v>
                </c:pt>
                <c:pt idx="84">
                  <c:v>50.619273013687284</c:v>
                </c:pt>
                <c:pt idx="85">
                  <c:v>51.341536511406233</c:v>
                </c:pt>
                <c:pt idx="86">
                  <c:v>52.057330723346986</c:v>
                </c:pt>
                <c:pt idx="87">
                  <c:v>52.766415879228653</c:v>
                </c:pt>
                <c:pt idx="88">
                  <c:v>53.468556076032897</c:v>
                </c:pt>
                <c:pt idx="89">
                  <c:v>54.16351927800401</c:v>
                </c:pt>
                <c:pt idx="90">
                  <c:v>54.851077316648883</c:v>
                </c:pt>
                <c:pt idx="91">
                  <c:v>55.531005890736978</c:v>
                </c:pt>
                <c:pt idx="92">
                  <c:v>56.203084566300362</c:v>
                </c:pt>
                <c:pt idx="93">
                  <c:v>56.867096776633694</c:v>
                </c:pt>
                <c:pt idx="94">
                  <c:v>57.522829822294241</c:v>
                </c:pt>
                <c:pt idx="95">
                  <c:v>58.170074871101853</c:v>
                </c:pt>
                <c:pt idx="96">
                  <c:v>58.808626958138973</c:v>
                </c:pt>
                <c:pt idx="97">
                  <c:v>59.438284985750656</c:v>
                </c:pt>
                <c:pt idx="98">
                  <c:v>60.058851723544514</c:v>
                </c:pt>
                <c:pt idx="99">
                  <c:v>60.670133808390823</c:v>
                </c:pt>
                <c:pt idx="100">
                  <c:v>61.271941744422378</c:v>
                </c:pt>
                <c:pt idx="101">
                  <c:v>61.864089903034625</c:v>
                </c:pt>
                <c:pt idx="102">
                  <c:v>62.446396522885578</c:v>
                </c:pt>
                <c:pt idx="103">
                  <c:v>63.018683709895846</c:v>
                </c:pt>
                <c:pt idx="104">
                  <c:v>63.580777437248656</c:v>
                </c:pt>
                <c:pt idx="105">
                  <c:v>64.132507545389785</c:v>
                </c:pt>
                <c:pt idx="106">
                  <c:v>64.673707742027673</c:v>
                </c:pt>
                <c:pt idx="107">
                  <c:v>65.204215602133289</c:v>
                </c:pt>
                <c:pt idx="108">
                  <c:v>65.723872567940234</c:v>
                </c:pt>
                <c:pt idx="109">
                  <c:v>66.232523948944703</c:v>
                </c:pt>
                <c:pt idx="110">
                  <c:v>66.730018921905469</c:v>
                </c:pt>
                <c:pt idx="111">
                  <c:v>67.21621053084391</c:v>
                </c:pt>
                <c:pt idx="112">
                  <c:v>67.69095568704401</c:v>
                </c:pt>
                <c:pt idx="113">
                  <c:v>68.154115169052332</c:v>
                </c:pt>
                <c:pt idx="114">
                  <c:v>68.60555362267803</c:v>
                </c:pt>
                <c:pt idx="115">
                  <c:v>69.04513956099288</c:v>
                </c:pt>
                <c:pt idx="116">
                  <c:v>69.472745364331232</c:v>
                </c:pt>
                <c:pt idx="117">
                  <c:v>69.888247280290031</c:v>
                </c:pt>
                <c:pt idx="118">
                  <c:v>70.291525423728814</c:v>
                </c:pt>
                <c:pt idx="119">
                  <c:v>70.682463776769751</c:v>
                </c:pt>
                <c:pt idx="120">
                  <c:v>71.060950188797548</c:v>
                </c:pt>
                <c:pt idx="121">
                  <c:v>71.42687637645956</c:v>
                </c:pt>
                <c:pt idx="122">
                  <c:v>71.780137923665677</c:v>
                </c:pt>
                <c:pt idx="123">
                  <c:v>72.120634281588465</c:v>
                </c:pt>
                <c:pt idx="124">
                  <c:v>72.448268768663027</c:v>
                </c:pt>
                <c:pt idx="125">
                  <c:v>72.762948570587056</c:v>
                </c:pt>
                <c:pt idx="126">
                  <c:v>73.064584740320882</c:v>
                </c:pt>
                <c:pt idx="127">
                  <c:v>73.35309219808741</c:v>
                </c:pt>
                <c:pt idx="128">
                  <c:v>73.62838973137211</c:v>
                </c:pt>
                <c:pt idx="129">
                  <c:v>73.890399994923115</c:v>
                </c:pt>
                <c:pt idx="130">
                  <c:v>74.139049510751079</c:v>
                </c:pt>
                <c:pt idx="131">
                  <c:v>74.374268668129304</c:v>
                </c:pt>
                <c:pt idx="132">
                  <c:v>74.59599172359367</c:v>
                </c:pt>
                <c:pt idx="133">
                  <c:v>74.80415680094265</c:v>
                </c:pt>
                <c:pt idx="134">
                  <c:v>74.998705891237307</c:v>
                </c:pt>
                <c:pt idx="135">
                  <c:v>75.179584852801327</c:v>
                </c:pt>
                <c:pt idx="136">
                  <c:v>75.346743411220956</c:v>
                </c:pt>
                <c:pt idx="137">
                  <c:v>75.500135159345035</c:v>
                </c:pt>
                <c:pt idx="138">
                  <c:v>75.639717557285053</c:v>
                </c:pt>
                <c:pt idx="139">
                  <c:v>75.765451932415019</c:v>
                </c:pt>
                <c:pt idx="140">
                  <c:v>75.877303479371605</c:v>
                </c:pt>
                <c:pt idx="141">
                  <c:v>75.97524126005402</c:v>
                </c:pt>
                <c:pt idx="142">
                  <c:v>76.059238203624133</c:v>
                </c:pt>
                <c:pt idx="143">
                  <c:v>76.129271106506337</c:v>
                </c:pt>
                <c:pt idx="144">
                  <c:v>76.185320632387686</c:v>
                </c:pt>
                <c:pt idx="145">
                  <c:v>76.22737131221777</c:v>
                </c:pt>
                <c:pt idx="146">
                  <c:v>76.255411544208826</c:v>
                </c:pt>
                <c:pt idx="147">
                  <c:v>76.269433593835657</c:v>
                </c:pt>
                <c:pt idx="148">
                  <c:v>76.269433593835657</c:v>
                </c:pt>
                <c:pt idx="149">
                  <c:v>76.255411544208826</c:v>
                </c:pt>
                <c:pt idx="150">
                  <c:v>76.22737131221777</c:v>
                </c:pt>
                <c:pt idx="151">
                  <c:v>76.185320632387686</c:v>
                </c:pt>
                <c:pt idx="152">
                  <c:v>76.129271106506337</c:v>
                </c:pt>
                <c:pt idx="153">
                  <c:v>76.059238203624133</c:v>
                </c:pt>
                <c:pt idx="154">
                  <c:v>75.97524126005402</c:v>
                </c:pt>
                <c:pt idx="155">
                  <c:v>75.877303479371605</c:v>
                </c:pt>
                <c:pt idx="156">
                  <c:v>75.765451932415019</c:v>
                </c:pt>
                <c:pt idx="157">
                  <c:v>75.639717557285039</c:v>
                </c:pt>
                <c:pt idx="158">
                  <c:v>75.500135159345035</c:v>
                </c:pt>
                <c:pt idx="159">
                  <c:v>75.346743411220942</c:v>
                </c:pt>
                <c:pt idx="160">
                  <c:v>75.179584852801327</c:v>
                </c:pt>
                <c:pt idx="161">
                  <c:v>74.998705891237307</c:v>
                </c:pt>
                <c:pt idx="162">
                  <c:v>74.80415680094265</c:v>
                </c:pt>
                <c:pt idx="163">
                  <c:v>74.59599172359367</c:v>
                </c:pt>
                <c:pt idx="164">
                  <c:v>74.374268668129304</c:v>
                </c:pt>
                <c:pt idx="165">
                  <c:v>74.139049510751065</c:v>
                </c:pt>
                <c:pt idx="166">
                  <c:v>73.890399994923101</c:v>
                </c:pt>
                <c:pt idx="167">
                  <c:v>73.628389731372096</c:v>
                </c:pt>
                <c:pt idx="168">
                  <c:v>73.353092198087396</c:v>
                </c:pt>
                <c:pt idx="169">
                  <c:v>73.064584740320882</c:v>
                </c:pt>
                <c:pt idx="170">
                  <c:v>72.762948570587056</c:v>
                </c:pt>
                <c:pt idx="171">
                  <c:v>72.448268768663013</c:v>
                </c:pt>
                <c:pt idx="172">
                  <c:v>72.120634281588465</c:v>
                </c:pt>
                <c:pt idx="173">
                  <c:v>71.780137923665677</c:v>
                </c:pt>
                <c:pt idx="174">
                  <c:v>71.426876376459532</c:v>
                </c:pt>
                <c:pt idx="175">
                  <c:v>71.060950188797534</c:v>
                </c:pt>
                <c:pt idx="176">
                  <c:v>70.682463776769737</c:v>
                </c:pt>
                <c:pt idx="177">
                  <c:v>70.291525423728814</c:v>
                </c:pt>
                <c:pt idx="178">
                  <c:v>69.888247280290017</c:v>
                </c:pt>
                <c:pt idx="179">
                  <c:v>69.472745364331232</c:v>
                </c:pt>
                <c:pt idx="180">
                  <c:v>69.04513956099288</c:v>
                </c:pt>
                <c:pt idx="181">
                  <c:v>68.60555362267803</c:v>
                </c:pt>
                <c:pt idx="182">
                  <c:v>68.154115169052332</c:v>
                </c:pt>
                <c:pt idx="183">
                  <c:v>67.69095568704401</c:v>
                </c:pt>
                <c:pt idx="184">
                  <c:v>67.21621053084391</c:v>
                </c:pt>
                <c:pt idx="185">
                  <c:v>66.730018921905469</c:v>
                </c:pt>
                <c:pt idx="186">
                  <c:v>66.232523948944689</c:v>
                </c:pt>
                <c:pt idx="187">
                  <c:v>65.723872567940234</c:v>
                </c:pt>
                <c:pt idx="188">
                  <c:v>65.204215602133289</c:v>
                </c:pt>
                <c:pt idx="189">
                  <c:v>64.673707742027673</c:v>
                </c:pt>
                <c:pt idx="190">
                  <c:v>64.132507545389771</c:v>
                </c:pt>
                <c:pt idx="191">
                  <c:v>63.580777437248642</c:v>
                </c:pt>
                <c:pt idx="192">
                  <c:v>63.018683709895832</c:v>
                </c:pt>
                <c:pt idx="193">
                  <c:v>62.446396522885564</c:v>
                </c:pt>
                <c:pt idx="194">
                  <c:v>61.864089903034603</c:v>
                </c:pt>
                <c:pt idx="195">
                  <c:v>61.271941744422364</c:v>
                </c:pt>
                <c:pt idx="196">
                  <c:v>60.670133808390801</c:v>
                </c:pt>
                <c:pt idx="197">
                  <c:v>60.058851723544507</c:v>
                </c:pt>
                <c:pt idx="198">
                  <c:v>59.438284985750627</c:v>
                </c:pt>
                <c:pt idx="199">
                  <c:v>58.808626958138966</c:v>
                </c:pt>
                <c:pt idx="200">
                  <c:v>58.170074871101825</c:v>
                </c:pt>
                <c:pt idx="201">
                  <c:v>57.522829822294227</c:v>
                </c:pt>
                <c:pt idx="202">
                  <c:v>56.867096776633673</c:v>
                </c:pt>
                <c:pt idx="203">
                  <c:v>56.203084566300355</c:v>
                </c:pt>
                <c:pt idx="204">
                  <c:v>55.531005890736957</c:v>
                </c:pt>
                <c:pt idx="205">
                  <c:v>54.851077316648876</c:v>
                </c:pt>
                <c:pt idx="206">
                  <c:v>54.163519278003989</c:v>
                </c:pt>
                <c:pt idx="207">
                  <c:v>53.468556076032861</c:v>
                </c:pt>
                <c:pt idx="208">
                  <c:v>52.766415879228624</c:v>
                </c:pt>
                <c:pt idx="209">
                  <c:v>52.057330723346972</c:v>
                </c:pt>
                <c:pt idx="210">
                  <c:v>51.341536511406233</c:v>
                </c:pt>
                <c:pt idx="211">
                  <c:v>50.619273013687277</c:v>
                </c:pt>
                <c:pt idx="212">
                  <c:v>49.890783867733667</c:v>
                </c:pt>
                <c:pt idx="213">
                  <c:v>49.156316578351458</c:v>
                </c:pt>
                <c:pt idx="214">
                  <c:v>48.416122517609381</c:v>
                </c:pt>
                <c:pt idx="215">
                  <c:v>47.670456924838689</c:v>
                </c:pt>
                <c:pt idx="216">
                  <c:v>46.919578906633305</c:v>
                </c:pt>
                <c:pt idx="217">
                  <c:v>46.163751436849665</c:v>
                </c:pt>
                <c:pt idx="218">
                  <c:v>45.403241356606905</c:v>
                </c:pt>
                <c:pt idx="219">
                  <c:v>44.638319374286631</c:v>
                </c:pt>
                <c:pt idx="220">
                  <c:v>43.869260065533176</c:v>
                </c:pt>
                <c:pt idx="221">
                  <c:v>43.096341873253344</c:v>
                </c:pt>
                <c:pt idx="222">
                  <c:v>42.319847107616638</c:v>
                </c:pt>
                <c:pt idx="223">
                  <c:v>41.540061946055054</c:v>
                </c:pt>
                <c:pt idx="224">
                  <c:v>40.757276433263321</c:v>
                </c:pt>
                <c:pt idx="225">
                  <c:v>39.971784481198597</c:v>
                </c:pt>
                <c:pt idx="226">
                  <c:v>39.183883869080795</c:v>
                </c:pt>
                <c:pt idx="227">
                  <c:v>38.393876243392292</c:v>
                </c:pt>
                <c:pt idx="228">
                  <c:v>37.602067117878164</c:v>
                </c:pt>
                <c:pt idx="229">
                  <c:v>36.808765873545987</c:v>
                </c:pt>
                <c:pt idx="230">
                  <c:v>36.014285758666034</c:v>
                </c:pt>
                <c:pt idx="231">
                  <c:v>35.218943888771058</c:v>
                </c:pt>
                <c:pt idx="232">
                  <c:v>34.423061246656545</c:v>
                </c:pt>
                <c:pt idx="233">
                  <c:v>33.626962682380437</c:v>
                </c:pt>
                <c:pt idx="234">
                  <c:v>32.830976913263363</c:v>
                </c:pt>
                <c:pt idx="235">
                  <c:v>32.035436523888499</c:v>
                </c:pt>
                <c:pt idx="236">
                  <c:v>31.240677966101689</c:v>
                </c:pt>
                <c:pt idx="237">
                  <c:v>30.44704155901125</c:v>
                </c:pt>
                <c:pt idx="238">
                  <c:v>29.654871488988221</c:v>
                </c:pt>
                <c:pt idx="239">
                  <c:v>28.864515809666141</c:v>
                </c:pt>
                <c:pt idx="240">
                  <c:v>28.07632644194123</c:v>
                </c:pt>
                <c:pt idx="241">
                  <c:v>27.290659173972205</c:v>
                </c:pt>
                <c:pt idx="242">
                  <c:v>26.507873661180444</c:v>
                </c:pt>
                <c:pt idx="243">
                  <c:v>25.728333426249939</c:v>
                </c:pt>
                <c:pt idx="244">
                  <c:v>24.952405859127175</c:v>
                </c:pt>
                <c:pt idx="245">
                  <c:v>24.180462217021393</c:v>
                </c:pt>
                <c:pt idx="246">
                  <c:v>23.412877624404238</c:v>
                </c:pt>
                <c:pt idx="247">
                  <c:v>22.650031073010155</c:v>
                </c:pt>
                <c:pt idx="248">
                  <c:v>21.892305421835982</c:v>
                </c:pt>
                <c:pt idx="249">
                  <c:v>21.140087397141325</c:v>
                </c:pt>
                <c:pt idx="250">
                  <c:v>20.393767592448249</c:v>
                </c:pt>
                <c:pt idx="251">
                  <c:v>19.65374046854155</c:v>
                </c:pt>
                <c:pt idx="252">
                  <c:v>18.920404353468459</c:v>
                </c:pt>
                <c:pt idx="253">
                  <c:v>18.194161442538963</c:v>
                </c:pt>
                <c:pt idx="254">
                  <c:v>17.475417798325502</c:v>
                </c:pt>
                <c:pt idx="255">
                  <c:v>16.764583350663251</c:v>
                </c:pt>
                <c:pt idx="256">
                  <c:v>16.062071896649829</c:v>
                </c:pt>
                <c:pt idx="257">
                  <c:v>15.368301100645613</c:v>
                </c:pt>
                <c:pt idx="258">
                  <c:v>14.683692494273417</c:v>
                </c:pt>
                <c:pt idx="259">
                  <c:v>14.00867147641878</c:v>
                </c:pt>
                <c:pt idx="260">
                  <c:v>13.343667313229748</c:v>
                </c:pt>
                <c:pt idx="261">
                  <c:v>12.689113138117017</c:v>
                </c:pt>
                <c:pt idx="262">
                  <c:v>12.045445951753823</c:v>
                </c:pt>
                <c:pt idx="263">
                  <c:v>11.41310662207608</c:v>
                </c:pt>
                <c:pt idx="264">
                  <c:v>10.792539884282192</c:v>
                </c:pt>
                <c:pt idx="265">
                  <c:v>10.184194340833276</c:v>
                </c:pt>
                <c:pt idx="266">
                  <c:v>9.5885224614529267</c:v>
                </c:pt>
                <c:pt idx="267">
                  <c:v>9.0059805831274424</c:v>
                </c:pt>
                <c:pt idx="268">
                  <c:v>8.437028910105612</c:v>
                </c:pt>
                <c:pt idx="269">
                  <c:v>7.8821315138989236</c:v>
                </c:pt>
                <c:pt idx="270">
                  <c:v>7.3417563332813582</c:v>
                </c:pt>
                <c:pt idx="271">
                  <c:v>6.8163751742895959</c:v>
                </c:pt>
                <c:pt idx="272">
                  <c:v>6.3064637102228227</c:v>
                </c:pt>
                <c:pt idx="273">
                  <c:v>5.8125014816428857</c:v>
                </c:pt>
                <c:pt idx="274">
                  <c:v>5.3349718963741397</c:v>
                </c:pt>
                <c:pt idx="275">
                  <c:v>4.874362229503685</c:v>
                </c:pt>
                <c:pt idx="276">
                  <c:v>4.4311636233810416</c:v>
                </c:pt>
                <c:pt idx="277">
                  <c:v>4.0058710876184431</c:v>
                </c:pt>
                <c:pt idx="278">
                  <c:v>3.5989834990906995</c:v>
                </c:pt>
                <c:pt idx="279">
                  <c:v>3.211003601935186</c:v>
                </c:pt>
                <c:pt idx="280">
                  <c:v>2.8424380075518814</c:v>
                </c:pt>
                <c:pt idx="281">
                  <c:v>2.4937971946033768</c:v>
                </c:pt>
                <c:pt idx="282">
                  <c:v>2.1655955090148553</c:v>
                </c:pt>
                <c:pt idx="283">
                  <c:v>1.8583511639740649</c:v>
                </c:pt>
                <c:pt idx="284">
                  <c:v>1.5725862399313912</c:v>
                </c:pt>
                <c:pt idx="285">
                  <c:v>1.3088266845997751</c:v>
                </c:pt>
                <c:pt idx="286">
                  <c:v>1.0676023129548065</c:v>
                </c:pt>
                <c:pt idx="287">
                  <c:v>0.84944680723460564</c:v>
                </c:pt>
                <c:pt idx="288">
                  <c:v>0.65489771693994292</c:v>
                </c:pt>
                <c:pt idx="289">
                  <c:v>0.48449645883417874</c:v>
                </c:pt>
                <c:pt idx="290">
                  <c:v>0.33878831694317929</c:v>
                </c:pt>
                <c:pt idx="291">
                  <c:v>0.21832244255555716</c:v>
                </c:pt>
                <c:pt idx="292">
                  <c:v>0.12365185422240671</c:v>
                </c:pt>
                <c:pt idx="293">
                  <c:v>5.53334377574363E-2</c:v>
                </c:pt>
                <c:pt idx="294">
                  <c:v>1.392794623700459E-2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6E-4D3A-A097-6B263D2372AA}"/>
            </c:ext>
          </c:extLst>
        </c:ser>
        <c:ser>
          <c:idx val="0"/>
          <c:order val="1"/>
          <c:tx>
            <c:v>optimized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[0]!optipoly.qd1</c:f>
              <c:numCache>
                <c:formatCode>0.00000</c:formatCode>
                <c:ptCount val="296"/>
                <c:pt idx="0">
                  <c:v>0</c:v>
                </c:pt>
                <c:pt idx="1">
                  <c:v>1.392794623700459E-2</c:v>
                </c:pt>
                <c:pt idx="2">
                  <c:v>5.5333437757448346E-2</c:v>
                </c:pt>
                <c:pt idx="3">
                  <c:v>0.12365185422240671</c:v>
                </c:pt>
                <c:pt idx="4">
                  <c:v>0.21832244255555716</c:v>
                </c:pt>
                <c:pt idx="5">
                  <c:v>0.33878831694320338</c:v>
                </c:pt>
                <c:pt idx="6">
                  <c:v>0.48449645883417874</c:v>
                </c:pt>
                <c:pt idx="7">
                  <c:v>0.65489771693995491</c:v>
                </c:pt>
                <c:pt idx="8">
                  <c:v>0.84944680723462973</c:v>
                </c:pt>
                <c:pt idx="9">
                  <c:v>1.0676023129548184</c:v>
                </c:pt>
                <c:pt idx="10">
                  <c:v>1.3088266845997871</c:v>
                </c:pt>
                <c:pt idx="11">
                  <c:v>1.5725862399313912</c:v>
                </c:pt>
                <c:pt idx="12">
                  <c:v>1.8583511639740768</c:v>
                </c:pt>
                <c:pt idx="13">
                  <c:v>2.1655955090148673</c:v>
                </c:pt>
                <c:pt idx="14">
                  <c:v>2.4937971946034008</c:v>
                </c:pt>
                <c:pt idx="15">
                  <c:v>2.8424380075519053</c:v>
                </c:pt>
                <c:pt idx="16">
                  <c:v>3.21100360193521</c:v>
                </c:pt>
                <c:pt idx="17">
                  <c:v>3.5989834990907235</c:v>
                </c:pt>
                <c:pt idx="18">
                  <c:v>4.0058710876184795</c:v>
                </c:pt>
                <c:pt idx="19">
                  <c:v>4.4311636233810541</c:v>
                </c:pt>
                <c:pt idx="20">
                  <c:v>4.874362229503685</c:v>
                </c:pt>
                <c:pt idx="21">
                  <c:v>5.3349718963741637</c:v>
                </c:pt>
                <c:pt idx="22">
                  <c:v>5.8125014816428742</c:v>
                </c:pt>
                <c:pt idx="23">
                  <c:v>6.3064637102228343</c:v>
                </c:pt>
                <c:pt idx="24">
                  <c:v>6.8163751742896075</c:v>
                </c:pt>
                <c:pt idx="25">
                  <c:v>7.3417563332813698</c:v>
                </c:pt>
                <c:pt idx="26">
                  <c:v>7.8821315138989361</c:v>
                </c:pt>
                <c:pt idx="27">
                  <c:v>8.4370289101056368</c:v>
                </c:pt>
                <c:pt idx="28">
                  <c:v>9.0059805831274424</c:v>
                </c:pt>
                <c:pt idx="29">
                  <c:v>9.5885224614529516</c:v>
                </c:pt>
                <c:pt idx="30">
                  <c:v>10.184194340833287</c:v>
                </c:pt>
                <c:pt idx="31">
                  <c:v>10.792539884282217</c:v>
                </c:pt>
                <c:pt idx="32">
                  <c:v>11.41310662207608</c:v>
                </c:pt>
                <c:pt idx="33">
                  <c:v>12.045445951753836</c:v>
                </c:pt>
                <c:pt idx="34">
                  <c:v>12.689113138117028</c:v>
                </c:pt>
                <c:pt idx="35">
                  <c:v>13.343667313229771</c:v>
                </c:pt>
                <c:pt idx="36">
                  <c:v>14.008671476418792</c:v>
                </c:pt>
                <c:pt idx="37">
                  <c:v>14.683692494273441</c:v>
                </c:pt>
                <c:pt idx="38">
                  <c:v>15.368301100645626</c:v>
                </c:pt>
                <c:pt idx="39">
                  <c:v>16.062071896649869</c:v>
                </c:pt>
                <c:pt idx="40">
                  <c:v>16.764583350663251</c:v>
                </c:pt>
                <c:pt idx="41">
                  <c:v>17.475417798325527</c:v>
                </c:pt>
                <c:pt idx="42">
                  <c:v>18.194161442538963</c:v>
                </c:pt>
                <c:pt idx="43">
                  <c:v>18.920404353468484</c:v>
                </c:pt>
                <c:pt idx="44">
                  <c:v>19.653740468541539</c:v>
                </c:pt>
                <c:pt idx="45">
                  <c:v>20.393767592448285</c:v>
                </c:pt>
                <c:pt idx="46">
                  <c:v>21.140087397141325</c:v>
                </c:pt>
                <c:pt idx="47">
                  <c:v>21.892305421836017</c:v>
                </c:pt>
                <c:pt idx="48">
                  <c:v>22.650031073010155</c:v>
                </c:pt>
                <c:pt idx="49">
                  <c:v>23.412877624404263</c:v>
                </c:pt>
                <c:pt idx="50">
                  <c:v>24.180462217021393</c:v>
                </c:pt>
                <c:pt idx="51">
                  <c:v>24.952405859127211</c:v>
                </c:pt>
                <c:pt idx="52">
                  <c:v>25.728333426249932</c:v>
                </c:pt>
                <c:pt idx="53">
                  <c:v>26.507873661180454</c:v>
                </c:pt>
                <c:pt idx="54">
                  <c:v>27.290659173972209</c:v>
                </c:pt>
                <c:pt idx="55">
                  <c:v>28.07632644194123</c:v>
                </c:pt>
                <c:pt idx="56">
                  <c:v>28.864515809666166</c:v>
                </c:pt>
                <c:pt idx="57">
                  <c:v>29.654871488988235</c:v>
                </c:pt>
                <c:pt idx="58">
                  <c:v>30.447041559011272</c:v>
                </c:pt>
                <c:pt idx="59">
                  <c:v>31.240677966101707</c:v>
                </c:pt>
                <c:pt idx="60">
                  <c:v>32.035436523888535</c:v>
                </c:pt>
                <c:pt idx="61">
                  <c:v>32.830976913263378</c:v>
                </c:pt>
                <c:pt idx="62">
                  <c:v>33.626962682380451</c:v>
                </c:pt>
                <c:pt idx="63">
                  <c:v>34.423061246656559</c:v>
                </c:pt>
                <c:pt idx="64">
                  <c:v>35.218943888771086</c:v>
                </c:pt>
                <c:pt idx="65">
                  <c:v>36.014285758666034</c:v>
                </c:pt>
                <c:pt idx="66">
                  <c:v>36.808765873546015</c:v>
                </c:pt>
                <c:pt idx="67">
                  <c:v>37.602067117878171</c:v>
                </c:pt>
                <c:pt idx="68">
                  <c:v>38.393876243392327</c:v>
                </c:pt>
                <c:pt idx="69">
                  <c:v>39.183883869080816</c:v>
                </c:pt>
                <c:pt idx="70">
                  <c:v>39.971784481198618</c:v>
                </c:pt>
                <c:pt idx="71">
                  <c:v>40.757276433263335</c:v>
                </c:pt>
                <c:pt idx="72">
                  <c:v>41.540061946055083</c:v>
                </c:pt>
                <c:pt idx="73">
                  <c:v>42.319847107616638</c:v>
                </c:pt>
                <c:pt idx="74">
                  <c:v>43.096341873253351</c:v>
                </c:pt>
                <c:pt idx="75">
                  <c:v>43.869260065533169</c:v>
                </c:pt>
                <c:pt idx="76">
                  <c:v>44.638319374286652</c:v>
                </c:pt>
                <c:pt idx="77">
                  <c:v>45.403241356606905</c:v>
                </c:pt>
                <c:pt idx="78">
                  <c:v>46.16375143684968</c:v>
                </c:pt>
                <c:pt idx="79">
                  <c:v>46.919578906633305</c:v>
                </c:pt>
                <c:pt idx="80">
                  <c:v>47.670456924838696</c:v>
                </c:pt>
                <c:pt idx="81">
                  <c:v>48.416122517609381</c:v>
                </c:pt>
                <c:pt idx="82">
                  <c:v>49.156316578351465</c:v>
                </c:pt>
                <c:pt idx="83">
                  <c:v>49.890783867733667</c:v>
                </c:pt>
                <c:pt idx="84">
                  <c:v>50.619273013687284</c:v>
                </c:pt>
                <c:pt idx="85">
                  <c:v>51.341536511406233</c:v>
                </c:pt>
                <c:pt idx="86">
                  <c:v>52.057330723346979</c:v>
                </c:pt>
                <c:pt idx="87">
                  <c:v>52.76641587922866</c:v>
                </c:pt>
                <c:pt idx="88">
                  <c:v>53.468556076032897</c:v>
                </c:pt>
                <c:pt idx="89">
                  <c:v>54.16351927800401</c:v>
                </c:pt>
                <c:pt idx="90">
                  <c:v>54.851077316648883</c:v>
                </c:pt>
                <c:pt idx="91">
                  <c:v>55.531005890736978</c:v>
                </c:pt>
                <c:pt idx="92">
                  <c:v>56.203084566300362</c:v>
                </c:pt>
                <c:pt idx="93">
                  <c:v>56.867096776633694</c:v>
                </c:pt>
                <c:pt idx="94">
                  <c:v>57.522829822294241</c:v>
                </c:pt>
                <c:pt idx="95">
                  <c:v>58.170074871101853</c:v>
                </c:pt>
                <c:pt idx="96">
                  <c:v>58.808626958138973</c:v>
                </c:pt>
                <c:pt idx="97">
                  <c:v>59.438284985750656</c:v>
                </c:pt>
                <c:pt idx="98">
                  <c:v>60.058851723544514</c:v>
                </c:pt>
                <c:pt idx="99">
                  <c:v>60.670133808390823</c:v>
                </c:pt>
                <c:pt idx="100">
                  <c:v>61.271941744422378</c:v>
                </c:pt>
                <c:pt idx="101">
                  <c:v>61.864089903034625</c:v>
                </c:pt>
                <c:pt idx="102">
                  <c:v>62.446396522885578</c:v>
                </c:pt>
                <c:pt idx="103">
                  <c:v>63.018683709895846</c:v>
                </c:pt>
                <c:pt idx="104">
                  <c:v>63.580777437248656</c:v>
                </c:pt>
                <c:pt idx="105">
                  <c:v>64.132507545389785</c:v>
                </c:pt>
                <c:pt idx="106">
                  <c:v>64.673707742027673</c:v>
                </c:pt>
                <c:pt idx="107">
                  <c:v>65.204215602133289</c:v>
                </c:pt>
                <c:pt idx="108">
                  <c:v>65.723872567940234</c:v>
                </c:pt>
                <c:pt idx="109">
                  <c:v>66.232523948944703</c:v>
                </c:pt>
                <c:pt idx="110">
                  <c:v>66.730018921905469</c:v>
                </c:pt>
                <c:pt idx="111">
                  <c:v>67.21621053084391</c:v>
                </c:pt>
                <c:pt idx="112">
                  <c:v>67.69095568704401</c:v>
                </c:pt>
                <c:pt idx="113">
                  <c:v>68.154115169052332</c:v>
                </c:pt>
                <c:pt idx="114">
                  <c:v>68.60555362267803</c:v>
                </c:pt>
                <c:pt idx="115">
                  <c:v>69.04513956099288</c:v>
                </c:pt>
                <c:pt idx="116">
                  <c:v>69.472745364331232</c:v>
                </c:pt>
                <c:pt idx="117">
                  <c:v>69.888247280290031</c:v>
                </c:pt>
                <c:pt idx="118">
                  <c:v>70.291525423728814</c:v>
                </c:pt>
                <c:pt idx="119">
                  <c:v>70.682463776769751</c:v>
                </c:pt>
                <c:pt idx="120">
                  <c:v>71.060950188797548</c:v>
                </c:pt>
                <c:pt idx="121">
                  <c:v>71.42687637645956</c:v>
                </c:pt>
                <c:pt idx="122">
                  <c:v>71.780137923665677</c:v>
                </c:pt>
                <c:pt idx="123">
                  <c:v>72.120634281588465</c:v>
                </c:pt>
                <c:pt idx="124">
                  <c:v>72.448268768663027</c:v>
                </c:pt>
                <c:pt idx="125">
                  <c:v>72.762948570587056</c:v>
                </c:pt>
                <c:pt idx="126">
                  <c:v>73.064584740320882</c:v>
                </c:pt>
                <c:pt idx="127">
                  <c:v>73.35309219808741</c:v>
                </c:pt>
                <c:pt idx="128">
                  <c:v>73.62838973137211</c:v>
                </c:pt>
                <c:pt idx="129">
                  <c:v>73.890399994923115</c:v>
                </c:pt>
                <c:pt idx="130">
                  <c:v>74.139049510751079</c:v>
                </c:pt>
                <c:pt idx="131">
                  <c:v>74.374268668129304</c:v>
                </c:pt>
                <c:pt idx="132">
                  <c:v>74.59599172359367</c:v>
                </c:pt>
                <c:pt idx="133">
                  <c:v>74.80415680094265</c:v>
                </c:pt>
                <c:pt idx="134">
                  <c:v>74.998705891237307</c:v>
                </c:pt>
                <c:pt idx="135">
                  <c:v>75.179584852801327</c:v>
                </c:pt>
                <c:pt idx="136">
                  <c:v>75.346743411220956</c:v>
                </c:pt>
                <c:pt idx="137">
                  <c:v>75.500135159345035</c:v>
                </c:pt>
                <c:pt idx="138">
                  <c:v>75.639717557285053</c:v>
                </c:pt>
                <c:pt idx="139">
                  <c:v>75.765451932415019</c:v>
                </c:pt>
                <c:pt idx="140">
                  <c:v>75.877303479371605</c:v>
                </c:pt>
                <c:pt idx="141">
                  <c:v>75.97524126005402</c:v>
                </c:pt>
                <c:pt idx="142">
                  <c:v>76.059238203624133</c:v>
                </c:pt>
                <c:pt idx="143">
                  <c:v>76.129271106506337</c:v>
                </c:pt>
                <c:pt idx="144">
                  <c:v>76.185320632387686</c:v>
                </c:pt>
                <c:pt idx="145">
                  <c:v>76.22737131221777</c:v>
                </c:pt>
                <c:pt idx="146">
                  <c:v>76.255411544208826</c:v>
                </c:pt>
                <c:pt idx="147">
                  <c:v>76.269433593835657</c:v>
                </c:pt>
                <c:pt idx="148">
                  <c:v>76.269433593835657</c:v>
                </c:pt>
                <c:pt idx="149">
                  <c:v>76.255411544208826</c:v>
                </c:pt>
                <c:pt idx="150">
                  <c:v>76.22737131221777</c:v>
                </c:pt>
                <c:pt idx="151">
                  <c:v>76.185320632387686</c:v>
                </c:pt>
                <c:pt idx="152">
                  <c:v>76.129271106506337</c:v>
                </c:pt>
                <c:pt idx="153">
                  <c:v>76.059238203624133</c:v>
                </c:pt>
                <c:pt idx="154">
                  <c:v>75.97524126005402</c:v>
                </c:pt>
                <c:pt idx="155">
                  <c:v>75.877303479371605</c:v>
                </c:pt>
                <c:pt idx="156">
                  <c:v>75.765451932415019</c:v>
                </c:pt>
                <c:pt idx="157">
                  <c:v>75.639717557285039</c:v>
                </c:pt>
                <c:pt idx="158">
                  <c:v>75.500135159345035</c:v>
                </c:pt>
                <c:pt idx="159">
                  <c:v>75.346743411220942</c:v>
                </c:pt>
                <c:pt idx="160">
                  <c:v>75.179584852801327</c:v>
                </c:pt>
                <c:pt idx="161">
                  <c:v>74.998705891237307</c:v>
                </c:pt>
                <c:pt idx="162">
                  <c:v>74.80415680094265</c:v>
                </c:pt>
                <c:pt idx="163">
                  <c:v>74.59599172359367</c:v>
                </c:pt>
                <c:pt idx="164">
                  <c:v>74.374268668129304</c:v>
                </c:pt>
                <c:pt idx="165">
                  <c:v>74.139049510751065</c:v>
                </c:pt>
                <c:pt idx="166">
                  <c:v>73.890399994923101</c:v>
                </c:pt>
                <c:pt idx="167">
                  <c:v>73.628389731372096</c:v>
                </c:pt>
                <c:pt idx="168">
                  <c:v>73.353092198087396</c:v>
                </c:pt>
                <c:pt idx="169">
                  <c:v>73.064584740320882</c:v>
                </c:pt>
                <c:pt idx="170">
                  <c:v>72.762948570587056</c:v>
                </c:pt>
                <c:pt idx="171">
                  <c:v>72.448268768663013</c:v>
                </c:pt>
                <c:pt idx="172">
                  <c:v>72.120634281588465</c:v>
                </c:pt>
                <c:pt idx="173">
                  <c:v>71.780137923665677</c:v>
                </c:pt>
                <c:pt idx="174">
                  <c:v>71.426876376459532</c:v>
                </c:pt>
                <c:pt idx="175">
                  <c:v>71.060950188797534</c:v>
                </c:pt>
                <c:pt idx="176">
                  <c:v>70.682463776769737</c:v>
                </c:pt>
                <c:pt idx="177">
                  <c:v>70.291525423728814</c:v>
                </c:pt>
                <c:pt idx="178">
                  <c:v>69.888247280290017</c:v>
                </c:pt>
                <c:pt idx="179">
                  <c:v>69.472745364331232</c:v>
                </c:pt>
                <c:pt idx="180">
                  <c:v>69.04513956099288</c:v>
                </c:pt>
                <c:pt idx="181">
                  <c:v>68.60555362267803</c:v>
                </c:pt>
                <c:pt idx="182">
                  <c:v>68.154115169052332</c:v>
                </c:pt>
                <c:pt idx="183">
                  <c:v>67.69095568704401</c:v>
                </c:pt>
                <c:pt idx="184">
                  <c:v>67.21621053084391</c:v>
                </c:pt>
                <c:pt idx="185">
                  <c:v>66.730018921905469</c:v>
                </c:pt>
                <c:pt idx="186">
                  <c:v>66.232523948944689</c:v>
                </c:pt>
                <c:pt idx="187">
                  <c:v>65.723872567940234</c:v>
                </c:pt>
                <c:pt idx="188">
                  <c:v>65.204215602133289</c:v>
                </c:pt>
                <c:pt idx="189">
                  <c:v>64.673707742027673</c:v>
                </c:pt>
                <c:pt idx="190">
                  <c:v>64.132507545389771</c:v>
                </c:pt>
                <c:pt idx="191">
                  <c:v>63.580777437248642</c:v>
                </c:pt>
                <c:pt idx="192">
                  <c:v>63.018683709895832</c:v>
                </c:pt>
                <c:pt idx="193">
                  <c:v>62.446396522885564</c:v>
                </c:pt>
                <c:pt idx="194">
                  <c:v>61.864089903034603</c:v>
                </c:pt>
                <c:pt idx="195">
                  <c:v>61.271941744422364</c:v>
                </c:pt>
                <c:pt idx="196">
                  <c:v>60.670133808390801</c:v>
                </c:pt>
                <c:pt idx="197">
                  <c:v>60.058851723544507</c:v>
                </c:pt>
                <c:pt idx="198">
                  <c:v>59.438284985750627</c:v>
                </c:pt>
                <c:pt idx="199">
                  <c:v>58.808626958138966</c:v>
                </c:pt>
                <c:pt idx="200">
                  <c:v>58.170074871101825</c:v>
                </c:pt>
                <c:pt idx="201">
                  <c:v>57.522829822294241</c:v>
                </c:pt>
                <c:pt idx="202">
                  <c:v>56.867096776633673</c:v>
                </c:pt>
                <c:pt idx="203">
                  <c:v>56.203084566300355</c:v>
                </c:pt>
                <c:pt idx="204">
                  <c:v>55.531005890736957</c:v>
                </c:pt>
                <c:pt idx="205">
                  <c:v>54.851077316648876</c:v>
                </c:pt>
                <c:pt idx="206">
                  <c:v>54.163519278003989</c:v>
                </c:pt>
                <c:pt idx="207">
                  <c:v>53.468556076032861</c:v>
                </c:pt>
                <c:pt idx="208">
                  <c:v>52.766415879228617</c:v>
                </c:pt>
                <c:pt idx="209">
                  <c:v>52.057330723346965</c:v>
                </c:pt>
                <c:pt idx="210">
                  <c:v>51.341536511406233</c:v>
                </c:pt>
                <c:pt idx="211">
                  <c:v>50.619273013687277</c:v>
                </c:pt>
                <c:pt idx="212">
                  <c:v>49.890783867733667</c:v>
                </c:pt>
                <c:pt idx="213">
                  <c:v>49.156316578351458</c:v>
                </c:pt>
                <c:pt idx="214">
                  <c:v>48.416122517609381</c:v>
                </c:pt>
                <c:pt idx="215">
                  <c:v>47.670456924838689</c:v>
                </c:pt>
                <c:pt idx="216">
                  <c:v>46.919578906633305</c:v>
                </c:pt>
                <c:pt idx="217">
                  <c:v>46.163751436849665</c:v>
                </c:pt>
                <c:pt idx="218">
                  <c:v>45.403241356606905</c:v>
                </c:pt>
                <c:pt idx="219">
                  <c:v>44.638319374286631</c:v>
                </c:pt>
                <c:pt idx="220">
                  <c:v>43.869260065533169</c:v>
                </c:pt>
                <c:pt idx="221">
                  <c:v>43.096341873253344</c:v>
                </c:pt>
                <c:pt idx="222">
                  <c:v>42.319847107616638</c:v>
                </c:pt>
                <c:pt idx="223">
                  <c:v>41.540061946055062</c:v>
                </c:pt>
                <c:pt idx="224">
                  <c:v>40.757276433263321</c:v>
                </c:pt>
                <c:pt idx="225">
                  <c:v>39.971784481198597</c:v>
                </c:pt>
                <c:pt idx="226">
                  <c:v>39.183883869080788</c:v>
                </c:pt>
                <c:pt idx="227">
                  <c:v>38.393876243392292</c:v>
                </c:pt>
                <c:pt idx="228">
                  <c:v>37.602067117878164</c:v>
                </c:pt>
                <c:pt idx="229">
                  <c:v>36.808765873545987</c:v>
                </c:pt>
                <c:pt idx="230">
                  <c:v>36.014285758666034</c:v>
                </c:pt>
                <c:pt idx="231">
                  <c:v>35.218943888771065</c:v>
                </c:pt>
                <c:pt idx="232">
                  <c:v>34.423061246656545</c:v>
                </c:pt>
                <c:pt idx="233">
                  <c:v>33.62696268238043</c:v>
                </c:pt>
                <c:pt idx="234">
                  <c:v>32.830976913263363</c:v>
                </c:pt>
                <c:pt idx="235">
                  <c:v>32.035436523888499</c:v>
                </c:pt>
                <c:pt idx="236">
                  <c:v>31.240677966101682</c:v>
                </c:pt>
                <c:pt idx="237">
                  <c:v>30.44704155901125</c:v>
                </c:pt>
                <c:pt idx="238">
                  <c:v>29.654871488988228</c:v>
                </c:pt>
                <c:pt idx="239">
                  <c:v>28.864515809666141</c:v>
                </c:pt>
                <c:pt idx="240">
                  <c:v>28.076326441941227</c:v>
                </c:pt>
                <c:pt idx="241">
                  <c:v>27.290659173972209</c:v>
                </c:pt>
                <c:pt idx="242">
                  <c:v>26.507873661180447</c:v>
                </c:pt>
                <c:pt idx="243">
                  <c:v>25.728333426249932</c:v>
                </c:pt>
                <c:pt idx="244">
                  <c:v>24.952405859127168</c:v>
                </c:pt>
                <c:pt idx="245">
                  <c:v>24.180462217021393</c:v>
                </c:pt>
                <c:pt idx="246">
                  <c:v>23.412877624404238</c:v>
                </c:pt>
                <c:pt idx="247">
                  <c:v>22.650031073010155</c:v>
                </c:pt>
                <c:pt idx="248">
                  <c:v>21.892305421835982</c:v>
                </c:pt>
                <c:pt idx="249">
                  <c:v>21.140087397141325</c:v>
                </c:pt>
                <c:pt idx="250">
                  <c:v>20.39376759244826</c:v>
                </c:pt>
                <c:pt idx="251">
                  <c:v>19.653740468541539</c:v>
                </c:pt>
                <c:pt idx="252">
                  <c:v>18.920404353468459</c:v>
                </c:pt>
                <c:pt idx="253">
                  <c:v>18.194161442538963</c:v>
                </c:pt>
                <c:pt idx="254">
                  <c:v>17.475417798325502</c:v>
                </c:pt>
                <c:pt idx="255">
                  <c:v>16.764583350663251</c:v>
                </c:pt>
                <c:pt idx="256">
                  <c:v>16.062071896649829</c:v>
                </c:pt>
                <c:pt idx="257">
                  <c:v>15.368301100645626</c:v>
                </c:pt>
                <c:pt idx="258">
                  <c:v>14.683692494273417</c:v>
                </c:pt>
                <c:pt idx="259">
                  <c:v>14.00867147641878</c:v>
                </c:pt>
                <c:pt idx="260">
                  <c:v>13.343667313229735</c:v>
                </c:pt>
                <c:pt idx="261">
                  <c:v>12.689113138117005</c:v>
                </c:pt>
                <c:pt idx="262">
                  <c:v>12.045445951753836</c:v>
                </c:pt>
                <c:pt idx="263">
                  <c:v>11.413106622076068</c:v>
                </c:pt>
                <c:pt idx="264">
                  <c:v>10.792539884282192</c:v>
                </c:pt>
                <c:pt idx="265">
                  <c:v>10.184194340833276</c:v>
                </c:pt>
                <c:pt idx="266">
                  <c:v>9.5885224614529267</c:v>
                </c:pt>
                <c:pt idx="267">
                  <c:v>9.00598058312743</c:v>
                </c:pt>
                <c:pt idx="268">
                  <c:v>8.4370289101055995</c:v>
                </c:pt>
                <c:pt idx="269">
                  <c:v>7.8821315138989112</c:v>
                </c:pt>
                <c:pt idx="270">
                  <c:v>7.3417563332813582</c:v>
                </c:pt>
                <c:pt idx="271">
                  <c:v>6.8163751742895959</c:v>
                </c:pt>
                <c:pt idx="272">
                  <c:v>6.3064637102228227</c:v>
                </c:pt>
                <c:pt idx="273">
                  <c:v>5.8125014816428742</c:v>
                </c:pt>
                <c:pt idx="274">
                  <c:v>5.3349718963741397</c:v>
                </c:pt>
                <c:pt idx="275">
                  <c:v>4.874362229503685</c:v>
                </c:pt>
                <c:pt idx="276">
                  <c:v>4.4311636233810416</c:v>
                </c:pt>
                <c:pt idx="277">
                  <c:v>4.0058710876184556</c:v>
                </c:pt>
                <c:pt idx="278">
                  <c:v>3.5989834990906995</c:v>
                </c:pt>
                <c:pt idx="279">
                  <c:v>3.211003601935186</c:v>
                </c:pt>
                <c:pt idx="280">
                  <c:v>2.8424380075518934</c:v>
                </c:pt>
                <c:pt idx="281">
                  <c:v>2.4937971946033768</c:v>
                </c:pt>
                <c:pt idx="282">
                  <c:v>2.1655955090148553</c:v>
                </c:pt>
                <c:pt idx="283">
                  <c:v>1.8583511639740529</c:v>
                </c:pt>
                <c:pt idx="284">
                  <c:v>1.5725862399313792</c:v>
                </c:pt>
                <c:pt idx="285">
                  <c:v>1.3088266845997751</c:v>
                </c:pt>
                <c:pt idx="286">
                  <c:v>1.0676023129548065</c:v>
                </c:pt>
                <c:pt idx="287">
                  <c:v>0.84944680723460564</c:v>
                </c:pt>
                <c:pt idx="288">
                  <c:v>0.65489771693995491</c:v>
                </c:pt>
                <c:pt idx="289">
                  <c:v>0.48449645883417874</c:v>
                </c:pt>
                <c:pt idx="290">
                  <c:v>0.33878831694319134</c:v>
                </c:pt>
                <c:pt idx="291">
                  <c:v>0.21832244255555716</c:v>
                </c:pt>
                <c:pt idx="292">
                  <c:v>0.12365185422239466</c:v>
                </c:pt>
                <c:pt idx="293">
                  <c:v>5.5333437757448346E-2</c:v>
                </c:pt>
                <c:pt idx="294">
                  <c:v>1.392794623700459E-2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D-4E80-AA94-48AF311B3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62767"/>
        <c:axId val="1570608351"/>
      </c:scatterChart>
      <c:valAx>
        <c:axId val="10693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[s] </a:t>
                </a:r>
              </a:p>
            </c:rich>
          </c:tx>
          <c:layout>
            <c:manualLayout>
              <c:xMode val="edge"/>
              <c:yMode val="edge"/>
              <c:x val="0.47130208333333334"/>
              <c:y val="0.90049908925318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351"/>
        <c:crosses val="autoZero"/>
        <c:crossBetween val="midCat"/>
      </c:valAx>
      <c:valAx>
        <c:axId val="15706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0"/>
                  <a:t>ω [</a:t>
                </a:r>
                <a:r>
                  <a:rPr lang="en-GB" b="0"/>
                  <a:t>rad/s]</a:t>
                </a:r>
              </a:p>
            </c:rich>
          </c:tx>
          <c:layout>
            <c:manualLayout>
              <c:xMode val="edge"/>
              <c:yMode val="edge"/>
              <c:x val="1.6860702614379084E-2"/>
              <c:y val="0.36802432702517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627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Acceleration</a:t>
            </a:r>
          </a:p>
        </c:rich>
      </c:tx>
      <c:layout>
        <c:manualLayout>
          <c:xMode val="edge"/>
          <c:yMode val="edge"/>
          <c:x val="0.365723958333333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30433006535948"/>
          <c:y val="0.13301457194899818"/>
          <c:w val="0.67907557189542489"/>
          <c:h val="0.67958925318761387"/>
        </c:manualLayout>
      </c:layout>
      <c:scatterChart>
        <c:scatterStyle val="smoothMarker"/>
        <c:varyColors val="0"/>
        <c:ser>
          <c:idx val="1"/>
          <c:order val="0"/>
          <c:tx>
            <c:v>reference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[0]!refpoly.qd2</c:f>
              <c:numCache>
                <c:formatCode>0.00000</c:formatCode>
                <c:ptCount val="296"/>
                <c:pt idx="0">
                  <c:v>0</c:v>
                </c:pt>
                <c:pt idx="1">
                  <c:v>111.04457816169487</c:v>
                </c:pt>
                <c:pt idx="2">
                  <c:v>219.822940442538</c:v>
                </c:pt>
                <c:pt idx="3">
                  <c:v>326.35055589291062</c:v>
                </c:pt>
                <c:pt idx="4">
                  <c:v>430.64289356319779</c:v>
                </c:pt>
                <c:pt idx="5">
                  <c:v>532.71542250377433</c:v>
                </c:pt>
                <c:pt idx="6">
                  <c:v>632.58361176502672</c:v>
                </c:pt>
                <c:pt idx="7">
                  <c:v>730.26293039733343</c:v>
                </c:pt>
                <c:pt idx="8">
                  <c:v>825.76884745107964</c:v>
                </c:pt>
                <c:pt idx="9">
                  <c:v>919.11683197664036</c:v>
                </c:pt>
                <c:pt idx="10">
                  <c:v>1010.3223530244003</c:v>
                </c:pt>
                <c:pt idx="11">
                  <c:v>1099.4008796447411</c:v>
                </c:pt>
                <c:pt idx="12">
                  <c:v>1186.3678808880447</c:v>
                </c:pt>
                <c:pt idx="13">
                  <c:v>1271.2388258046892</c:v>
                </c:pt>
                <c:pt idx="14">
                  <c:v>1354.0291834450593</c:v>
                </c:pt>
                <c:pt idx="15">
                  <c:v>1434.7544228595314</c:v>
                </c:pt>
                <c:pt idx="16">
                  <c:v>1513.4300130984923</c:v>
                </c:pt>
                <c:pt idx="17">
                  <c:v>1590.0714232123194</c:v>
                </c:pt>
                <c:pt idx="18">
                  <c:v>1664.6941222513972</c:v>
                </c:pt>
                <c:pt idx="19">
                  <c:v>1737.3135792661042</c:v>
                </c:pt>
                <c:pt idx="20">
                  <c:v>1807.9452633068224</c:v>
                </c:pt>
                <c:pt idx="21">
                  <c:v>1876.6046434239336</c:v>
                </c:pt>
                <c:pt idx="22">
                  <c:v>1943.3071886678179</c:v>
                </c:pt>
                <c:pt idx="23">
                  <c:v>2008.0683680888565</c:v>
                </c:pt>
                <c:pt idx="24">
                  <c:v>2070.9036507374331</c:v>
                </c:pt>
                <c:pt idx="25">
                  <c:v>2131.828505663927</c:v>
                </c:pt>
                <c:pt idx="26">
                  <c:v>2190.8584019187183</c:v>
                </c:pt>
                <c:pt idx="27">
                  <c:v>2248.0088085521907</c:v>
                </c:pt>
                <c:pt idx="28">
                  <c:v>2303.2951946147241</c:v>
                </c:pt>
                <c:pt idx="29">
                  <c:v>2356.7330291566996</c:v>
                </c:pt>
                <c:pt idx="30">
                  <c:v>2408.3377812284998</c:v>
                </c:pt>
                <c:pt idx="31">
                  <c:v>2458.1249198805044</c:v>
                </c:pt>
                <c:pt idx="32">
                  <c:v>2506.1099141630943</c:v>
                </c:pt>
                <c:pt idx="33">
                  <c:v>2552.3082331266519</c:v>
                </c:pt>
                <c:pt idx="34">
                  <c:v>2596.7353458215584</c:v>
                </c:pt>
                <c:pt idx="35">
                  <c:v>2639.4067212981945</c:v>
                </c:pt>
                <c:pt idx="36">
                  <c:v>2680.3378286069424</c:v>
                </c:pt>
                <c:pt idx="37">
                  <c:v>2719.5441367981821</c:v>
                </c:pt>
                <c:pt idx="38">
                  <c:v>2757.0411149222941</c:v>
                </c:pt>
                <c:pt idx="39">
                  <c:v>2792.8442320296635</c:v>
                </c:pt>
                <c:pt idx="40">
                  <c:v>2826.9689571706667</c:v>
                </c:pt>
                <c:pt idx="41">
                  <c:v>2859.4307593956883</c:v>
                </c:pt>
                <c:pt idx="42">
                  <c:v>2890.2451077551073</c:v>
                </c:pt>
                <c:pt idx="43">
                  <c:v>2919.4274712993079</c:v>
                </c:pt>
                <c:pt idx="44">
                  <c:v>2946.9933190786674</c:v>
                </c:pt>
                <c:pt idx="45">
                  <c:v>2972.9581201435717</c:v>
                </c:pt>
                <c:pt idx="46">
                  <c:v>2997.3373435443968</c:v>
                </c:pt>
                <c:pt idx="47">
                  <c:v>3020.1464583315283</c:v>
                </c:pt>
                <c:pt idx="48">
                  <c:v>3041.4009335553442</c:v>
                </c:pt>
                <c:pt idx="49">
                  <c:v>3061.1162382662287</c:v>
                </c:pt>
                <c:pt idx="50">
                  <c:v>3079.3078415145601</c:v>
                </c:pt>
                <c:pt idx="51">
                  <c:v>3095.9912123507224</c:v>
                </c:pt>
                <c:pt idx="52">
                  <c:v>3111.1818198250949</c:v>
                </c:pt>
                <c:pt idx="53">
                  <c:v>3124.8951329880597</c:v>
                </c:pt>
                <c:pt idx="54">
                  <c:v>3137.1466208899974</c:v>
                </c:pt>
                <c:pt idx="55">
                  <c:v>3147.9517525812903</c:v>
                </c:pt>
                <c:pt idx="56">
                  <c:v>3157.3259971123189</c:v>
                </c:pt>
                <c:pt idx="57">
                  <c:v>3165.2848235334641</c:v>
                </c:pt>
                <c:pt idx="58">
                  <c:v>3171.8437008951073</c:v>
                </c:pt>
                <c:pt idx="59">
                  <c:v>3177.0180982476304</c:v>
                </c:pt>
                <c:pt idx="60">
                  <c:v>3180.8234846414143</c:v>
                </c:pt>
                <c:pt idx="61">
                  <c:v>3183.2753291268405</c:v>
                </c:pt>
                <c:pt idx="62">
                  <c:v>3184.3891007542884</c:v>
                </c:pt>
                <c:pt idx="63">
                  <c:v>3184.1802685741418</c:v>
                </c:pt>
                <c:pt idx="64">
                  <c:v>3182.6643016367807</c:v>
                </c:pt>
                <c:pt idx="65">
                  <c:v>3179.8566689925865</c:v>
                </c:pt>
                <c:pt idx="66">
                  <c:v>3175.7728396919406</c:v>
                </c:pt>
                <c:pt idx="67">
                  <c:v>3170.4282827852244</c:v>
                </c:pt>
                <c:pt idx="68">
                  <c:v>3163.8384673228179</c:v>
                </c:pt>
                <c:pt idx="69">
                  <c:v>3156.0188623551039</c:v>
                </c:pt>
                <c:pt idx="70">
                  <c:v>3146.9849369324625</c:v>
                </c:pt>
                <c:pt idx="71">
                  <c:v>3136.7521601052767</c:v>
                </c:pt>
                <c:pt idx="72">
                  <c:v>3125.3360009239245</c:v>
                </c:pt>
                <c:pt idx="73">
                  <c:v>3112.7519284387904</c:v>
                </c:pt>
                <c:pt idx="74">
                  <c:v>3099.0154117002539</c:v>
                </c:pt>
                <c:pt idx="75">
                  <c:v>3084.1419197586965</c:v>
                </c:pt>
                <c:pt idx="76">
                  <c:v>3068.1469216644996</c:v>
                </c:pt>
                <c:pt idx="77">
                  <c:v>3051.0458864680445</c:v>
                </c:pt>
                <c:pt idx="78">
                  <c:v>3032.8542832197118</c:v>
                </c:pt>
                <c:pt idx="79">
                  <c:v>3013.5875809698837</c:v>
                </c:pt>
                <c:pt idx="80">
                  <c:v>2993.2612487689421</c:v>
                </c:pt>
                <c:pt idx="81">
                  <c:v>2971.8907556672661</c:v>
                </c:pt>
                <c:pt idx="82">
                  <c:v>2949.4915707152381</c:v>
                </c:pt>
                <c:pt idx="83">
                  <c:v>2926.0791629632386</c:v>
                </c:pt>
                <c:pt idx="84">
                  <c:v>2901.6690014616502</c:v>
                </c:pt>
                <c:pt idx="85">
                  <c:v>2876.276555260853</c:v>
                </c:pt>
                <c:pt idx="86">
                  <c:v>2849.9172934112289</c:v>
                </c:pt>
                <c:pt idx="87">
                  <c:v>2822.6066849631579</c:v>
                </c:pt>
                <c:pt idx="88">
                  <c:v>2794.3601989670242</c:v>
                </c:pt>
                <c:pt idx="89">
                  <c:v>2765.1933044732054</c:v>
                </c:pt>
                <c:pt idx="90">
                  <c:v>2735.1214705320849</c:v>
                </c:pt>
                <c:pt idx="91">
                  <c:v>2704.1601661940431</c:v>
                </c:pt>
                <c:pt idx="92">
                  <c:v>2672.3248605094623</c:v>
                </c:pt>
                <c:pt idx="93">
                  <c:v>2639.6310225287225</c:v>
                </c:pt>
                <c:pt idx="94">
                  <c:v>2606.0941213022047</c:v>
                </c:pt>
                <c:pt idx="95">
                  <c:v>2571.7296258802921</c:v>
                </c:pt>
                <c:pt idx="96">
                  <c:v>2536.5530053133643</c:v>
                </c:pt>
                <c:pt idx="97">
                  <c:v>2500.5797286518023</c:v>
                </c:pt>
                <c:pt idx="98">
                  <c:v>2463.8252649459882</c:v>
                </c:pt>
                <c:pt idx="99">
                  <c:v>2426.3050832463027</c:v>
                </c:pt>
                <c:pt idx="100">
                  <c:v>2388.0346526031285</c:v>
                </c:pt>
                <c:pt idx="101">
                  <c:v>2349.0294420668447</c:v>
                </c:pt>
                <c:pt idx="102">
                  <c:v>2309.3049206878336</c:v>
                </c:pt>
                <c:pt idx="103">
                  <c:v>2268.8765575164757</c:v>
                </c:pt>
                <c:pt idx="104">
                  <c:v>2227.7598216031538</c:v>
                </c:pt>
                <c:pt idx="105">
                  <c:v>2185.9701819982483</c:v>
                </c:pt>
                <c:pt idx="106">
                  <c:v>2143.5231077521398</c:v>
                </c:pt>
                <c:pt idx="107">
                  <c:v>2100.4340679152101</c:v>
                </c:pt>
                <c:pt idx="108">
                  <c:v>2056.7185315378406</c:v>
                </c:pt>
                <c:pt idx="109">
                  <c:v>2012.391967670412</c:v>
                </c:pt>
                <c:pt idx="110">
                  <c:v>1967.4698453633059</c:v>
                </c:pt>
                <c:pt idx="111">
                  <c:v>1921.9676336669038</c:v>
                </c:pt>
                <c:pt idx="112">
                  <c:v>1875.9008016315868</c:v>
                </c:pt>
                <c:pt idx="113">
                  <c:v>1829.2848183077353</c:v>
                </c:pt>
                <c:pt idx="114">
                  <c:v>1782.1351527457314</c:v>
                </c:pt>
                <c:pt idx="115">
                  <c:v>1734.4672739959565</c:v>
                </c:pt>
                <c:pt idx="116">
                  <c:v>1686.2966511087909</c:v>
                </c:pt>
                <c:pt idx="117">
                  <c:v>1637.6387531346165</c:v>
                </c:pt>
                <c:pt idx="118">
                  <c:v>1588.509049123815</c:v>
                </c:pt>
                <c:pt idx="119">
                  <c:v>1538.9230081267665</c:v>
                </c:pt>
                <c:pt idx="120">
                  <c:v>1488.8960991938529</c:v>
                </c:pt>
                <c:pt idx="121">
                  <c:v>1438.4437913754557</c:v>
                </c:pt>
                <c:pt idx="122">
                  <c:v>1387.5815537219555</c:v>
                </c:pt>
                <c:pt idx="123">
                  <c:v>1336.3248552837335</c:v>
                </c:pt>
                <c:pt idx="124">
                  <c:v>1284.6891651111716</c:v>
                </c:pt>
                <c:pt idx="125">
                  <c:v>1232.6899522546507</c:v>
                </c:pt>
                <c:pt idx="126">
                  <c:v>1180.342685764552</c:v>
                </c:pt>
                <c:pt idx="127">
                  <c:v>1127.6628346912566</c:v>
                </c:pt>
                <c:pt idx="128">
                  <c:v>1074.6658680851463</c:v>
                </c:pt>
                <c:pt idx="129">
                  <c:v>1021.3672549966016</c:v>
                </c:pt>
                <c:pt idx="130">
                  <c:v>967.78246447600407</c:v>
                </c:pt>
                <c:pt idx="131">
                  <c:v>913.92696557373495</c:v>
                </c:pt>
                <c:pt idx="132">
                  <c:v>859.81622734017526</c:v>
                </c:pt>
                <c:pt idx="133">
                  <c:v>805.46571882570663</c:v>
                </c:pt>
                <c:pt idx="134">
                  <c:v>750.89090908071023</c:v>
                </c:pt>
                <c:pt idx="135">
                  <c:v>696.10726715556689</c:v>
                </c:pt>
                <c:pt idx="136">
                  <c:v>641.13026210065823</c:v>
                </c:pt>
                <c:pt idx="137">
                  <c:v>585.97536296636531</c:v>
                </c:pt>
                <c:pt idx="138">
                  <c:v>530.65803880306953</c:v>
                </c:pt>
                <c:pt idx="139">
                  <c:v>475.193758661152</c:v>
                </c:pt>
                <c:pt idx="140">
                  <c:v>419.59799159099396</c:v>
                </c:pt>
                <c:pt idx="141">
                  <c:v>363.88620664297662</c:v>
                </c:pt>
                <c:pt idx="142">
                  <c:v>308.07387286748127</c:v>
                </c:pt>
                <c:pt idx="143">
                  <c:v>252.17645931488914</c:v>
                </c:pt>
                <c:pt idx="144">
                  <c:v>196.20943503558146</c:v>
                </c:pt>
                <c:pt idx="145">
                  <c:v>140.18826907994128</c:v>
                </c:pt>
                <c:pt idx="146">
                  <c:v>84.128430498346191</c:v>
                </c:pt>
                <c:pt idx="147">
                  <c:v>28.045388341179244</c:v>
                </c:pt>
                <c:pt idx="148">
                  <c:v>-28.045388341178324</c:v>
                </c:pt>
                <c:pt idx="149">
                  <c:v>-84.128430498346191</c:v>
                </c:pt>
                <c:pt idx="150">
                  <c:v>-140.18826907994037</c:v>
                </c:pt>
                <c:pt idx="151">
                  <c:v>-196.20943503558331</c:v>
                </c:pt>
                <c:pt idx="152">
                  <c:v>-252.17645931489008</c:v>
                </c:pt>
                <c:pt idx="153">
                  <c:v>-308.07387286748309</c:v>
                </c:pt>
                <c:pt idx="154">
                  <c:v>-363.88620664297753</c:v>
                </c:pt>
                <c:pt idx="155">
                  <c:v>-419.59799159099578</c:v>
                </c:pt>
                <c:pt idx="156">
                  <c:v>-475.19375866115291</c:v>
                </c:pt>
                <c:pt idx="157">
                  <c:v>-530.65803880307146</c:v>
                </c:pt>
                <c:pt idx="158">
                  <c:v>-585.97536296636622</c:v>
                </c:pt>
                <c:pt idx="159">
                  <c:v>-641.13026210065993</c:v>
                </c:pt>
                <c:pt idx="160">
                  <c:v>-696.1072671555678</c:v>
                </c:pt>
                <c:pt idx="161">
                  <c:v>-750.89090908071194</c:v>
                </c:pt>
                <c:pt idx="162">
                  <c:v>-805.46571882570754</c:v>
                </c:pt>
                <c:pt idx="163">
                  <c:v>-859.81622734017708</c:v>
                </c:pt>
                <c:pt idx="164">
                  <c:v>-913.92696557373563</c:v>
                </c:pt>
                <c:pt idx="165">
                  <c:v>-967.78246447600566</c:v>
                </c:pt>
                <c:pt idx="166">
                  <c:v>-1021.3672549966022</c:v>
                </c:pt>
                <c:pt idx="167">
                  <c:v>-1074.6658680851481</c:v>
                </c:pt>
                <c:pt idx="168">
                  <c:v>-1127.6628346912578</c:v>
                </c:pt>
                <c:pt idx="169">
                  <c:v>-1180.3426857645536</c:v>
                </c:pt>
                <c:pt idx="170">
                  <c:v>-1232.6899522546516</c:v>
                </c:pt>
                <c:pt idx="171">
                  <c:v>-1284.6891651111735</c:v>
                </c:pt>
                <c:pt idx="172">
                  <c:v>-1336.3248552837345</c:v>
                </c:pt>
                <c:pt idx="173">
                  <c:v>-1387.5815537219571</c:v>
                </c:pt>
                <c:pt idx="174">
                  <c:v>-1438.4437913754582</c:v>
                </c:pt>
                <c:pt idx="175">
                  <c:v>-1488.8960991938548</c:v>
                </c:pt>
                <c:pt idx="176">
                  <c:v>-1538.9230081267672</c:v>
                </c:pt>
                <c:pt idx="177">
                  <c:v>-1588.509049123815</c:v>
                </c:pt>
                <c:pt idx="178">
                  <c:v>-1637.6387531346177</c:v>
                </c:pt>
                <c:pt idx="179">
                  <c:v>-1686.2966511087909</c:v>
                </c:pt>
                <c:pt idx="180">
                  <c:v>-1734.4672739959569</c:v>
                </c:pt>
                <c:pt idx="181">
                  <c:v>-1782.1351527457314</c:v>
                </c:pt>
                <c:pt idx="182">
                  <c:v>-1829.284818307736</c:v>
                </c:pt>
                <c:pt idx="183">
                  <c:v>-1875.9008016315868</c:v>
                </c:pt>
                <c:pt idx="184">
                  <c:v>-1921.9676336669047</c:v>
                </c:pt>
                <c:pt idx="185">
                  <c:v>-1967.4698453633059</c:v>
                </c:pt>
                <c:pt idx="186">
                  <c:v>-2012.3919676704131</c:v>
                </c:pt>
                <c:pt idx="187">
                  <c:v>-2056.7185315378406</c:v>
                </c:pt>
                <c:pt idx="188">
                  <c:v>-2100.434067915211</c:v>
                </c:pt>
                <c:pt idx="189">
                  <c:v>-2143.5231077521398</c:v>
                </c:pt>
                <c:pt idx="190">
                  <c:v>-2185.9701819982492</c:v>
                </c:pt>
                <c:pt idx="191">
                  <c:v>-2227.7598216031547</c:v>
                </c:pt>
                <c:pt idx="192">
                  <c:v>-2268.8765575164771</c:v>
                </c:pt>
                <c:pt idx="193">
                  <c:v>-2309.3049206878341</c:v>
                </c:pt>
                <c:pt idx="194">
                  <c:v>-2349.0294420668456</c:v>
                </c:pt>
                <c:pt idx="195">
                  <c:v>-2388.0346526031285</c:v>
                </c:pt>
                <c:pt idx="196">
                  <c:v>-2426.3050832463041</c:v>
                </c:pt>
                <c:pt idx="197">
                  <c:v>-2463.8252649459891</c:v>
                </c:pt>
                <c:pt idx="198">
                  <c:v>-2500.5797286518032</c:v>
                </c:pt>
                <c:pt idx="199">
                  <c:v>-2536.5530053133643</c:v>
                </c:pt>
                <c:pt idx="200">
                  <c:v>-2571.729625880293</c:v>
                </c:pt>
                <c:pt idx="201">
                  <c:v>-2606.0941213022056</c:v>
                </c:pt>
                <c:pt idx="202">
                  <c:v>-2639.6310225287234</c:v>
                </c:pt>
                <c:pt idx="203">
                  <c:v>-2672.3248605094623</c:v>
                </c:pt>
                <c:pt idx="204">
                  <c:v>-2704.1601661940449</c:v>
                </c:pt>
                <c:pt idx="205">
                  <c:v>-2735.1214705320854</c:v>
                </c:pt>
                <c:pt idx="206">
                  <c:v>-2765.1933044732068</c:v>
                </c:pt>
                <c:pt idx="207">
                  <c:v>-2794.3601989670256</c:v>
                </c:pt>
                <c:pt idx="208">
                  <c:v>-2822.6066849631598</c:v>
                </c:pt>
                <c:pt idx="209">
                  <c:v>-2849.9172934112289</c:v>
                </c:pt>
                <c:pt idx="210">
                  <c:v>-2876.276555260853</c:v>
                </c:pt>
                <c:pt idx="211">
                  <c:v>-2901.6690014616506</c:v>
                </c:pt>
                <c:pt idx="212">
                  <c:v>-2926.0791629632386</c:v>
                </c:pt>
                <c:pt idx="213">
                  <c:v>-2949.4915707152381</c:v>
                </c:pt>
                <c:pt idx="214">
                  <c:v>-2971.8907556672661</c:v>
                </c:pt>
                <c:pt idx="215">
                  <c:v>-2993.2612487689421</c:v>
                </c:pt>
                <c:pt idx="216">
                  <c:v>-3013.5875809698837</c:v>
                </c:pt>
                <c:pt idx="217">
                  <c:v>-3032.8542832197127</c:v>
                </c:pt>
                <c:pt idx="218">
                  <c:v>-3051.0458864680445</c:v>
                </c:pt>
                <c:pt idx="219">
                  <c:v>-3068.1469216644996</c:v>
                </c:pt>
                <c:pt idx="220">
                  <c:v>-3084.1419197586965</c:v>
                </c:pt>
                <c:pt idx="221">
                  <c:v>-3099.0154117002544</c:v>
                </c:pt>
                <c:pt idx="222">
                  <c:v>-3112.7519284387904</c:v>
                </c:pt>
                <c:pt idx="223">
                  <c:v>-3125.336000923925</c:v>
                </c:pt>
                <c:pt idx="224">
                  <c:v>-3136.7521601052767</c:v>
                </c:pt>
                <c:pt idx="225">
                  <c:v>-3146.9849369324625</c:v>
                </c:pt>
                <c:pt idx="226">
                  <c:v>-3156.0188623551039</c:v>
                </c:pt>
                <c:pt idx="227">
                  <c:v>-3163.8384673228188</c:v>
                </c:pt>
                <c:pt idx="228">
                  <c:v>-3170.4282827852244</c:v>
                </c:pt>
                <c:pt idx="229">
                  <c:v>-3175.7728396919415</c:v>
                </c:pt>
                <c:pt idx="230">
                  <c:v>-3179.8566689925874</c:v>
                </c:pt>
                <c:pt idx="231">
                  <c:v>-3182.6643016367807</c:v>
                </c:pt>
                <c:pt idx="232">
                  <c:v>-3184.1802685741418</c:v>
                </c:pt>
                <c:pt idx="233">
                  <c:v>-3184.3891007542888</c:v>
                </c:pt>
                <c:pt idx="234">
                  <c:v>-3183.2753291268396</c:v>
                </c:pt>
                <c:pt idx="235">
                  <c:v>-3180.8234846414143</c:v>
                </c:pt>
                <c:pt idx="236">
                  <c:v>-3177.0180982476304</c:v>
                </c:pt>
                <c:pt idx="237">
                  <c:v>-3171.8437008951068</c:v>
                </c:pt>
                <c:pt idx="238">
                  <c:v>-3165.2848235334632</c:v>
                </c:pt>
                <c:pt idx="239">
                  <c:v>-3157.3259971123184</c:v>
                </c:pt>
                <c:pt idx="240">
                  <c:v>-3147.9517525812903</c:v>
                </c:pt>
                <c:pt idx="241">
                  <c:v>-3137.1466208899974</c:v>
                </c:pt>
                <c:pt idx="242">
                  <c:v>-3124.8951329880592</c:v>
                </c:pt>
                <c:pt idx="243">
                  <c:v>-3111.1818198250949</c:v>
                </c:pt>
                <c:pt idx="244">
                  <c:v>-3095.9912123507215</c:v>
                </c:pt>
                <c:pt idx="245">
                  <c:v>-3079.3078415145601</c:v>
                </c:pt>
                <c:pt idx="246">
                  <c:v>-3061.1162382662278</c:v>
                </c:pt>
                <c:pt idx="247">
                  <c:v>-3041.4009335553442</c:v>
                </c:pt>
                <c:pt idx="248">
                  <c:v>-3020.1464583315274</c:v>
                </c:pt>
                <c:pt idx="249">
                  <c:v>-2997.3373435443968</c:v>
                </c:pt>
                <c:pt idx="250">
                  <c:v>-2972.9581201435708</c:v>
                </c:pt>
                <c:pt idx="251">
                  <c:v>-2946.9933190786674</c:v>
                </c:pt>
                <c:pt idx="252">
                  <c:v>-2919.4274712993069</c:v>
                </c:pt>
                <c:pt idx="253">
                  <c:v>-2890.2451077551073</c:v>
                </c:pt>
                <c:pt idx="254">
                  <c:v>-2859.4307593956878</c:v>
                </c:pt>
                <c:pt idx="255">
                  <c:v>-2826.9689571706667</c:v>
                </c:pt>
                <c:pt idx="256">
                  <c:v>-2792.8442320296622</c:v>
                </c:pt>
                <c:pt idx="257">
                  <c:v>-2757.0411149222941</c:v>
                </c:pt>
                <c:pt idx="258">
                  <c:v>-2719.5441367981803</c:v>
                </c:pt>
                <c:pt idx="259">
                  <c:v>-2680.3378286069419</c:v>
                </c:pt>
                <c:pt idx="260">
                  <c:v>-2639.4067212981936</c:v>
                </c:pt>
                <c:pt idx="261">
                  <c:v>-2596.735345821558</c:v>
                </c:pt>
                <c:pt idx="262">
                  <c:v>-2552.3082331266505</c:v>
                </c:pt>
                <c:pt idx="263">
                  <c:v>-2506.109914163093</c:v>
                </c:pt>
                <c:pt idx="264">
                  <c:v>-2458.1249198805017</c:v>
                </c:pt>
                <c:pt idx="265">
                  <c:v>-2408.3377812284984</c:v>
                </c:pt>
                <c:pt idx="266">
                  <c:v>-2356.7330291566977</c:v>
                </c:pt>
                <c:pt idx="267">
                  <c:v>-2303.2951946147232</c:v>
                </c:pt>
                <c:pt idx="268">
                  <c:v>-2248.0088085521888</c:v>
                </c:pt>
                <c:pt idx="269">
                  <c:v>-2190.8584019187174</c:v>
                </c:pt>
                <c:pt idx="270">
                  <c:v>-2131.8285056639238</c:v>
                </c:pt>
                <c:pt idx="271">
                  <c:v>-2070.9036507374321</c:v>
                </c:pt>
                <c:pt idx="272">
                  <c:v>-2008.0683680888546</c:v>
                </c:pt>
                <c:pt idx="273">
                  <c:v>-1943.3071886678158</c:v>
                </c:pt>
                <c:pt idx="274">
                  <c:v>-1876.6046434239306</c:v>
                </c:pt>
                <c:pt idx="275">
                  <c:v>-1807.9452633068202</c:v>
                </c:pt>
                <c:pt idx="276">
                  <c:v>-1737.3135792661012</c:v>
                </c:pt>
                <c:pt idx="277">
                  <c:v>-1664.6941222513924</c:v>
                </c:pt>
                <c:pt idx="278">
                  <c:v>-1590.0714232123173</c:v>
                </c:pt>
                <c:pt idx="279">
                  <c:v>-1513.4300130984871</c:v>
                </c:pt>
                <c:pt idx="280">
                  <c:v>-1434.7544228595279</c:v>
                </c:pt>
                <c:pt idx="281">
                  <c:v>-1354.0291834450527</c:v>
                </c:pt>
                <c:pt idx="282">
                  <c:v>-1271.2388258046849</c:v>
                </c:pt>
                <c:pt idx="283">
                  <c:v>-1186.3678808880381</c:v>
                </c:pt>
                <c:pt idx="284">
                  <c:v>-1099.4008796447379</c:v>
                </c:pt>
                <c:pt idx="285">
                  <c:v>-1010.3223530243947</c:v>
                </c:pt>
                <c:pt idx="286">
                  <c:v>-919.11683197663581</c:v>
                </c:pt>
                <c:pt idx="287">
                  <c:v>-825.7688474510727</c:v>
                </c:pt>
                <c:pt idx="288">
                  <c:v>-730.26293039733002</c:v>
                </c:pt>
                <c:pt idx="289">
                  <c:v>-632.58361176502672</c:v>
                </c:pt>
                <c:pt idx="290">
                  <c:v>-532.71542250377809</c:v>
                </c:pt>
                <c:pt idx="291">
                  <c:v>-430.64289356319779</c:v>
                </c:pt>
                <c:pt idx="292">
                  <c:v>-326.35055589291312</c:v>
                </c:pt>
                <c:pt idx="293">
                  <c:v>-219.822940442538</c:v>
                </c:pt>
                <c:pt idx="294">
                  <c:v>-111.04457816169617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56-4BF6-8F67-BF65D9879F17}"/>
            </c:ext>
          </c:extLst>
        </c:ser>
        <c:ser>
          <c:idx val="0"/>
          <c:order val="1"/>
          <c:tx>
            <c:v>optimized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[0]!optipoly.qd2</c:f>
              <c:numCache>
                <c:formatCode>0.00000</c:formatCode>
                <c:ptCount val="296"/>
                <c:pt idx="0">
                  <c:v>0</c:v>
                </c:pt>
                <c:pt idx="1">
                  <c:v>111.04457816169487</c:v>
                </c:pt>
                <c:pt idx="2">
                  <c:v>219.822940442538</c:v>
                </c:pt>
                <c:pt idx="3">
                  <c:v>326.35055589291187</c:v>
                </c:pt>
                <c:pt idx="4">
                  <c:v>430.64289356319779</c:v>
                </c:pt>
                <c:pt idx="5">
                  <c:v>532.71542250377433</c:v>
                </c:pt>
                <c:pt idx="6">
                  <c:v>632.58361176502672</c:v>
                </c:pt>
                <c:pt idx="7">
                  <c:v>730.26293039733469</c:v>
                </c:pt>
                <c:pt idx="8">
                  <c:v>825.76884745107839</c:v>
                </c:pt>
                <c:pt idx="9">
                  <c:v>919.11683197664036</c:v>
                </c:pt>
                <c:pt idx="10">
                  <c:v>1010.3223530244017</c:v>
                </c:pt>
                <c:pt idx="11">
                  <c:v>1099.4008796447422</c:v>
                </c:pt>
                <c:pt idx="12">
                  <c:v>1186.3678808880447</c:v>
                </c:pt>
                <c:pt idx="13">
                  <c:v>1271.2388258046892</c:v>
                </c:pt>
                <c:pt idx="14">
                  <c:v>1354.0291834450579</c:v>
                </c:pt>
                <c:pt idx="15">
                  <c:v>1434.7544228595314</c:v>
                </c:pt>
                <c:pt idx="16">
                  <c:v>1513.4300130984923</c:v>
                </c:pt>
                <c:pt idx="17">
                  <c:v>1590.0714232123194</c:v>
                </c:pt>
                <c:pt idx="18">
                  <c:v>1664.6941222513972</c:v>
                </c:pt>
                <c:pt idx="19">
                  <c:v>1737.3135792661028</c:v>
                </c:pt>
                <c:pt idx="20">
                  <c:v>1807.9452633068211</c:v>
                </c:pt>
                <c:pt idx="21">
                  <c:v>1876.6046434239322</c:v>
                </c:pt>
                <c:pt idx="22">
                  <c:v>1943.3071886678179</c:v>
                </c:pt>
                <c:pt idx="23">
                  <c:v>2008.0683680888574</c:v>
                </c:pt>
                <c:pt idx="24">
                  <c:v>2070.9036507374331</c:v>
                </c:pt>
                <c:pt idx="25">
                  <c:v>2131.828505663927</c:v>
                </c:pt>
                <c:pt idx="26">
                  <c:v>2190.8584019187183</c:v>
                </c:pt>
                <c:pt idx="27">
                  <c:v>2248.0088085521907</c:v>
                </c:pt>
                <c:pt idx="28">
                  <c:v>2303.2951946147241</c:v>
                </c:pt>
                <c:pt idx="29">
                  <c:v>2356.7330291566996</c:v>
                </c:pt>
                <c:pt idx="30">
                  <c:v>2408.3377812284989</c:v>
                </c:pt>
                <c:pt idx="31">
                  <c:v>2458.1249198805035</c:v>
                </c:pt>
                <c:pt idx="32">
                  <c:v>2506.1099141630943</c:v>
                </c:pt>
                <c:pt idx="33">
                  <c:v>2552.3082331266528</c:v>
                </c:pt>
                <c:pt idx="34">
                  <c:v>2596.7353458215584</c:v>
                </c:pt>
                <c:pt idx="35">
                  <c:v>2639.4067212981945</c:v>
                </c:pt>
                <c:pt idx="36">
                  <c:v>2680.3378286069424</c:v>
                </c:pt>
                <c:pt idx="37">
                  <c:v>2719.5441367981821</c:v>
                </c:pt>
                <c:pt idx="38">
                  <c:v>2757.0411149222941</c:v>
                </c:pt>
                <c:pt idx="39">
                  <c:v>2792.8442320296635</c:v>
                </c:pt>
                <c:pt idx="40">
                  <c:v>2826.9689571706667</c:v>
                </c:pt>
                <c:pt idx="41">
                  <c:v>2859.4307593956892</c:v>
                </c:pt>
                <c:pt idx="42">
                  <c:v>2890.2451077551082</c:v>
                </c:pt>
                <c:pt idx="43">
                  <c:v>2919.4274712993079</c:v>
                </c:pt>
                <c:pt idx="44">
                  <c:v>2946.9933190786683</c:v>
                </c:pt>
                <c:pt idx="45">
                  <c:v>2972.9581201435717</c:v>
                </c:pt>
                <c:pt idx="46">
                  <c:v>2997.3373435443968</c:v>
                </c:pt>
                <c:pt idx="47">
                  <c:v>3020.1464583315283</c:v>
                </c:pt>
                <c:pt idx="48">
                  <c:v>3041.4009335553442</c:v>
                </c:pt>
                <c:pt idx="49">
                  <c:v>3061.1162382662287</c:v>
                </c:pt>
                <c:pt idx="50">
                  <c:v>3079.3078415145601</c:v>
                </c:pt>
                <c:pt idx="51">
                  <c:v>3095.9912123507224</c:v>
                </c:pt>
                <c:pt idx="52">
                  <c:v>3111.1818198250949</c:v>
                </c:pt>
                <c:pt idx="53">
                  <c:v>3124.8951329880597</c:v>
                </c:pt>
                <c:pt idx="54">
                  <c:v>3137.1466208899974</c:v>
                </c:pt>
                <c:pt idx="55">
                  <c:v>3147.9517525812903</c:v>
                </c:pt>
                <c:pt idx="56">
                  <c:v>3157.3259971123184</c:v>
                </c:pt>
                <c:pt idx="57">
                  <c:v>3165.2848235334641</c:v>
                </c:pt>
                <c:pt idx="58">
                  <c:v>3171.8437008951073</c:v>
                </c:pt>
                <c:pt idx="59">
                  <c:v>3177.0180982476304</c:v>
                </c:pt>
                <c:pt idx="60">
                  <c:v>3180.8234846414143</c:v>
                </c:pt>
                <c:pt idx="61">
                  <c:v>3183.2753291268405</c:v>
                </c:pt>
                <c:pt idx="62">
                  <c:v>3184.3891007542888</c:v>
                </c:pt>
                <c:pt idx="63">
                  <c:v>3184.1802685741418</c:v>
                </c:pt>
                <c:pt idx="64">
                  <c:v>3182.6643016367807</c:v>
                </c:pt>
                <c:pt idx="65">
                  <c:v>3179.8566689925865</c:v>
                </c:pt>
                <c:pt idx="66">
                  <c:v>3175.7728396919406</c:v>
                </c:pt>
                <c:pt idx="67">
                  <c:v>3170.4282827852244</c:v>
                </c:pt>
                <c:pt idx="68">
                  <c:v>3163.8384673228179</c:v>
                </c:pt>
                <c:pt idx="69">
                  <c:v>3156.0188623551039</c:v>
                </c:pt>
                <c:pt idx="70">
                  <c:v>3146.9849369324625</c:v>
                </c:pt>
                <c:pt idx="71">
                  <c:v>3136.7521601052767</c:v>
                </c:pt>
                <c:pt idx="72">
                  <c:v>3125.336000923925</c:v>
                </c:pt>
                <c:pt idx="73">
                  <c:v>3112.7519284387904</c:v>
                </c:pt>
                <c:pt idx="74">
                  <c:v>3099.0154117002539</c:v>
                </c:pt>
                <c:pt idx="75">
                  <c:v>3084.1419197586965</c:v>
                </c:pt>
                <c:pt idx="76">
                  <c:v>3068.1469216644996</c:v>
                </c:pt>
                <c:pt idx="77">
                  <c:v>3051.0458864680445</c:v>
                </c:pt>
                <c:pt idx="78">
                  <c:v>3032.8542832197127</c:v>
                </c:pt>
                <c:pt idx="79">
                  <c:v>3013.5875809698837</c:v>
                </c:pt>
                <c:pt idx="80">
                  <c:v>2993.2612487689421</c:v>
                </c:pt>
                <c:pt idx="81">
                  <c:v>2971.8907556672661</c:v>
                </c:pt>
                <c:pt idx="82">
                  <c:v>2949.4915707152381</c:v>
                </c:pt>
                <c:pt idx="83">
                  <c:v>2926.0791629632386</c:v>
                </c:pt>
                <c:pt idx="84">
                  <c:v>2901.6690014616502</c:v>
                </c:pt>
                <c:pt idx="85">
                  <c:v>2876.276555260853</c:v>
                </c:pt>
                <c:pt idx="86">
                  <c:v>2849.9172934112289</c:v>
                </c:pt>
                <c:pt idx="87">
                  <c:v>2822.6066849631579</c:v>
                </c:pt>
                <c:pt idx="88">
                  <c:v>2794.3601989670242</c:v>
                </c:pt>
                <c:pt idx="89">
                  <c:v>2765.1933044732054</c:v>
                </c:pt>
                <c:pt idx="90">
                  <c:v>2735.1214705320849</c:v>
                </c:pt>
                <c:pt idx="91">
                  <c:v>2704.1601661940431</c:v>
                </c:pt>
                <c:pt idx="92">
                  <c:v>2672.3248605094623</c:v>
                </c:pt>
                <c:pt idx="93">
                  <c:v>2639.6310225287225</c:v>
                </c:pt>
                <c:pt idx="94">
                  <c:v>2606.0941213022047</c:v>
                </c:pt>
                <c:pt idx="95">
                  <c:v>2571.7296258802921</c:v>
                </c:pt>
                <c:pt idx="96">
                  <c:v>2536.5530053133643</c:v>
                </c:pt>
                <c:pt idx="97">
                  <c:v>2500.5797286518023</c:v>
                </c:pt>
                <c:pt idx="98">
                  <c:v>2463.8252649459882</c:v>
                </c:pt>
                <c:pt idx="99">
                  <c:v>2426.3050832463027</c:v>
                </c:pt>
                <c:pt idx="100">
                  <c:v>2388.0346526031285</c:v>
                </c:pt>
                <c:pt idx="101">
                  <c:v>2349.0294420668447</c:v>
                </c:pt>
                <c:pt idx="102">
                  <c:v>2309.3049206878336</c:v>
                </c:pt>
                <c:pt idx="103">
                  <c:v>2268.8765575164757</c:v>
                </c:pt>
                <c:pt idx="104">
                  <c:v>2227.7598216031538</c:v>
                </c:pt>
                <c:pt idx="105">
                  <c:v>2185.9701819982483</c:v>
                </c:pt>
                <c:pt idx="106">
                  <c:v>2143.5231077521398</c:v>
                </c:pt>
                <c:pt idx="107">
                  <c:v>2100.4340679152101</c:v>
                </c:pt>
                <c:pt idx="108">
                  <c:v>2056.7185315378406</c:v>
                </c:pt>
                <c:pt idx="109">
                  <c:v>2012.391967670412</c:v>
                </c:pt>
                <c:pt idx="110">
                  <c:v>1967.4698453633061</c:v>
                </c:pt>
                <c:pt idx="111">
                  <c:v>1921.9676336669038</c:v>
                </c:pt>
                <c:pt idx="112">
                  <c:v>1875.9008016315868</c:v>
                </c:pt>
                <c:pt idx="113">
                  <c:v>1829.2848183077353</c:v>
                </c:pt>
                <c:pt idx="114">
                  <c:v>1782.1351527457314</c:v>
                </c:pt>
                <c:pt idx="115">
                  <c:v>1734.4672739959565</c:v>
                </c:pt>
                <c:pt idx="116">
                  <c:v>1686.2966511087909</c:v>
                </c:pt>
                <c:pt idx="117">
                  <c:v>1637.6387531346165</c:v>
                </c:pt>
                <c:pt idx="118">
                  <c:v>1588.509049123815</c:v>
                </c:pt>
                <c:pt idx="119">
                  <c:v>1538.9230081267665</c:v>
                </c:pt>
                <c:pt idx="120">
                  <c:v>1488.8960991938529</c:v>
                </c:pt>
                <c:pt idx="121">
                  <c:v>1438.4437913754557</c:v>
                </c:pt>
                <c:pt idx="122">
                  <c:v>1387.5815537219555</c:v>
                </c:pt>
                <c:pt idx="123">
                  <c:v>1336.3248552837335</c:v>
                </c:pt>
                <c:pt idx="124">
                  <c:v>1284.6891651111716</c:v>
                </c:pt>
                <c:pt idx="125">
                  <c:v>1232.6899522546507</c:v>
                </c:pt>
                <c:pt idx="126">
                  <c:v>1180.342685764552</c:v>
                </c:pt>
                <c:pt idx="127">
                  <c:v>1127.6628346912566</c:v>
                </c:pt>
                <c:pt idx="128">
                  <c:v>1074.6658680851463</c:v>
                </c:pt>
                <c:pt idx="129">
                  <c:v>1021.3672549966016</c:v>
                </c:pt>
                <c:pt idx="130">
                  <c:v>967.78246447600407</c:v>
                </c:pt>
                <c:pt idx="131">
                  <c:v>913.92696557373495</c:v>
                </c:pt>
                <c:pt idx="132">
                  <c:v>859.81622734017526</c:v>
                </c:pt>
                <c:pt idx="133">
                  <c:v>805.46571882570663</c:v>
                </c:pt>
                <c:pt idx="134">
                  <c:v>750.89090908071023</c:v>
                </c:pt>
                <c:pt idx="135">
                  <c:v>696.107267155567</c:v>
                </c:pt>
                <c:pt idx="136">
                  <c:v>641.13026210065823</c:v>
                </c:pt>
                <c:pt idx="137">
                  <c:v>585.97536296636531</c:v>
                </c:pt>
                <c:pt idx="138">
                  <c:v>530.65803880306953</c:v>
                </c:pt>
                <c:pt idx="139">
                  <c:v>475.193758661152</c:v>
                </c:pt>
                <c:pt idx="140">
                  <c:v>419.59799159099396</c:v>
                </c:pt>
                <c:pt idx="141">
                  <c:v>363.88620664297662</c:v>
                </c:pt>
                <c:pt idx="142">
                  <c:v>308.07387286748127</c:v>
                </c:pt>
                <c:pt idx="143">
                  <c:v>252.17645931488914</c:v>
                </c:pt>
                <c:pt idx="144">
                  <c:v>196.20943503558146</c:v>
                </c:pt>
                <c:pt idx="145">
                  <c:v>140.18826907994128</c:v>
                </c:pt>
                <c:pt idx="146">
                  <c:v>84.128430498346191</c:v>
                </c:pt>
                <c:pt idx="147">
                  <c:v>28.045388341179244</c:v>
                </c:pt>
                <c:pt idx="148">
                  <c:v>-28.045388341178324</c:v>
                </c:pt>
                <c:pt idx="149">
                  <c:v>-84.128430498346191</c:v>
                </c:pt>
                <c:pt idx="150">
                  <c:v>-140.18826907994037</c:v>
                </c:pt>
                <c:pt idx="151">
                  <c:v>-196.20943503558331</c:v>
                </c:pt>
                <c:pt idx="152">
                  <c:v>-252.17645931489008</c:v>
                </c:pt>
                <c:pt idx="153">
                  <c:v>-308.07387286748309</c:v>
                </c:pt>
                <c:pt idx="154">
                  <c:v>-363.88620664297753</c:v>
                </c:pt>
                <c:pt idx="155">
                  <c:v>-419.59799159099578</c:v>
                </c:pt>
                <c:pt idx="156">
                  <c:v>-475.19375866115291</c:v>
                </c:pt>
                <c:pt idx="157">
                  <c:v>-530.65803880307146</c:v>
                </c:pt>
                <c:pt idx="158">
                  <c:v>-585.97536296636622</c:v>
                </c:pt>
                <c:pt idx="159">
                  <c:v>-641.13026210065993</c:v>
                </c:pt>
                <c:pt idx="160">
                  <c:v>-696.1072671555678</c:v>
                </c:pt>
                <c:pt idx="161">
                  <c:v>-750.89090908071194</c:v>
                </c:pt>
                <c:pt idx="162">
                  <c:v>-805.46571882570754</c:v>
                </c:pt>
                <c:pt idx="163">
                  <c:v>-859.81622734017708</c:v>
                </c:pt>
                <c:pt idx="164">
                  <c:v>-913.92696557373563</c:v>
                </c:pt>
                <c:pt idx="165">
                  <c:v>-967.78246447600566</c:v>
                </c:pt>
                <c:pt idx="166">
                  <c:v>-1021.3672549966022</c:v>
                </c:pt>
                <c:pt idx="167">
                  <c:v>-1074.6658680851481</c:v>
                </c:pt>
                <c:pt idx="168">
                  <c:v>-1127.6628346912578</c:v>
                </c:pt>
                <c:pt idx="169">
                  <c:v>-1180.3426857645538</c:v>
                </c:pt>
                <c:pt idx="170">
                  <c:v>-1232.6899522546516</c:v>
                </c:pt>
                <c:pt idx="171">
                  <c:v>-1284.6891651111735</c:v>
                </c:pt>
                <c:pt idx="172">
                  <c:v>-1336.3248552837345</c:v>
                </c:pt>
                <c:pt idx="173">
                  <c:v>-1387.5815537219571</c:v>
                </c:pt>
                <c:pt idx="174">
                  <c:v>-1438.4437913754582</c:v>
                </c:pt>
                <c:pt idx="175">
                  <c:v>-1488.8960991938548</c:v>
                </c:pt>
                <c:pt idx="176">
                  <c:v>-1538.9230081267672</c:v>
                </c:pt>
                <c:pt idx="177">
                  <c:v>-1588.509049123815</c:v>
                </c:pt>
                <c:pt idx="178">
                  <c:v>-1637.6387531346177</c:v>
                </c:pt>
                <c:pt idx="179">
                  <c:v>-1686.2966511087909</c:v>
                </c:pt>
                <c:pt idx="180">
                  <c:v>-1734.4672739959569</c:v>
                </c:pt>
                <c:pt idx="181">
                  <c:v>-1782.1351527457314</c:v>
                </c:pt>
                <c:pt idx="182">
                  <c:v>-1829.284818307736</c:v>
                </c:pt>
                <c:pt idx="183">
                  <c:v>-1875.9008016315868</c:v>
                </c:pt>
                <c:pt idx="184">
                  <c:v>-1921.9676336669047</c:v>
                </c:pt>
                <c:pt idx="185">
                  <c:v>-1967.4698453633061</c:v>
                </c:pt>
                <c:pt idx="186">
                  <c:v>-2012.3919676704131</c:v>
                </c:pt>
                <c:pt idx="187">
                  <c:v>-2056.7185315378406</c:v>
                </c:pt>
                <c:pt idx="188">
                  <c:v>-2100.434067915211</c:v>
                </c:pt>
                <c:pt idx="189">
                  <c:v>-2143.5231077521398</c:v>
                </c:pt>
                <c:pt idx="190">
                  <c:v>-2185.9701819982492</c:v>
                </c:pt>
                <c:pt idx="191">
                  <c:v>-2227.7598216031547</c:v>
                </c:pt>
                <c:pt idx="192">
                  <c:v>-2268.8765575164771</c:v>
                </c:pt>
                <c:pt idx="193">
                  <c:v>-2309.3049206878341</c:v>
                </c:pt>
                <c:pt idx="194">
                  <c:v>-2349.0294420668456</c:v>
                </c:pt>
                <c:pt idx="195">
                  <c:v>-2388.0346526031285</c:v>
                </c:pt>
                <c:pt idx="196">
                  <c:v>-2426.3050832463041</c:v>
                </c:pt>
                <c:pt idx="197">
                  <c:v>-2463.8252649459891</c:v>
                </c:pt>
                <c:pt idx="198">
                  <c:v>-2500.5797286518032</c:v>
                </c:pt>
                <c:pt idx="199">
                  <c:v>-2536.5530053133643</c:v>
                </c:pt>
                <c:pt idx="200">
                  <c:v>-2571.729625880293</c:v>
                </c:pt>
                <c:pt idx="201">
                  <c:v>-2606.0941213022056</c:v>
                </c:pt>
                <c:pt idx="202">
                  <c:v>-2639.6310225287234</c:v>
                </c:pt>
                <c:pt idx="203">
                  <c:v>-2672.3248605094623</c:v>
                </c:pt>
                <c:pt idx="204">
                  <c:v>-2704.160166194044</c:v>
                </c:pt>
                <c:pt idx="205">
                  <c:v>-2735.1214705320854</c:v>
                </c:pt>
                <c:pt idx="206">
                  <c:v>-2765.1933044732068</c:v>
                </c:pt>
                <c:pt idx="207">
                  <c:v>-2794.3601989670256</c:v>
                </c:pt>
                <c:pt idx="208">
                  <c:v>-2822.6066849631598</c:v>
                </c:pt>
                <c:pt idx="209">
                  <c:v>-2849.9172934112289</c:v>
                </c:pt>
                <c:pt idx="210">
                  <c:v>-2876.276555260853</c:v>
                </c:pt>
                <c:pt idx="211">
                  <c:v>-2901.6690014616502</c:v>
                </c:pt>
                <c:pt idx="212">
                  <c:v>-2926.0791629632386</c:v>
                </c:pt>
                <c:pt idx="213">
                  <c:v>-2949.4915707152381</c:v>
                </c:pt>
                <c:pt idx="214">
                  <c:v>-2971.8907556672661</c:v>
                </c:pt>
                <c:pt idx="215">
                  <c:v>-2993.2612487689421</c:v>
                </c:pt>
                <c:pt idx="216">
                  <c:v>-3013.5875809698837</c:v>
                </c:pt>
                <c:pt idx="217">
                  <c:v>-3032.8542832197127</c:v>
                </c:pt>
                <c:pt idx="218">
                  <c:v>-3051.0458864680445</c:v>
                </c:pt>
                <c:pt idx="219">
                  <c:v>-3068.1469216645</c:v>
                </c:pt>
                <c:pt idx="220">
                  <c:v>-3084.1419197586965</c:v>
                </c:pt>
                <c:pt idx="221">
                  <c:v>-3099.0154117002539</c:v>
                </c:pt>
                <c:pt idx="222">
                  <c:v>-3112.7519284387904</c:v>
                </c:pt>
                <c:pt idx="223">
                  <c:v>-3125.336000923925</c:v>
                </c:pt>
                <c:pt idx="224">
                  <c:v>-3136.7521601052758</c:v>
                </c:pt>
                <c:pt idx="225">
                  <c:v>-3146.9849369324625</c:v>
                </c:pt>
                <c:pt idx="226">
                  <c:v>-3156.0188623551039</c:v>
                </c:pt>
                <c:pt idx="227">
                  <c:v>-3163.8384673228188</c:v>
                </c:pt>
                <c:pt idx="228">
                  <c:v>-3170.4282827852244</c:v>
                </c:pt>
                <c:pt idx="229">
                  <c:v>-3175.7728396919415</c:v>
                </c:pt>
                <c:pt idx="230">
                  <c:v>-3179.8566689925874</c:v>
                </c:pt>
                <c:pt idx="231">
                  <c:v>-3182.6643016367807</c:v>
                </c:pt>
                <c:pt idx="232">
                  <c:v>-3184.1802685741418</c:v>
                </c:pt>
                <c:pt idx="233">
                  <c:v>-3184.3891007542888</c:v>
                </c:pt>
                <c:pt idx="234">
                  <c:v>-3183.2753291268396</c:v>
                </c:pt>
                <c:pt idx="235">
                  <c:v>-3180.8234846414143</c:v>
                </c:pt>
                <c:pt idx="236">
                  <c:v>-3177.0180982476304</c:v>
                </c:pt>
                <c:pt idx="237">
                  <c:v>-3171.8437008951073</c:v>
                </c:pt>
                <c:pt idx="238">
                  <c:v>-3165.2848235334632</c:v>
                </c:pt>
                <c:pt idx="239">
                  <c:v>-3157.3259971123184</c:v>
                </c:pt>
                <c:pt idx="240">
                  <c:v>-3147.9517525812903</c:v>
                </c:pt>
                <c:pt idx="241">
                  <c:v>-3137.1466208899974</c:v>
                </c:pt>
                <c:pt idx="242">
                  <c:v>-3124.8951329880592</c:v>
                </c:pt>
                <c:pt idx="243">
                  <c:v>-3111.1818198250949</c:v>
                </c:pt>
                <c:pt idx="244">
                  <c:v>-3095.9912123507215</c:v>
                </c:pt>
                <c:pt idx="245">
                  <c:v>-3079.3078415145601</c:v>
                </c:pt>
                <c:pt idx="246">
                  <c:v>-3061.1162382662278</c:v>
                </c:pt>
                <c:pt idx="247">
                  <c:v>-3041.4009335553442</c:v>
                </c:pt>
                <c:pt idx="248">
                  <c:v>-3020.1464583315274</c:v>
                </c:pt>
                <c:pt idx="249">
                  <c:v>-2997.3373435443968</c:v>
                </c:pt>
                <c:pt idx="250">
                  <c:v>-2972.9581201435708</c:v>
                </c:pt>
                <c:pt idx="251">
                  <c:v>-2946.9933190786683</c:v>
                </c:pt>
                <c:pt idx="252">
                  <c:v>-2919.4274712993069</c:v>
                </c:pt>
                <c:pt idx="253">
                  <c:v>-2890.2451077551082</c:v>
                </c:pt>
                <c:pt idx="254">
                  <c:v>-2859.4307593956873</c:v>
                </c:pt>
                <c:pt idx="255">
                  <c:v>-2826.9689571706667</c:v>
                </c:pt>
                <c:pt idx="256">
                  <c:v>-2792.8442320296622</c:v>
                </c:pt>
                <c:pt idx="257">
                  <c:v>-2757.0411149222941</c:v>
                </c:pt>
                <c:pt idx="258">
                  <c:v>-2719.5441367981812</c:v>
                </c:pt>
                <c:pt idx="259">
                  <c:v>-2680.3378286069419</c:v>
                </c:pt>
                <c:pt idx="260">
                  <c:v>-2639.4067212981936</c:v>
                </c:pt>
                <c:pt idx="261">
                  <c:v>-2596.735345821558</c:v>
                </c:pt>
                <c:pt idx="262">
                  <c:v>-2552.3082331266505</c:v>
                </c:pt>
                <c:pt idx="263">
                  <c:v>-2506.1099141630934</c:v>
                </c:pt>
                <c:pt idx="264">
                  <c:v>-2458.1249198805017</c:v>
                </c:pt>
                <c:pt idx="265">
                  <c:v>-2408.3377812284984</c:v>
                </c:pt>
                <c:pt idx="266">
                  <c:v>-2356.7330291566982</c:v>
                </c:pt>
                <c:pt idx="267">
                  <c:v>-2303.2951946147236</c:v>
                </c:pt>
                <c:pt idx="268">
                  <c:v>-2248.0088085521888</c:v>
                </c:pt>
                <c:pt idx="269">
                  <c:v>-2190.8584019187174</c:v>
                </c:pt>
                <c:pt idx="270">
                  <c:v>-2131.8285056639238</c:v>
                </c:pt>
                <c:pt idx="271">
                  <c:v>-2070.9036507374317</c:v>
                </c:pt>
                <c:pt idx="272">
                  <c:v>-2008.0683680888546</c:v>
                </c:pt>
                <c:pt idx="273">
                  <c:v>-1943.3071886678158</c:v>
                </c:pt>
                <c:pt idx="274">
                  <c:v>-1876.6046434239306</c:v>
                </c:pt>
                <c:pt idx="275">
                  <c:v>-1807.9452633068202</c:v>
                </c:pt>
                <c:pt idx="276">
                  <c:v>-1737.3135792661012</c:v>
                </c:pt>
                <c:pt idx="277">
                  <c:v>-1664.6941222513924</c:v>
                </c:pt>
                <c:pt idx="278">
                  <c:v>-1590.0714232123173</c:v>
                </c:pt>
                <c:pt idx="279">
                  <c:v>-1513.4300130984871</c:v>
                </c:pt>
                <c:pt idx="280">
                  <c:v>-1434.7544228595279</c:v>
                </c:pt>
                <c:pt idx="281">
                  <c:v>-1354.0291834450527</c:v>
                </c:pt>
                <c:pt idx="282">
                  <c:v>-1271.2388258046849</c:v>
                </c:pt>
                <c:pt idx="283">
                  <c:v>-1186.3678808880393</c:v>
                </c:pt>
                <c:pt idx="284">
                  <c:v>-1099.4008796447379</c:v>
                </c:pt>
                <c:pt idx="285">
                  <c:v>-1010.3223530243947</c:v>
                </c:pt>
                <c:pt idx="286">
                  <c:v>-919.11683197663581</c:v>
                </c:pt>
                <c:pt idx="287">
                  <c:v>-825.7688474510727</c:v>
                </c:pt>
                <c:pt idx="288">
                  <c:v>-730.26293039733002</c:v>
                </c:pt>
                <c:pt idx="289">
                  <c:v>-632.58361176502672</c:v>
                </c:pt>
                <c:pt idx="290">
                  <c:v>-532.71542250377684</c:v>
                </c:pt>
                <c:pt idx="291">
                  <c:v>-430.64289356319779</c:v>
                </c:pt>
                <c:pt idx="292">
                  <c:v>-326.35055589291312</c:v>
                </c:pt>
                <c:pt idx="293">
                  <c:v>-219.822940442538</c:v>
                </c:pt>
                <c:pt idx="294">
                  <c:v>-111.04457816169617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87-4A3E-9E27-A1677E9E9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62767"/>
        <c:axId val="1570608351"/>
      </c:scatterChart>
      <c:valAx>
        <c:axId val="10693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[s] </a:t>
                </a:r>
              </a:p>
            </c:rich>
          </c:tx>
          <c:layout>
            <c:manualLayout>
              <c:xMode val="edge"/>
              <c:yMode val="edge"/>
              <c:x val="0.47130208333333334"/>
              <c:y val="0.90049908925318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351"/>
        <c:crosses val="autoZero"/>
        <c:crossBetween val="midCat"/>
      </c:valAx>
      <c:valAx>
        <c:axId val="15706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0"/>
                  <a:t>α [</a:t>
                </a:r>
                <a:r>
                  <a:rPr lang="en-GB" b="0"/>
                  <a:t>rad/s²]</a:t>
                </a:r>
              </a:p>
            </c:rich>
          </c:tx>
          <c:layout>
            <c:manualLayout>
              <c:xMode val="edge"/>
              <c:yMode val="edge"/>
              <c:x val="8.7009803921568613E-3"/>
              <c:y val="0.36388927924551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627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Jerk</a:t>
            </a:r>
          </a:p>
        </c:rich>
      </c:tx>
      <c:layout>
        <c:manualLayout>
          <c:xMode val="edge"/>
          <c:yMode val="edge"/>
          <c:x val="0.4495086805555555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53190359477124"/>
          <c:y val="0.13301457194899818"/>
          <c:w val="0.651060866013072"/>
          <c:h val="0.67958925318761387"/>
        </c:manualLayout>
      </c:layout>
      <c:scatterChart>
        <c:scatterStyle val="smoothMarker"/>
        <c:varyColors val="0"/>
        <c:ser>
          <c:idx val="1"/>
          <c:order val="0"/>
          <c:tx>
            <c:v>reference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[0]!refpoly.qd3</c:f>
              <c:numCache>
                <c:formatCode>General</c:formatCode>
                <c:ptCount val="296"/>
                <c:pt idx="0" formatCode="0.00000">
                  <c:v>448731.36980898731</c:v>
                </c:pt>
                <c:pt idx="1">
                  <c:v>439635.56818482128</c:v>
                </c:pt>
                <c:pt idx="2">
                  <c:v>430601.64276218013</c:v>
                </c:pt>
                <c:pt idx="3">
                  <c:v>421629.59354106389</c:v>
                </c:pt>
                <c:pt idx="4">
                  <c:v>412719.42052147258</c:v>
                </c:pt>
                <c:pt idx="5">
                  <c:v>403871.12370340631</c:v>
                </c:pt>
                <c:pt idx="6">
                  <c:v>395084.70308686484</c:v>
                </c:pt>
                <c:pt idx="7">
                  <c:v>386360.15867184848</c:v>
                </c:pt>
                <c:pt idx="8">
                  <c:v>377697.49045835692</c:v>
                </c:pt>
                <c:pt idx="9">
                  <c:v>369096.69844639028</c:v>
                </c:pt>
                <c:pt idx="10">
                  <c:v>360557.78263594874</c:v>
                </c:pt>
                <c:pt idx="11">
                  <c:v>352080.74302703206</c:v>
                </c:pt>
                <c:pt idx="12">
                  <c:v>343665.57961964025</c:v>
                </c:pt>
                <c:pt idx="13">
                  <c:v>335312.29241377348</c:v>
                </c:pt>
                <c:pt idx="14">
                  <c:v>327020.88140943152</c:v>
                </c:pt>
                <c:pt idx="15">
                  <c:v>318791.34660661477</c:v>
                </c:pt>
                <c:pt idx="16">
                  <c:v>310623.68800532265</c:v>
                </c:pt>
                <c:pt idx="17">
                  <c:v>302517.90560555569</c:v>
                </c:pt>
                <c:pt idx="18">
                  <c:v>294473.99940731341</c:v>
                </c:pt>
                <c:pt idx="19">
                  <c:v>286491.96941059636</c:v>
                </c:pt>
                <c:pt idx="20">
                  <c:v>278571.81561540416</c:v>
                </c:pt>
                <c:pt idx="21">
                  <c:v>270713.53802173678</c:v>
                </c:pt>
                <c:pt idx="22">
                  <c:v>262917.13662959443</c:v>
                </c:pt>
                <c:pt idx="23">
                  <c:v>255182.61143897707</c:v>
                </c:pt>
                <c:pt idx="24">
                  <c:v>247509.96244988451</c:v>
                </c:pt>
                <c:pt idx="25">
                  <c:v>239899.18966231699</c:v>
                </c:pt>
                <c:pt idx="26">
                  <c:v>232350.29307627439</c:v>
                </c:pt>
                <c:pt idx="27">
                  <c:v>224863.27269175675</c:v>
                </c:pt>
                <c:pt idx="28">
                  <c:v>217438.12850876394</c:v>
                </c:pt>
                <c:pt idx="29">
                  <c:v>210074.8605272962</c:v>
                </c:pt>
                <c:pt idx="30">
                  <c:v>202773.46874735336</c:v>
                </c:pt>
                <c:pt idx="31">
                  <c:v>195533.9531689354</c:v>
                </c:pt>
                <c:pt idx="32">
                  <c:v>188356.31379204249</c:v>
                </c:pt>
                <c:pt idx="33">
                  <c:v>181240.55061667447</c:v>
                </c:pt>
                <c:pt idx="34">
                  <c:v>174186.66364283138</c:v>
                </c:pt>
                <c:pt idx="35">
                  <c:v>167194.65287051318</c:v>
                </c:pt>
                <c:pt idx="36">
                  <c:v>160264.51829972002</c:v>
                </c:pt>
                <c:pt idx="37">
                  <c:v>153396.25993045178</c:v>
                </c:pt>
                <c:pt idx="38">
                  <c:v>146589.87776270849</c:v>
                </c:pt>
                <c:pt idx="39">
                  <c:v>139845.37179648998</c:v>
                </c:pt>
                <c:pt idx="40">
                  <c:v>133162.74203179666</c:v>
                </c:pt>
                <c:pt idx="41">
                  <c:v>126541.98846862801</c:v>
                </c:pt>
                <c:pt idx="42">
                  <c:v>119983.11110698456</c:v>
                </c:pt>
                <c:pt idx="43">
                  <c:v>113486.10994686581</c:v>
                </c:pt>
                <c:pt idx="44">
                  <c:v>107050.98498827223</c:v>
                </c:pt>
                <c:pt idx="45">
                  <c:v>100677.73623120334</c:v>
                </c:pt>
                <c:pt idx="46">
                  <c:v>94366.363675659639</c:v>
                </c:pt>
                <c:pt idx="47">
                  <c:v>88116.867321640661</c:v>
                </c:pt>
                <c:pt idx="48">
                  <c:v>81929.247169146809</c:v>
                </c:pt>
                <c:pt idx="49">
                  <c:v>75803.503218177706</c:v>
                </c:pt>
                <c:pt idx="50">
                  <c:v>69739.635468733759</c:v>
                </c:pt>
                <c:pt idx="51">
                  <c:v>63737.643920814538</c:v>
                </c:pt>
                <c:pt idx="52">
                  <c:v>57797.52857442043</c:v>
                </c:pt>
                <c:pt idx="53">
                  <c:v>51919.289429551194</c:v>
                </c:pt>
                <c:pt idx="54">
                  <c:v>46102.926486206932</c:v>
                </c:pt>
                <c:pt idx="55">
                  <c:v>40348.439744387535</c:v>
                </c:pt>
                <c:pt idx="56">
                  <c:v>34655.829204093105</c:v>
                </c:pt>
                <c:pt idx="57">
                  <c:v>29025.094865323623</c:v>
                </c:pt>
                <c:pt idx="58">
                  <c:v>23456.236728079075</c:v>
                </c:pt>
                <c:pt idx="59">
                  <c:v>17949.254792359501</c:v>
                </c:pt>
                <c:pt idx="60">
                  <c:v>12504.149058164794</c:v>
                </c:pt>
                <c:pt idx="61">
                  <c:v>7120.9195254950964</c:v>
                </c:pt>
                <c:pt idx="62">
                  <c:v>1799.5661943503019</c:v>
                </c:pt>
                <c:pt idx="63">
                  <c:v>-3459.9109352695546</c:v>
                </c:pt>
                <c:pt idx="64">
                  <c:v>-8657.5118633644379</c:v>
                </c:pt>
                <c:pt idx="65">
                  <c:v>-13793.236589934453</c:v>
                </c:pt>
                <c:pt idx="66">
                  <c:v>-18867.085114979458</c:v>
                </c:pt>
                <c:pt idx="67">
                  <c:v>-23879.057438499563</c:v>
                </c:pt>
                <c:pt idx="68">
                  <c:v>-28829.153560494728</c:v>
                </c:pt>
                <c:pt idx="69">
                  <c:v>-33717.373480964918</c:v>
                </c:pt>
                <c:pt idx="70">
                  <c:v>-38543.71719991017</c:v>
                </c:pt>
                <c:pt idx="71">
                  <c:v>-43308.184717330521</c:v>
                </c:pt>
                <c:pt idx="72">
                  <c:v>-48010.776033225899</c:v>
                </c:pt>
                <c:pt idx="73">
                  <c:v>-52651.491147596302</c:v>
                </c:pt>
                <c:pt idx="74">
                  <c:v>-57230.330060441804</c:v>
                </c:pt>
                <c:pt idx="75">
                  <c:v>-61747.292771762404</c:v>
                </c:pt>
                <c:pt idx="76">
                  <c:v>-66202.379281558024</c:v>
                </c:pt>
                <c:pt idx="77">
                  <c:v>-70595.589589828727</c:v>
                </c:pt>
                <c:pt idx="78">
                  <c:v>-74926.923696574479</c:v>
                </c:pt>
                <c:pt idx="79">
                  <c:v>-79196.381601795307</c:v>
                </c:pt>
                <c:pt idx="80">
                  <c:v>-83403.963305491197</c:v>
                </c:pt>
                <c:pt idx="81">
                  <c:v>-87549.668807662121</c:v>
                </c:pt>
                <c:pt idx="82">
                  <c:v>-91633.498108308122</c:v>
                </c:pt>
                <c:pt idx="83">
                  <c:v>-95655.4512074292</c:v>
                </c:pt>
                <c:pt idx="84">
                  <c:v>-99615.528105025296</c:v>
                </c:pt>
                <c:pt idx="85">
                  <c:v>-103513.72880109648</c:v>
                </c:pt>
                <c:pt idx="86">
                  <c:v>-107350.05329564273</c:v>
                </c:pt>
                <c:pt idx="87">
                  <c:v>-111124.50158866409</c:v>
                </c:pt>
                <c:pt idx="88">
                  <c:v>-114837.07368016041</c:v>
                </c:pt>
                <c:pt idx="89">
                  <c:v>-118487.76957013183</c:v>
                </c:pt>
                <c:pt idx="90">
                  <c:v>-122076.5892585783</c:v>
                </c:pt>
                <c:pt idx="91">
                  <c:v>-125603.53274549985</c:v>
                </c:pt>
                <c:pt idx="92">
                  <c:v>-129068.60003089644</c:v>
                </c:pt>
                <c:pt idx="93">
                  <c:v>-132471.79111476813</c:v>
                </c:pt>
                <c:pt idx="94">
                  <c:v>-135813.10599711485</c:v>
                </c:pt>
                <c:pt idx="95">
                  <c:v>-139092.54467793662</c:v>
                </c:pt>
                <c:pt idx="96">
                  <c:v>-142310.10715723349</c:v>
                </c:pt>
                <c:pt idx="97">
                  <c:v>-145465.79343500538</c:v>
                </c:pt>
                <c:pt idx="98">
                  <c:v>-148559.60351125235</c:v>
                </c:pt>
                <c:pt idx="99">
                  <c:v>-151591.5373859744</c:v>
                </c:pt>
                <c:pt idx="100">
                  <c:v>-154561.59505917149</c:v>
                </c:pt>
                <c:pt idx="101">
                  <c:v>-157469.77653084364</c:v>
                </c:pt>
                <c:pt idx="102">
                  <c:v>-160316.08180099085</c:v>
                </c:pt>
                <c:pt idx="103">
                  <c:v>-163100.51086961312</c:v>
                </c:pt>
                <c:pt idx="104">
                  <c:v>-165823.06373671046</c:v>
                </c:pt>
                <c:pt idx="105">
                  <c:v>-168483.7404022828</c:v>
                </c:pt>
                <c:pt idx="106">
                  <c:v>-171082.54086633024</c:v>
                </c:pt>
                <c:pt idx="107">
                  <c:v>-173619.46512885278</c:v>
                </c:pt>
                <c:pt idx="108">
                  <c:v>-176094.51318985035</c:v>
                </c:pt>
                <c:pt idx="109">
                  <c:v>-178507.68504932299</c:v>
                </c:pt>
                <c:pt idx="110">
                  <c:v>-180858.98070727068</c:v>
                </c:pt>
                <c:pt idx="111">
                  <c:v>-183148.40016369344</c:v>
                </c:pt>
                <c:pt idx="112">
                  <c:v>-185375.94341859125</c:v>
                </c:pt>
                <c:pt idx="113">
                  <c:v>-187541.61047196414</c:v>
                </c:pt>
                <c:pt idx="114">
                  <c:v>-189645.40132381208</c:v>
                </c:pt>
                <c:pt idx="115">
                  <c:v>-191687.31597413507</c:v>
                </c:pt>
                <c:pt idx="116">
                  <c:v>-193667.35442293313</c:v>
                </c:pt>
                <c:pt idx="117">
                  <c:v>-195585.51667020624</c:v>
                </c:pt>
                <c:pt idx="118">
                  <c:v>-197441.80271595443</c:v>
                </c:pt>
                <c:pt idx="119">
                  <c:v>-199236.21256017766</c:v>
                </c:pt>
                <c:pt idx="120">
                  <c:v>-200968.74620287598</c:v>
                </c:pt>
                <c:pt idx="121">
                  <c:v>-202639.40364404937</c:v>
                </c:pt>
                <c:pt idx="122">
                  <c:v>-204248.18488369777</c:v>
                </c:pt>
                <c:pt idx="123">
                  <c:v>-205795.08992182123</c:v>
                </c:pt>
                <c:pt idx="124">
                  <c:v>-207280.11875841979</c:v>
                </c:pt>
                <c:pt idx="125">
                  <c:v>-208703.2713934934</c:v>
                </c:pt>
                <c:pt idx="126">
                  <c:v>-210064.54782704209</c:v>
                </c:pt>
                <c:pt idx="127">
                  <c:v>-211363.94805906579</c:v>
                </c:pt>
                <c:pt idx="128">
                  <c:v>-212601.47208956457</c:v>
                </c:pt>
                <c:pt idx="129">
                  <c:v>-213777.11991853846</c:v>
                </c:pt>
                <c:pt idx="130">
                  <c:v>-214890.89154598734</c:v>
                </c:pt>
                <c:pt idx="131">
                  <c:v>-215942.78697191132</c:v>
                </c:pt>
                <c:pt idx="132">
                  <c:v>-216932.80619631032</c:v>
                </c:pt>
                <c:pt idx="133">
                  <c:v>-217860.94921918443</c:v>
                </c:pt>
                <c:pt idx="134">
                  <c:v>-218727.21604053359</c:v>
                </c:pt>
                <c:pt idx="135">
                  <c:v>-219531.60666035782</c:v>
                </c:pt>
                <c:pt idx="136">
                  <c:v>-220274.12107865707</c:v>
                </c:pt>
                <c:pt idx="137">
                  <c:v>-220954.7592954314</c:v>
                </c:pt>
                <c:pt idx="138">
                  <c:v>-221573.52131068081</c:v>
                </c:pt>
                <c:pt idx="139">
                  <c:v>-222130.40712440526</c:v>
                </c:pt>
                <c:pt idx="140">
                  <c:v>-222625.41673660476</c:v>
                </c:pt>
                <c:pt idx="141">
                  <c:v>-223058.55014727931</c:v>
                </c:pt>
                <c:pt idx="142">
                  <c:v>-223429.80735642897</c:v>
                </c:pt>
                <c:pt idx="143">
                  <c:v>-223739.18836405364</c:v>
                </c:pt>
                <c:pt idx="144">
                  <c:v>-223986.69317015342</c:v>
                </c:pt>
                <c:pt idx="145">
                  <c:v>-224172.32177472822</c:v>
                </c:pt>
                <c:pt idx="146">
                  <c:v>-224296.07417777812</c:v>
                </c:pt>
                <c:pt idx="147">
                  <c:v>-224357.95037930307</c:v>
                </c:pt>
                <c:pt idx="148">
                  <c:v>-224357.95037930307</c:v>
                </c:pt>
                <c:pt idx="149">
                  <c:v>-224296.07417777812</c:v>
                </c:pt>
                <c:pt idx="150">
                  <c:v>-224172.32177472825</c:v>
                </c:pt>
                <c:pt idx="151">
                  <c:v>-223986.69317015339</c:v>
                </c:pt>
                <c:pt idx="152">
                  <c:v>-223739.18836405364</c:v>
                </c:pt>
                <c:pt idx="153">
                  <c:v>-223429.80735642897</c:v>
                </c:pt>
                <c:pt idx="154">
                  <c:v>-223058.55014727931</c:v>
                </c:pt>
                <c:pt idx="155">
                  <c:v>-222625.41673660476</c:v>
                </c:pt>
                <c:pt idx="156">
                  <c:v>-222130.40712440526</c:v>
                </c:pt>
                <c:pt idx="157">
                  <c:v>-221573.52131068078</c:v>
                </c:pt>
                <c:pt idx="158">
                  <c:v>-220954.7592954314</c:v>
                </c:pt>
                <c:pt idx="159">
                  <c:v>-220274.12107865704</c:v>
                </c:pt>
                <c:pt idx="160">
                  <c:v>-219531.60666035776</c:v>
                </c:pt>
                <c:pt idx="161">
                  <c:v>-218727.21604053353</c:v>
                </c:pt>
                <c:pt idx="162">
                  <c:v>-217860.9492191844</c:v>
                </c:pt>
                <c:pt idx="163">
                  <c:v>-216932.8061963103</c:v>
                </c:pt>
                <c:pt idx="164">
                  <c:v>-215942.78697191129</c:v>
                </c:pt>
                <c:pt idx="165">
                  <c:v>-214890.89154598731</c:v>
                </c:pt>
                <c:pt idx="166">
                  <c:v>-213777.1199185384</c:v>
                </c:pt>
                <c:pt idx="167">
                  <c:v>-212601.47208956454</c:v>
                </c:pt>
                <c:pt idx="168">
                  <c:v>-211363.94805906579</c:v>
                </c:pt>
                <c:pt idx="169">
                  <c:v>-210064.547827042</c:v>
                </c:pt>
                <c:pt idx="170">
                  <c:v>-208703.27139349337</c:v>
                </c:pt>
                <c:pt idx="171">
                  <c:v>-207280.11875841976</c:v>
                </c:pt>
                <c:pt idx="172">
                  <c:v>-205795.08992182123</c:v>
                </c:pt>
                <c:pt idx="173">
                  <c:v>-204248.18488369772</c:v>
                </c:pt>
                <c:pt idx="174">
                  <c:v>-202639.40364404928</c:v>
                </c:pt>
                <c:pt idx="175">
                  <c:v>-200968.74620287592</c:v>
                </c:pt>
                <c:pt idx="176">
                  <c:v>-199236.21256017764</c:v>
                </c:pt>
                <c:pt idx="177">
                  <c:v>-197441.80271595443</c:v>
                </c:pt>
                <c:pt idx="178">
                  <c:v>-195585.51667020621</c:v>
                </c:pt>
                <c:pt idx="179">
                  <c:v>-193667.35442293313</c:v>
                </c:pt>
                <c:pt idx="180">
                  <c:v>-191687.31597413504</c:v>
                </c:pt>
                <c:pt idx="181">
                  <c:v>-189645.40132381208</c:v>
                </c:pt>
                <c:pt idx="182">
                  <c:v>-187541.61047196412</c:v>
                </c:pt>
                <c:pt idx="183">
                  <c:v>-185375.94341859125</c:v>
                </c:pt>
                <c:pt idx="184">
                  <c:v>-183148.40016369341</c:v>
                </c:pt>
                <c:pt idx="185">
                  <c:v>-180858.98070727068</c:v>
                </c:pt>
                <c:pt idx="186">
                  <c:v>-178507.68504932296</c:v>
                </c:pt>
                <c:pt idx="187">
                  <c:v>-176094.51318985035</c:v>
                </c:pt>
                <c:pt idx="188">
                  <c:v>-173619.46512885272</c:v>
                </c:pt>
                <c:pt idx="189">
                  <c:v>-171082.54086633024</c:v>
                </c:pt>
                <c:pt idx="190">
                  <c:v>-168483.74040228274</c:v>
                </c:pt>
                <c:pt idx="191">
                  <c:v>-165823.06373671041</c:v>
                </c:pt>
                <c:pt idx="192">
                  <c:v>-163100.51086961303</c:v>
                </c:pt>
                <c:pt idx="193">
                  <c:v>-160316.08180099083</c:v>
                </c:pt>
                <c:pt idx="194">
                  <c:v>-157469.77653084355</c:v>
                </c:pt>
                <c:pt idx="195">
                  <c:v>-154561.59505917144</c:v>
                </c:pt>
                <c:pt idx="196">
                  <c:v>-151591.53738597428</c:v>
                </c:pt>
                <c:pt idx="197">
                  <c:v>-148559.60351125229</c:v>
                </c:pt>
                <c:pt idx="198">
                  <c:v>-145465.7934350053</c:v>
                </c:pt>
                <c:pt idx="199">
                  <c:v>-142310.10715723343</c:v>
                </c:pt>
                <c:pt idx="200">
                  <c:v>-139092.54467793653</c:v>
                </c:pt>
                <c:pt idx="201">
                  <c:v>-135813.10599711479</c:v>
                </c:pt>
                <c:pt idx="202">
                  <c:v>-132471.79111476801</c:v>
                </c:pt>
                <c:pt idx="203">
                  <c:v>-129068.60003089638</c:v>
                </c:pt>
                <c:pt idx="204">
                  <c:v>-125603.53274549975</c:v>
                </c:pt>
                <c:pt idx="205">
                  <c:v>-122076.58925857824</c:v>
                </c:pt>
                <c:pt idx="206">
                  <c:v>-118487.76957013168</c:v>
                </c:pt>
                <c:pt idx="207">
                  <c:v>-114837.07368016022</c:v>
                </c:pt>
                <c:pt idx="208">
                  <c:v>-111124.50158866392</c:v>
                </c:pt>
                <c:pt idx="209">
                  <c:v>-107350.05329564266</c:v>
                </c:pt>
                <c:pt idx="210">
                  <c:v>-103513.72880109648</c:v>
                </c:pt>
                <c:pt idx="211">
                  <c:v>-99615.528105025238</c:v>
                </c:pt>
                <c:pt idx="212">
                  <c:v>-95655.4512074292</c:v>
                </c:pt>
                <c:pt idx="213">
                  <c:v>-91633.498108308049</c:v>
                </c:pt>
                <c:pt idx="214">
                  <c:v>-87549.668807662121</c:v>
                </c:pt>
                <c:pt idx="215">
                  <c:v>-83403.963305491125</c:v>
                </c:pt>
                <c:pt idx="216">
                  <c:v>-79196.381601795307</c:v>
                </c:pt>
                <c:pt idx="217">
                  <c:v>-74926.923696574406</c:v>
                </c:pt>
                <c:pt idx="218">
                  <c:v>-70595.589589828727</c:v>
                </c:pt>
                <c:pt idx="219">
                  <c:v>-66202.379281557951</c:v>
                </c:pt>
                <c:pt idx="220">
                  <c:v>-61747.292771762404</c:v>
                </c:pt>
                <c:pt idx="221">
                  <c:v>-57230.330060441731</c:v>
                </c:pt>
                <c:pt idx="222">
                  <c:v>-52651.491147596302</c:v>
                </c:pt>
                <c:pt idx="223">
                  <c:v>-48010.77603322576</c:v>
                </c:pt>
                <c:pt idx="224">
                  <c:v>-43308.184717330449</c:v>
                </c:pt>
                <c:pt idx="225">
                  <c:v>-38543.717199910032</c:v>
                </c:pt>
                <c:pt idx="226">
                  <c:v>-33717.373480964845</c:v>
                </c:pt>
                <c:pt idx="227">
                  <c:v>-28829.153560494549</c:v>
                </c:pt>
                <c:pt idx="228">
                  <c:v>-23879.057438499491</c:v>
                </c:pt>
                <c:pt idx="229">
                  <c:v>-18867.085114979316</c:v>
                </c:pt>
                <c:pt idx="230">
                  <c:v>-13793.236589934382</c:v>
                </c:pt>
                <c:pt idx="231">
                  <c:v>-8657.511863364296</c:v>
                </c:pt>
                <c:pt idx="232">
                  <c:v>-3459.9109352694836</c:v>
                </c:pt>
                <c:pt idx="233">
                  <c:v>1799.5661943504435</c:v>
                </c:pt>
                <c:pt idx="234">
                  <c:v>7120.9195254951674</c:v>
                </c:pt>
                <c:pt idx="235">
                  <c:v>12504.14905816497</c:v>
                </c:pt>
                <c:pt idx="236">
                  <c:v>17949.25479235957</c:v>
                </c:pt>
                <c:pt idx="237">
                  <c:v>23456.236728079253</c:v>
                </c:pt>
                <c:pt idx="238">
                  <c:v>29025.094865323728</c:v>
                </c:pt>
                <c:pt idx="239">
                  <c:v>34655.829204093287</c:v>
                </c:pt>
                <c:pt idx="240">
                  <c:v>40348.439744387601</c:v>
                </c:pt>
                <c:pt idx="241">
                  <c:v>46102.926486206932</c:v>
                </c:pt>
                <c:pt idx="242">
                  <c:v>51919.289429551303</c:v>
                </c:pt>
                <c:pt idx="243">
                  <c:v>57797.52857442043</c:v>
                </c:pt>
                <c:pt idx="244">
                  <c:v>63737.64392081472</c:v>
                </c:pt>
                <c:pt idx="245">
                  <c:v>69739.635468733759</c:v>
                </c:pt>
                <c:pt idx="246">
                  <c:v>75803.503218177924</c:v>
                </c:pt>
                <c:pt idx="247">
                  <c:v>81929.247169146809</c:v>
                </c:pt>
                <c:pt idx="248">
                  <c:v>88116.867321640879</c:v>
                </c:pt>
                <c:pt idx="249">
                  <c:v>94366.363675659639</c:v>
                </c:pt>
                <c:pt idx="250">
                  <c:v>100677.73623120355</c:v>
                </c:pt>
                <c:pt idx="251">
                  <c:v>107050.98498827223</c:v>
                </c:pt>
                <c:pt idx="252">
                  <c:v>113486.10994686601</c:v>
                </c:pt>
                <c:pt idx="253">
                  <c:v>119983.11110698456</c:v>
                </c:pt>
                <c:pt idx="254">
                  <c:v>126541.98846862823</c:v>
                </c:pt>
                <c:pt idx="255">
                  <c:v>133162.74203179666</c:v>
                </c:pt>
                <c:pt idx="256">
                  <c:v>139845.37179649019</c:v>
                </c:pt>
                <c:pt idx="257">
                  <c:v>146589.87776270849</c:v>
                </c:pt>
                <c:pt idx="258">
                  <c:v>153396.25993045198</c:v>
                </c:pt>
                <c:pt idx="259">
                  <c:v>160264.5182997201</c:v>
                </c:pt>
                <c:pt idx="260">
                  <c:v>167194.65287051347</c:v>
                </c:pt>
                <c:pt idx="261">
                  <c:v>174186.66364283147</c:v>
                </c:pt>
                <c:pt idx="262">
                  <c:v>181240.55061667471</c:v>
                </c:pt>
                <c:pt idx="263">
                  <c:v>188356.31379204255</c:v>
                </c:pt>
                <c:pt idx="264">
                  <c:v>195533.95316893567</c:v>
                </c:pt>
                <c:pt idx="265">
                  <c:v>202773.46874735347</c:v>
                </c:pt>
                <c:pt idx="266">
                  <c:v>210074.86052729649</c:v>
                </c:pt>
                <c:pt idx="267">
                  <c:v>217438.12850876409</c:v>
                </c:pt>
                <c:pt idx="268">
                  <c:v>224863.27269175698</c:v>
                </c:pt>
                <c:pt idx="269">
                  <c:v>232350.29307627454</c:v>
                </c:pt>
                <c:pt idx="270">
                  <c:v>239899.18966231728</c:v>
                </c:pt>
                <c:pt idx="271">
                  <c:v>247509.96244988465</c:v>
                </c:pt>
                <c:pt idx="272">
                  <c:v>255182.61143897727</c:v>
                </c:pt>
                <c:pt idx="273">
                  <c:v>262917.13662959461</c:v>
                </c:pt>
                <c:pt idx="274">
                  <c:v>270713.53802173707</c:v>
                </c:pt>
                <c:pt idx="275">
                  <c:v>278571.81561540428</c:v>
                </c:pt>
                <c:pt idx="276">
                  <c:v>286491.96941059659</c:v>
                </c:pt>
                <c:pt idx="277">
                  <c:v>294473.99940731394</c:v>
                </c:pt>
                <c:pt idx="278">
                  <c:v>302517.90560555598</c:v>
                </c:pt>
                <c:pt idx="279">
                  <c:v>310623.68800532311</c:v>
                </c:pt>
                <c:pt idx="280">
                  <c:v>318791.34660661506</c:v>
                </c:pt>
                <c:pt idx="281">
                  <c:v>327020.8814094321</c:v>
                </c:pt>
                <c:pt idx="282">
                  <c:v>335312.29241377383</c:v>
                </c:pt>
                <c:pt idx="283">
                  <c:v>343665.57961964078</c:v>
                </c:pt>
                <c:pt idx="284">
                  <c:v>352080.74302703241</c:v>
                </c:pt>
                <c:pt idx="285">
                  <c:v>360557.78263594926</c:v>
                </c:pt>
                <c:pt idx="286">
                  <c:v>369096.69844639074</c:v>
                </c:pt>
                <c:pt idx="287">
                  <c:v>377697.49045835744</c:v>
                </c:pt>
                <c:pt idx="288">
                  <c:v>386360.15867184888</c:v>
                </c:pt>
                <c:pt idx="289">
                  <c:v>395084.70308686484</c:v>
                </c:pt>
                <c:pt idx="290">
                  <c:v>403871.12370340613</c:v>
                </c:pt>
                <c:pt idx="291">
                  <c:v>412719.42052147258</c:v>
                </c:pt>
                <c:pt idx="292">
                  <c:v>421629.59354106378</c:v>
                </c:pt>
                <c:pt idx="293">
                  <c:v>430601.64276218013</c:v>
                </c:pt>
                <c:pt idx="294">
                  <c:v>439635.56818482117</c:v>
                </c:pt>
                <c:pt idx="295">
                  <c:v>448731.36980898731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00-44E8-8894-373660B9745A}"/>
            </c:ext>
          </c:extLst>
        </c:ser>
        <c:ser>
          <c:idx val="0"/>
          <c:order val="1"/>
          <c:tx>
            <c:v>optimized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[0]!optipoly.qd3</c:f>
              <c:numCache>
                <c:formatCode>General</c:formatCode>
                <c:ptCount val="296"/>
                <c:pt idx="0" formatCode="0.00000">
                  <c:v>448731.36980898731</c:v>
                </c:pt>
                <c:pt idx="1">
                  <c:v>439635.56818482117</c:v>
                </c:pt>
                <c:pt idx="2">
                  <c:v>430601.64276218013</c:v>
                </c:pt>
                <c:pt idx="3">
                  <c:v>421629.59354106389</c:v>
                </c:pt>
                <c:pt idx="4">
                  <c:v>412719.42052147258</c:v>
                </c:pt>
                <c:pt idx="5">
                  <c:v>403871.12370340625</c:v>
                </c:pt>
                <c:pt idx="6">
                  <c:v>395084.70308686479</c:v>
                </c:pt>
                <c:pt idx="7">
                  <c:v>386360.15867184848</c:v>
                </c:pt>
                <c:pt idx="8">
                  <c:v>377697.49045835692</c:v>
                </c:pt>
                <c:pt idx="9">
                  <c:v>369096.69844639028</c:v>
                </c:pt>
                <c:pt idx="10">
                  <c:v>360557.78263594868</c:v>
                </c:pt>
                <c:pt idx="11">
                  <c:v>352080.74302703206</c:v>
                </c:pt>
                <c:pt idx="12">
                  <c:v>343665.57961964025</c:v>
                </c:pt>
                <c:pt idx="13">
                  <c:v>335312.29241377336</c:v>
                </c:pt>
                <c:pt idx="14">
                  <c:v>327020.88140943152</c:v>
                </c:pt>
                <c:pt idx="15">
                  <c:v>318791.34660661477</c:v>
                </c:pt>
                <c:pt idx="16">
                  <c:v>310623.68800532265</c:v>
                </c:pt>
                <c:pt idx="17">
                  <c:v>302517.90560555569</c:v>
                </c:pt>
                <c:pt idx="18">
                  <c:v>294473.99940731341</c:v>
                </c:pt>
                <c:pt idx="19">
                  <c:v>286491.96941059636</c:v>
                </c:pt>
                <c:pt idx="20">
                  <c:v>278571.81561540405</c:v>
                </c:pt>
                <c:pt idx="21">
                  <c:v>270713.53802173678</c:v>
                </c:pt>
                <c:pt idx="22">
                  <c:v>262917.13662959443</c:v>
                </c:pt>
                <c:pt idx="23">
                  <c:v>255182.61143897707</c:v>
                </c:pt>
                <c:pt idx="24">
                  <c:v>247509.96244988457</c:v>
                </c:pt>
                <c:pt idx="25">
                  <c:v>239899.18966231699</c:v>
                </c:pt>
                <c:pt idx="26">
                  <c:v>232350.29307627439</c:v>
                </c:pt>
                <c:pt idx="27">
                  <c:v>224863.27269175669</c:v>
                </c:pt>
                <c:pt idx="28">
                  <c:v>217438.12850876403</c:v>
                </c:pt>
                <c:pt idx="29">
                  <c:v>210074.8605272962</c:v>
                </c:pt>
                <c:pt idx="30">
                  <c:v>202773.46874735336</c:v>
                </c:pt>
                <c:pt idx="31">
                  <c:v>195533.95316893546</c:v>
                </c:pt>
                <c:pt idx="32">
                  <c:v>188356.31379204249</c:v>
                </c:pt>
                <c:pt idx="33">
                  <c:v>181240.55061667442</c:v>
                </c:pt>
                <c:pt idx="34">
                  <c:v>174186.66364283138</c:v>
                </c:pt>
                <c:pt idx="35">
                  <c:v>167194.65287051318</c:v>
                </c:pt>
                <c:pt idx="36">
                  <c:v>160264.51829971996</c:v>
                </c:pt>
                <c:pt idx="37">
                  <c:v>153396.25993045172</c:v>
                </c:pt>
                <c:pt idx="38">
                  <c:v>146589.87776270849</c:v>
                </c:pt>
                <c:pt idx="39">
                  <c:v>139845.37179648998</c:v>
                </c:pt>
                <c:pt idx="40">
                  <c:v>133162.74203179666</c:v>
                </c:pt>
                <c:pt idx="41">
                  <c:v>126541.98846862801</c:v>
                </c:pt>
                <c:pt idx="42">
                  <c:v>119983.11110698456</c:v>
                </c:pt>
                <c:pt idx="43">
                  <c:v>113486.10994686581</c:v>
                </c:pt>
                <c:pt idx="44">
                  <c:v>107050.98498827223</c:v>
                </c:pt>
                <c:pt idx="45">
                  <c:v>100677.73623120334</c:v>
                </c:pt>
                <c:pt idx="46">
                  <c:v>94366.363675659639</c:v>
                </c:pt>
                <c:pt idx="47">
                  <c:v>88116.867321640661</c:v>
                </c:pt>
                <c:pt idx="48">
                  <c:v>81929.247169146809</c:v>
                </c:pt>
                <c:pt idx="49">
                  <c:v>75803.503218177706</c:v>
                </c:pt>
                <c:pt idx="50">
                  <c:v>69739.63546873373</c:v>
                </c:pt>
                <c:pt idx="51">
                  <c:v>63737.643920814502</c:v>
                </c:pt>
                <c:pt idx="52">
                  <c:v>57797.528574420467</c:v>
                </c:pt>
                <c:pt idx="53">
                  <c:v>51919.289429551231</c:v>
                </c:pt>
                <c:pt idx="54">
                  <c:v>46102.926486206896</c:v>
                </c:pt>
                <c:pt idx="55">
                  <c:v>40348.439744387535</c:v>
                </c:pt>
                <c:pt idx="56">
                  <c:v>34655.829204093105</c:v>
                </c:pt>
                <c:pt idx="57">
                  <c:v>29025.094865323623</c:v>
                </c:pt>
                <c:pt idx="58">
                  <c:v>23456.236728079111</c:v>
                </c:pt>
                <c:pt idx="59">
                  <c:v>17949.254792359501</c:v>
                </c:pt>
                <c:pt idx="60">
                  <c:v>12504.149058164794</c:v>
                </c:pt>
                <c:pt idx="61">
                  <c:v>7120.919525495061</c:v>
                </c:pt>
                <c:pt idx="62">
                  <c:v>1799.5661943502664</c:v>
                </c:pt>
                <c:pt idx="63">
                  <c:v>-3459.91093526959</c:v>
                </c:pt>
                <c:pt idx="64">
                  <c:v>-8657.5118633644379</c:v>
                </c:pt>
                <c:pt idx="65">
                  <c:v>-13793.236589934417</c:v>
                </c:pt>
                <c:pt idx="66">
                  <c:v>-18867.085114979458</c:v>
                </c:pt>
                <c:pt idx="67">
                  <c:v>-23879.057438499563</c:v>
                </c:pt>
                <c:pt idx="68">
                  <c:v>-28829.153560494728</c:v>
                </c:pt>
                <c:pt idx="69">
                  <c:v>-33717.373480964918</c:v>
                </c:pt>
                <c:pt idx="70">
                  <c:v>-38543.71719991017</c:v>
                </c:pt>
                <c:pt idx="71">
                  <c:v>-43308.184717330521</c:v>
                </c:pt>
                <c:pt idx="72">
                  <c:v>-48010.776033225899</c:v>
                </c:pt>
                <c:pt idx="73">
                  <c:v>-52651.491147596302</c:v>
                </c:pt>
                <c:pt idx="74">
                  <c:v>-57230.33006044184</c:v>
                </c:pt>
                <c:pt idx="75">
                  <c:v>-61747.292771762404</c:v>
                </c:pt>
                <c:pt idx="76">
                  <c:v>-66202.379281558009</c:v>
                </c:pt>
                <c:pt idx="77">
                  <c:v>-70595.589589828713</c:v>
                </c:pt>
                <c:pt idx="78">
                  <c:v>-74926.923696574479</c:v>
                </c:pt>
                <c:pt idx="79">
                  <c:v>-79196.381601795307</c:v>
                </c:pt>
                <c:pt idx="80">
                  <c:v>-83403.963305491168</c:v>
                </c:pt>
                <c:pt idx="81">
                  <c:v>-87549.668807662121</c:v>
                </c:pt>
                <c:pt idx="82">
                  <c:v>-91633.498108308122</c:v>
                </c:pt>
                <c:pt idx="83">
                  <c:v>-95655.451207429171</c:v>
                </c:pt>
                <c:pt idx="84">
                  <c:v>-99615.528105025311</c:v>
                </c:pt>
                <c:pt idx="85">
                  <c:v>-103513.72880109648</c:v>
                </c:pt>
                <c:pt idx="86">
                  <c:v>-107350.05329564272</c:v>
                </c:pt>
                <c:pt idx="87">
                  <c:v>-111124.50158866409</c:v>
                </c:pt>
                <c:pt idx="88">
                  <c:v>-114837.07368016041</c:v>
                </c:pt>
                <c:pt idx="89">
                  <c:v>-118487.76957013182</c:v>
                </c:pt>
                <c:pt idx="90">
                  <c:v>-122076.5892585783</c:v>
                </c:pt>
                <c:pt idx="91">
                  <c:v>-125603.53274549985</c:v>
                </c:pt>
                <c:pt idx="92">
                  <c:v>-129068.60003089644</c:v>
                </c:pt>
                <c:pt idx="93">
                  <c:v>-132471.79111476813</c:v>
                </c:pt>
                <c:pt idx="94">
                  <c:v>-135813.10599711485</c:v>
                </c:pt>
                <c:pt idx="95">
                  <c:v>-139092.54467793662</c:v>
                </c:pt>
                <c:pt idx="96">
                  <c:v>-142310.10715723349</c:v>
                </c:pt>
                <c:pt idx="97">
                  <c:v>-145465.79343500538</c:v>
                </c:pt>
                <c:pt idx="98">
                  <c:v>-148559.60351125238</c:v>
                </c:pt>
                <c:pt idx="99">
                  <c:v>-151591.5373859744</c:v>
                </c:pt>
                <c:pt idx="100">
                  <c:v>-154561.59505917149</c:v>
                </c:pt>
                <c:pt idx="101">
                  <c:v>-157469.77653084364</c:v>
                </c:pt>
                <c:pt idx="102">
                  <c:v>-160316.08180099085</c:v>
                </c:pt>
                <c:pt idx="103">
                  <c:v>-163100.51086961312</c:v>
                </c:pt>
                <c:pt idx="104">
                  <c:v>-165823.06373671046</c:v>
                </c:pt>
                <c:pt idx="105">
                  <c:v>-168483.7404022828</c:v>
                </c:pt>
                <c:pt idx="106">
                  <c:v>-171082.54086633024</c:v>
                </c:pt>
                <c:pt idx="107">
                  <c:v>-173619.46512885278</c:v>
                </c:pt>
                <c:pt idx="108">
                  <c:v>-176094.51318985035</c:v>
                </c:pt>
                <c:pt idx="109">
                  <c:v>-178507.68504932299</c:v>
                </c:pt>
                <c:pt idx="110">
                  <c:v>-180858.98070727068</c:v>
                </c:pt>
                <c:pt idx="111">
                  <c:v>-183148.40016369341</c:v>
                </c:pt>
                <c:pt idx="112">
                  <c:v>-185375.94341859125</c:v>
                </c:pt>
                <c:pt idx="113">
                  <c:v>-187541.61047196414</c:v>
                </c:pt>
                <c:pt idx="114">
                  <c:v>-189645.40132381208</c:v>
                </c:pt>
                <c:pt idx="115">
                  <c:v>-191687.31597413507</c:v>
                </c:pt>
                <c:pt idx="116">
                  <c:v>-193667.35442293313</c:v>
                </c:pt>
                <c:pt idx="117">
                  <c:v>-195585.51667020624</c:v>
                </c:pt>
                <c:pt idx="118">
                  <c:v>-197441.80271595443</c:v>
                </c:pt>
                <c:pt idx="119">
                  <c:v>-199236.21256017766</c:v>
                </c:pt>
                <c:pt idx="120">
                  <c:v>-200968.74620287598</c:v>
                </c:pt>
                <c:pt idx="121">
                  <c:v>-202639.40364404937</c:v>
                </c:pt>
                <c:pt idx="122">
                  <c:v>-204248.18488369777</c:v>
                </c:pt>
                <c:pt idx="123">
                  <c:v>-205795.08992182123</c:v>
                </c:pt>
                <c:pt idx="124">
                  <c:v>-207280.11875841979</c:v>
                </c:pt>
                <c:pt idx="125">
                  <c:v>-208703.2713934934</c:v>
                </c:pt>
                <c:pt idx="126">
                  <c:v>-210064.54782704209</c:v>
                </c:pt>
                <c:pt idx="127">
                  <c:v>-211363.94805906579</c:v>
                </c:pt>
                <c:pt idx="128">
                  <c:v>-212601.47208956457</c:v>
                </c:pt>
                <c:pt idx="129">
                  <c:v>-213777.11991853846</c:v>
                </c:pt>
                <c:pt idx="130">
                  <c:v>-214890.89154598734</c:v>
                </c:pt>
                <c:pt idx="131">
                  <c:v>-215942.78697191132</c:v>
                </c:pt>
                <c:pt idx="132">
                  <c:v>-216932.80619631032</c:v>
                </c:pt>
                <c:pt idx="133">
                  <c:v>-217860.94921918443</c:v>
                </c:pt>
                <c:pt idx="134">
                  <c:v>-218727.21604053359</c:v>
                </c:pt>
                <c:pt idx="135">
                  <c:v>-219531.60666035782</c:v>
                </c:pt>
                <c:pt idx="136">
                  <c:v>-220274.12107865707</c:v>
                </c:pt>
                <c:pt idx="137">
                  <c:v>-220954.7592954314</c:v>
                </c:pt>
                <c:pt idx="138">
                  <c:v>-221573.52131068081</c:v>
                </c:pt>
                <c:pt idx="139">
                  <c:v>-222130.40712440526</c:v>
                </c:pt>
                <c:pt idx="140">
                  <c:v>-222625.41673660476</c:v>
                </c:pt>
                <c:pt idx="141">
                  <c:v>-223058.55014727931</c:v>
                </c:pt>
                <c:pt idx="142">
                  <c:v>-223429.80735642897</c:v>
                </c:pt>
                <c:pt idx="143">
                  <c:v>-223739.18836405364</c:v>
                </c:pt>
                <c:pt idx="144">
                  <c:v>-223986.69317015342</c:v>
                </c:pt>
                <c:pt idx="145">
                  <c:v>-224172.32177472822</c:v>
                </c:pt>
                <c:pt idx="146">
                  <c:v>-224296.07417777812</c:v>
                </c:pt>
                <c:pt idx="147">
                  <c:v>-224357.95037930307</c:v>
                </c:pt>
                <c:pt idx="148">
                  <c:v>-224357.95037930307</c:v>
                </c:pt>
                <c:pt idx="149">
                  <c:v>-224296.07417777812</c:v>
                </c:pt>
                <c:pt idx="150">
                  <c:v>-224172.32177472825</c:v>
                </c:pt>
                <c:pt idx="151">
                  <c:v>-223986.69317015339</c:v>
                </c:pt>
                <c:pt idx="152">
                  <c:v>-223739.18836405364</c:v>
                </c:pt>
                <c:pt idx="153">
                  <c:v>-223429.80735642897</c:v>
                </c:pt>
                <c:pt idx="154">
                  <c:v>-223058.55014727931</c:v>
                </c:pt>
                <c:pt idx="155">
                  <c:v>-222625.41673660476</c:v>
                </c:pt>
                <c:pt idx="156">
                  <c:v>-222130.40712440526</c:v>
                </c:pt>
                <c:pt idx="157">
                  <c:v>-221573.52131068078</c:v>
                </c:pt>
                <c:pt idx="158">
                  <c:v>-220954.7592954314</c:v>
                </c:pt>
                <c:pt idx="159">
                  <c:v>-220274.12107865704</c:v>
                </c:pt>
                <c:pt idx="160">
                  <c:v>-219531.60666035776</c:v>
                </c:pt>
                <c:pt idx="161">
                  <c:v>-218727.21604053353</c:v>
                </c:pt>
                <c:pt idx="162">
                  <c:v>-217860.9492191844</c:v>
                </c:pt>
                <c:pt idx="163">
                  <c:v>-216932.8061963103</c:v>
                </c:pt>
                <c:pt idx="164">
                  <c:v>-215942.78697191129</c:v>
                </c:pt>
                <c:pt idx="165">
                  <c:v>-214890.89154598731</c:v>
                </c:pt>
                <c:pt idx="166">
                  <c:v>-213777.1199185384</c:v>
                </c:pt>
                <c:pt idx="167">
                  <c:v>-212601.47208956454</c:v>
                </c:pt>
                <c:pt idx="168">
                  <c:v>-211363.94805906579</c:v>
                </c:pt>
                <c:pt idx="169">
                  <c:v>-210064.547827042</c:v>
                </c:pt>
                <c:pt idx="170">
                  <c:v>-208703.27139349337</c:v>
                </c:pt>
                <c:pt idx="171">
                  <c:v>-207280.11875841976</c:v>
                </c:pt>
                <c:pt idx="172">
                  <c:v>-205795.08992182123</c:v>
                </c:pt>
                <c:pt idx="173">
                  <c:v>-204248.18488369772</c:v>
                </c:pt>
                <c:pt idx="174">
                  <c:v>-202639.40364404928</c:v>
                </c:pt>
                <c:pt idx="175">
                  <c:v>-200968.74620287592</c:v>
                </c:pt>
                <c:pt idx="176">
                  <c:v>-199236.21256017764</c:v>
                </c:pt>
                <c:pt idx="177">
                  <c:v>-197441.80271595443</c:v>
                </c:pt>
                <c:pt idx="178">
                  <c:v>-195585.51667020621</c:v>
                </c:pt>
                <c:pt idx="179">
                  <c:v>-193667.35442293313</c:v>
                </c:pt>
                <c:pt idx="180">
                  <c:v>-191687.31597413504</c:v>
                </c:pt>
                <c:pt idx="181">
                  <c:v>-189645.40132381208</c:v>
                </c:pt>
                <c:pt idx="182">
                  <c:v>-187541.61047196412</c:v>
                </c:pt>
                <c:pt idx="183">
                  <c:v>-185375.94341859125</c:v>
                </c:pt>
                <c:pt idx="184">
                  <c:v>-183148.40016369341</c:v>
                </c:pt>
                <c:pt idx="185">
                  <c:v>-180858.98070727068</c:v>
                </c:pt>
                <c:pt idx="186">
                  <c:v>-178507.68504932296</c:v>
                </c:pt>
                <c:pt idx="187">
                  <c:v>-176094.51318985035</c:v>
                </c:pt>
                <c:pt idx="188">
                  <c:v>-173619.46512885272</c:v>
                </c:pt>
                <c:pt idx="189">
                  <c:v>-171082.54086633024</c:v>
                </c:pt>
                <c:pt idx="190">
                  <c:v>-168483.74040228274</c:v>
                </c:pt>
                <c:pt idx="191">
                  <c:v>-165823.06373671041</c:v>
                </c:pt>
                <c:pt idx="192">
                  <c:v>-163100.51086961303</c:v>
                </c:pt>
                <c:pt idx="193">
                  <c:v>-160316.08180099083</c:v>
                </c:pt>
                <c:pt idx="194">
                  <c:v>-157469.77653084355</c:v>
                </c:pt>
                <c:pt idx="195">
                  <c:v>-154561.59505917144</c:v>
                </c:pt>
                <c:pt idx="196">
                  <c:v>-151591.53738597428</c:v>
                </c:pt>
                <c:pt idx="197">
                  <c:v>-148559.60351125229</c:v>
                </c:pt>
                <c:pt idx="198">
                  <c:v>-145465.7934350053</c:v>
                </c:pt>
                <c:pt idx="199">
                  <c:v>-142310.10715723343</c:v>
                </c:pt>
                <c:pt idx="200">
                  <c:v>-139092.54467793653</c:v>
                </c:pt>
                <c:pt idx="201">
                  <c:v>-135813.10599711479</c:v>
                </c:pt>
                <c:pt idx="202">
                  <c:v>-132471.79111476801</c:v>
                </c:pt>
                <c:pt idx="203">
                  <c:v>-129068.60003089638</c:v>
                </c:pt>
                <c:pt idx="204">
                  <c:v>-125603.53274549975</c:v>
                </c:pt>
                <c:pt idx="205">
                  <c:v>-122076.58925857824</c:v>
                </c:pt>
                <c:pt idx="206">
                  <c:v>-118487.7695701317</c:v>
                </c:pt>
                <c:pt idx="207">
                  <c:v>-114837.0736801602</c:v>
                </c:pt>
                <c:pt idx="208">
                  <c:v>-111124.50158866392</c:v>
                </c:pt>
                <c:pt idx="209">
                  <c:v>-107350.05329564266</c:v>
                </c:pt>
                <c:pt idx="210">
                  <c:v>-103513.72880109648</c:v>
                </c:pt>
                <c:pt idx="211">
                  <c:v>-99615.528105025238</c:v>
                </c:pt>
                <c:pt idx="212">
                  <c:v>-95655.451207429171</c:v>
                </c:pt>
                <c:pt idx="213">
                  <c:v>-91633.498108308064</c:v>
                </c:pt>
                <c:pt idx="214">
                  <c:v>-87549.668807662121</c:v>
                </c:pt>
                <c:pt idx="215">
                  <c:v>-83403.963305491096</c:v>
                </c:pt>
                <c:pt idx="216">
                  <c:v>-79196.381601795307</c:v>
                </c:pt>
                <c:pt idx="217">
                  <c:v>-74926.923696574406</c:v>
                </c:pt>
                <c:pt idx="218">
                  <c:v>-70595.589589828713</c:v>
                </c:pt>
                <c:pt idx="219">
                  <c:v>-66202.379281557936</c:v>
                </c:pt>
                <c:pt idx="220">
                  <c:v>-61747.292771762404</c:v>
                </c:pt>
                <c:pt idx="221">
                  <c:v>-57230.330060441767</c:v>
                </c:pt>
                <c:pt idx="222">
                  <c:v>-52651.491147596302</c:v>
                </c:pt>
                <c:pt idx="223">
                  <c:v>-48010.77603322576</c:v>
                </c:pt>
                <c:pt idx="224">
                  <c:v>-43308.184717330449</c:v>
                </c:pt>
                <c:pt idx="225">
                  <c:v>-38543.717199910032</c:v>
                </c:pt>
                <c:pt idx="226">
                  <c:v>-33717.373480964845</c:v>
                </c:pt>
                <c:pt idx="227">
                  <c:v>-28829.153560494549</c:v>
                </c:pt>
                <c:pt idx="228">
                  <c:v>-23879.057438499491</c:v>
                </c:pt>
                <c:pt idx="229">
                  <c:v>-18867.085114979316</c:v>
                </c:pt>
                <c:pt idx="230">
                  <c:v>-13793.236589934346</c:v>
                </c:pt>
                <c:pt idx="231">
                  <c:v>-8657.511863364296</c:v>
                </c:pt>
                <c:pt idx="232">
                  <c:v>-3459.9109352694481</c:v>
                </c:pt>
                <c:pt idx="233">
                  <c:v>1799.5661943504435</c:v>
                </c:pt>
                <c:pt idx="234">
                  <c:v>7120.9195254951674</c:v>
                </c:pt>
                <c:pt idx="235">
                  <c:v>12504.14905816497</c:v>
                </c:pt>
                <c:pt idx="236">
                  <c:v>17949.25479235957</c:v>
                </c:pt>
                <c:pt idx="237">
                  <c:v>23456.236728079286</c:v>
                </c:pt>
                <c:pt idx="238">
                  <c:v>29025.094865323728</c:v>
                </c:pt>
                <c:pt idx="239">
                  <c:v>34655.829204093287</c:v>
                </c:pt>
                <c:pt idx="240">
                  <c:v>40348.439744387637</c:v>
                </c:pt>
                <c:pt idx="241">
                  <c:v>46102.926486206896</c:v>
                </c:pt>
                <c:pt idx="242">
                  <c:v>51919.289429551303</c:v>
                </c:pt>
                <c:pt idx="243">
                  <c:v>57797.528574420467</c:v>
                </c:pt>
                <c:pt idx="244">
                  <c:v>63737.643920814749</c:v>
                </c:pt>
                <c:pt idx="245">
                  <c:v>69739.63546873373</c:v>
                </c:pt>
                <c:pt idx="246">
                  <c:v>75803.503218177924</c:v>
                </c:pt>
                <c:pt idx="247">
                  <c:v>81929.247169146809</c:v>
                </c:pt>
                <c:pt idx="248">
                  <c:v>88116.867321640879</c:v>
                </c:pt>
                <c:pt idx="249">
                  <c:v>94366.363675659639</c:v>
                </c:pt>
                <c:pt idx="250">
                  <c:v>100677.73623120355</c:v>
                </c:pt>
                <c:pt idx="251">
                  <c:v>107050.98498827223</c:v>
                </c:pt>
                <c:pt idx="252">
                  <c:v>113486.10994686601</c:v>
                </c:pt>
                <c:pt idx="253">
                  <c:v>119983.11110698456</c:v>
                </c:pt>
                <c:pt idx="254">
                  <c:v>126541.98846862823</c:v>
                </c:pt>
                <c:pt idx="255">
                  <c:v>133162.74203179666</c:v>
                </c:pt>
                <c:pt idx="256">
                  <c:v>139845.37179649019</c:v>
                </c:pt>
                <c:pt idx="257">
                  <c:v>146589.87776270849</c:v>
                </c:pt>
                <c:pt idx="258">
                  <c:v>153396.25993045192</c:v>
                </c:pt>
                <c:pt idx="259">
                  <c:v>160264.5182997201</c:v>
                </c:pt>
                <c:pt idx="260">
                  <c:v>167194.65287051347</c:v>
                </c:pt>
                <c:pt idx="261">
                  <c:v>174186.66364283147</c:v>
                </c:pt>
                <c:pt idx="262">
                  <c:v>181240.55061667471</c:v>
                </c:pt>
                <c:pt idx="263">
                  <c:v>188356.31379204255</c:v>
                </c:pt>
                <c:pt idx="264">
                  <c:v>195533.95316893567</c:v>
                </c:pt>
                <c:pt idx="265">
                  <c:v>202773.46874735347</c:v>
                </c:pt>
                <c:pt idx="266">
                  <c:v>210074.86052729649</c:v>
                </c:pt>
                <c:pt idx="267">
                  <c:v>217438.12850876409</c:v>
                </c:pt>
                <c:pt idx="268">
                  <c:v>224863.27269175698</c:v>
                </c:pt>
                <c:pt idx="269">
                  <c:v>232350.29307627445</c:v>
                </c:pt>
                <c:pt idx="270">
                  <c:v>239899.18966231722</c:v>
                </c:pt>
                <c:pt idx="271">
                  <c:v>247509.96244988465</c:v>
                </c:pt>
                <c:pt idx="272">
                  <c:v>255182.61143897727</c:v>
                </c:pt>
                <c:pt idx="273">
                  <c:v>262917.13662959461</c:v>
                </c:pt>
                <c:pt idx="274">
                  <c:v>270713.53802173707</c:v>
                </c:pt>
                <c:pt idx="275">
                  <c:v>278571.81561540422</c:v>
                </c:pt>
                <c:pt idx="276">
                  <c:v>286491.96941059659</c:v>
                </c:pt>
                <c:pt idx="277">
                  <c:v>294473.99940731394</c:v>
                </c:pt>
                <c:pt idx="278">
                  <c:v>302517.90560555592</c:v>
                </c:pt>
                <c:pt idx="279">
                  <c:v>310623.68800532311</c:v>
                </c:pt>
                <c:pt idx="280">
                  <c:v>318791.34660661506</c:v>
                </c:pt>
                <c:pt idx="281">
                  <c:v>327020.8814094321</c:v>
                </c:pt>
                <c:pt idx="282">
                  <c:v>335312.29241377383</c:v>
                </c:pt>
                <c:pt idx="283">
                  <c:v>343665.57961964078</c:v>
                </c:pt>
                <c:pt idx="284">
                  <c:v>352080.74302703241</c:v>
                </c:pt>
                <c:pt idx="285">
                  <c:v>360557.78263594926</c:v>
                </c:pt>
                <c:pt idx="286">
                  <c:v>369096.6984463908</c:v>
                </c:pt>
                <c:pt idx="287">
                  <c:v>377697.49045835756</c:v>
                </c:pt>
                <c:pt idx="288">
                  <c:v>386360.15867184883</c:v>
                </c:pt>
                <c:pt idx="289">
                  <c:v>395084.70308686479</c:v>
                </c:pt>
                <c:pt idx="290">
                  <c:v>403871.12370340613</c:v>
                </c:pt>
                <c:pt idx="291">
                  <c:v>412719.42052147258</c:v>
                </c:pt>
                <c:pt idx="292">
                  <c:v>421629.59354106378</c:v>
                </c:pt>
                <c:pt idx="293">
                  <c:v>430601.64276218013</c:v>
                </c:pt>
                <c:pt idx="294">
                  <c:v>439635.56818482117</c:v>
                </c:pt>
                <c:pt idx="295">
                  <c:v>448731.36980898731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7-4183-A748-F88E38AA4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62767"/>
        <c:axId val="1570608351"/>
      </c:scatterChart>
      <c:valAx>
        <c:axId val="10693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[s] </a:t>
                </a:r>
              </a:p>
            </c:rich>
          </c:tx>
          <c:layout>
            <c:manualLayout>
              <c:xMode val="edge"/>
              <c:yMode val="edge"/>
              <c:x val="0.47130208333333334"/>
              <c:y val="0.90049908925318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351"/>
        <c:crosses val="autoZero"/>
        <c:crossBetween val="midCat"/>
      </c:valAx>
      <c:valAx>
        <c:axId val="15706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 b="0"/>
                  <a:t>j</a:t>
                </a:r>
                <a:r>
                  <a:rPr lang="el-GR" b="0"/>
                  <a:t> [</a:t>
                </a:r>
                <a:r>
                  <a:rPr lang="en-GB" b="0"/>
                  <a:t>rad/s</a:t>
                </a:r>
                <a:r>
                  <a:rPr lang="en-GB" b="0" baseline="30000"/>
                  <a:t>3</a:t>
                </a:r>
                <a:r>
                  <a:rPr lang="en-GB" b="0"/>
                  <a:t>]</a:t>
                </a:r>
              </a:p>
            </c:rich>
          </c:tx>
          <c:layout>
            <c:manualLayout>
              <c:xMode val="edge"/>
              <c:yMode val="edge"/>
              <c:x val="1.3888888888888892E-2"/>
              <c:y val="0.35893169398907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627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Motor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91517636834496"/>
          <c:y val="0.1544055201698514"/>
          <c:w val="0.81446430053148511"/>
          <c:h val="0.75427261480849928"/>
        </c:manualLayout>
      </c:layout>
      <c:scatterChart>
        <c:scatterStyle val="smoothMarker"/>
        <c:varyColors val="0"/>
        <c:ser>
          <c:idx val="1"/>
          <c:order val="0"/>
          <c:tx>
            <c:v>reference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[0]!refpoly.Tm</c:f>
              <c:numCache>
                <c:formatCode>General</c:formatCode>
                <c:ptCount val="296"/>
                <c:pt idx="0">
                  <c:v>0.1025359665978</c:v>
                </c:pt>
                <c:pt idx="1">
                  <c:v>0.5078442107162191</c:v>
                </c:pt>
                <c:pt idx="2">
                  <c:v>0.90488953093696556</c:v>
                </c:pt>
                <c:pt idx="3">
                  <c:v>1.2937371753842355</c:v>
                </c:pt>
                <c:pt idx="4">
                  <c:v>1.6744525360710889</c:v>
                </c:pt>
                <c:pt idx="5">
                  <c:v>2.047101147938736</c:v>
                </c:pt>
                <c:pt idx="6">
                  <c:v>2.4117487061595893</c:v>
                </c:pt>
                <c:pt idx="7">
                  <c:v>2.7684611057313955</c:v>
                </c:pt>
                <c:pt idx="8">
                  <c:v>3.1173045065626446</c:v>
                </c:pt>
                <c:pt idx="9">
                  <c:v>3.4583454264854794</c:v>
                </c:pt>
                <c:pt idx="10">
                  <c:v>3.7916508639305873</c:v>
                </c:pt>
                <c:pt idx="11">
                  <c:v>4.1172884513544359</c:v>
                </c:pt>
                <c:pt idx="12">
                  <c:v>4.43533818769445</c:v>
                </c:pt>
                <c:pt idx="13">
                  <c:v>4.7458921712126818</c:v>
                </c:pt>
                <c:pt idx="14">
                  <c:v>5.049008938349675</c:v>
                </c:pt>
                <c:pt idx="15">
                  <c:v>5.3447784575353889</c:v>
                </c:pt>
                <c:pt idx="16">
                  <c:v>5.6333157889306795</c:v>
                </c:pt>
                <c:pt idx="17">
                  <c:v>5.9146806599839241</c:v>
                </c:pt>
                <c:pt idx="18">
                  <c:v>6.1890354396527538</c:v>
                </c:pt>
                <c:pt idx="19">
                  <c:v>6.4564469422495545</c:v>
                </c:pt>
                <c:pt idx="20">
                  <c:v>6.7170747603891234</c:v>
                </c:pt>
                <c:pt idx="21">
                  <c:v>6.9710595053645577</c:v>
                </c:pt>
                <c:pt idx="22">
                  <c:v>7.2185408150078851</c:v>
                </c:pt>
                <c:pt idx="23">
                  <c:v>7.4596942878680519</c:v>
                </c:pt>
                <c:pt idx="24">
                  <c:v>7.6947104838562863</c:v>
                </c:pt>
                <c:pt idx="25">
                  <c:v>7.9237957254500895</c:v>
                </c:pt>
                <c:pt idx="26">
                  <c:v>8.1471692486233387</c:v>
                </c:pt>
                <c:pt idx="27">
                  <c:v>8.3650624051900468</c:v>
                </c:pt>
                <c:pt idx="28">
                  <c:v>8.57774248617838</c:v>
                </c:pt>
                <c:pt idx="29">
                  <c:v>8.7854874632863531</c:v>
                </c:pt>
                <c:pt idx="30">
                  <c:v>8.9886619998741022</c:v>
                </c:pt>
                <c:pt idx="31">
                  <c:v>9.1875227246761444</c:v>
                </c:pt>
                <c:pt idx="32">
                  <c:v>9.3825040003842748</c:v>
                </c:pt>
                <c:pt idx="33">
                  <c:v>9.5739244785987232</c:v>
                </c:pt>
                <c:pt idx="34">
                  <c:v>9.7621979429311114</c:v>
                </c:pt>
                <c:pt idx="35">
                  <c:v>9.9478167582350618</c:v>
                </c:pt>
                <c:pt idx="36">
                  <c:v>10.131205744542834</c:v>
                </c:pt>
                <c:pt idx="37">
                  <c:v>10.312876860237667</c:v>
                </c:pt>
                <c:pt idx="38">
                  <c:v>10.49333659142621</c:v>
                </c:pt>
                <c:pt idx="39">
                  <c:v>10.67311962329102</c:v>
                </c:pt>
                <c:pt idx="40">
                  <c:v>10.852817886257254</c:v>
                </c:pt>
                <c:pt idx="41">
                  <c:v>11.033009926004047</c:v>
                </c:pt>
                <c:pt idx="42">
                  <c:v>11.214355578768659</c:v>
                </c:pt>
                <c:pt idx="43">
                  <c:v>11.397453795661768</c:v>
                </c:pt>
                <c:pt idx="44">
                  <c:v>11.582910809403229</c:v>
                </c:pt>
                <c:pt idx="45">
                  <c:v>11.77160336352088</c:v>
                </c:pt>
                <c:pt idx="46">
                  <c:v>11.963999400533625</c:v>
                </c:pt>
                <c:pt idx="47">
                  <c:v>12.160932360650827</c:v>
                </c:pt>
                <c:pt idx="48">
                  <c:v>12.363198358013646</c:v>
                </c:pt>
                <c:pt idx="49">
                  <c:v>12.571367498165696</c:v>
                </c:pt>
                <c:pt idx="50">
                  <c:v>12.786246041156309</c:v>
                </c:pt>
                <c:pt idx="51">
                  <c:v>13.00863226684082</c:v>
                </c:pt>
                <c:pt idx="52">
                  <c:v>13.23936106962444</c:v>
                </c:pt>
                <c:pt idx="53">
                  <c:v>13.478695865094107</c:v>
                </c:pt>
                <c:pt idx="54">
                  <c:v>13.727865874063575</c:v>
                </c:pt>
                <c:pt idx="55">
                  <c:v>13.987420486523096</c:v>
                </c:pt>
                <c:pt idx="56">
                  <c:v>14.257892353997132</c:v>
                </c:pt>
                <c:pt idx="57">
                  <c:v>14.540180806509801</c:v>
                </c:pt>
                <c:pt idx="58">
                  <c:v>14.834913696788645</c:v>
                </c:pt>
                <c:pt idx="59">
                  <c:v>15.142305717046824</c:v>
                </c:pt>
                <c:pt idx="60">
                  <c:v>15.463229994389494</c:v>
                </c:pt>
                <c:pt idx="61">
                  <c:v>15.798235519321935</c:v>
                </c:pt>
                <c:pt idx="62">
                  <c:v>16.147618966564682</c:v>
                </c:pt>
                <c:pt idx="63">
                  <c:v>16.51181710965016</c:v>
                </c:pt>
                <c:pt idx="64">
                  <c:v>16.891263182412739</c:v>
                </c:pt>
                <c:pt idx="65">
                  <c:v>17.286111584095824</c:v>
                </c:pt>
                <c:pt idx="66">
                  <c:v>17.696523087160919</c:v>
                </c:pt>
                <c:pt idx="67">
                  <c:v>18.122709448596098</c:v>
                </c:pt>
                <c:pt idx="68">
                  <c:v>18.5646149127518</c:v>
                </c:pt>
                <c:pt idx="69">
                  <c:v>19.022240265889156</c:v>
                </c:pt>
                <c:pt idx="70">
                  <c:v>19.495287430975061</c:v>
                </c:pt>
                <c:pt idx="71">
                  <c:v>19.983690446903275</c:v>
                </c:pt>
                <c:pt idx="72">
                  <c:v>20.486949190190547</c:v>
                </c:pt>
                <c:pt idx="73">
                  <c:v>21.004663734302234</c:v>
                </c:pt>
                <c:pt idx="74">
                  <c:v>21.536312386689495</c:v>
                </c:pt>
                <c:pt idx="75">
                  <c:v>22.08105429920635</c:v>
                </c:pt>
                <c:pt idx="76">
                  <c:v>22.638287674808922</c:v>
                </c:pt>
                <c:pt idx="77">
                  <c:v>23.207016193482943</c:v>
                </c:pt>
                <c:pt idx="78">
                  <c:v>23.786255857567063</c:v>
                </c:pt>
                <c:pt idx="79">
                  <c:v>24.377020517363462</c:v>
                </c:pt>
                <c:pt idx="80">
                  <c:v>24.974021927218779</c:v>
                </c:pt>
                <c:pt idx="81">
                  <c:v>25.575389200186457</c:v>
                </c:pt>
                <c:pt idx="82">
                  <c:v>26.186340260763849</c:v>
                </c:pt>
                <c:pt idx="83">
                  <c:v>26.799827991818059</c:v>
                </c:pt>
                <c:pt idx="84">
                  <c:v>27.412761162795398</c:v>
                </c:pt>
                <c:pt idx="85">
                  <c:v>28.026822846947681</c:v>
                </c:pt>
                <c:pt idx="86">
                  <c:v>28.645493829530817</c:v>
                </c:pt>
                <c:pt idx="87">
                  <c:v>29.257218491260147</c:v>
                </c:pt>
                <c:pt idx="88">
                  <c:v>29.861390939553424</c:v>
                </c:pt>
                <c:pt idx="89">
                  <c:v>30.455691596404641</c:v>
                </c:pt>
                <c:pt idx="90">
                  <c:v>31.043473628512324</c:v>
                </c:pt>
                <c:pt idx="91">
                  <c:v>31.621009412828577</c:v>
                </c:pt>
                <c:pt idx="92">
                  <c:v>32.184234299649319</c:v>
                </c:pt>
                <c:pt idx="93">
                  <c:v>32.736053348320638</c:v>
                </c:pt>
                <c:pt idx="94">
                  <c:v>33.264265374051618</c:v>
                </c:pt>
                <c:pt idx="95">
                  <c:v>33.771298505840264</c:v>
                </c:pt>
                <c:pt idx="96">
                  <c:v>34.260483783779435</c:v>
                </c:pt>
                <c:pt idx="97">
                  <c:v>34.718689901666856</c:v>
                </c:pt>
                <c:pt idx="98">
                  <c:v>35.14844806091196</c:v>
                </c:pt>
                <c:pt idx="99">
                  <c:v>35.566524053753866</c:v>
                </c:pt>
                <c:pt idx="100">
                  <c:v>35.924563826504034</c:v>
                </c:pt>
                <c:pt idx="101">
                  <c:v>36.263051160366757</c:v>
                </c:pt>
                <c:pt idx="102">
                  <c:v>36.568895473420326</c:v>
                </c:pt>
                <c:pt idx="103">
                  <c:v>36.834277249333496</c:v>
                </c:pt>
                <c:pt idx="104">
                  <c:v>37.058127354666055</c:v>
                </c:pt>
                <c:pt idx="105">
                  <c:v>37.235716385084594</c:v>
                </c:pt>
                <c:pt idx="106">
                  <c:v>37.375092751237879</c:v>
                </c:pt>
                <c:pt idx="107">
                  <c:v>37.468978280923992</c:v>
                </c:pt>
                <c:pt idx="108">
                  <c:v>37.521255246613549</c:v>
                </c:pt>
                <c:pt idx="109">
                  <c:v>37.523322793809541</c:v>
                </c:pt>
                <c:pt idx="110">
                  <c:v>37.470754852877832</c:v>
                </c:pt>
                <c:pt idx="111">
                  <c:v>37.367125000861307</c:v>
                </c:pt>
                <c:pt idx="112">
                  <c:v>37.210809455628585</c:v>
                </c:pt>
                <c:pt idx="113">
                  <c:v>37.005466285270302</c:v>
                </c:pt>
                <c:pt idx="114">
                  <c:v>36.751771261483157</c:v>
                </c:pt>
                <c:pt idx="115">
                  <c:v>36.444982651328218</c:v>
                </c:pt>
                <c:pt idx="116">
                  <c:v>36.072531890430099</c:v>
                </c:pt>
                <c:pt idx="117">
                  <c:v>35.646649679329919</c:v>
                </c:pt>
                <c:pt idx="118">
                  <c:v>35.168011271242989</c:v>
                </c:pt>
                <c:pt idx="119">
                  <c:v>34.641054418889226</c:v>
                </c:pt>
                <c:pt idx="120">
                  <c:v>34.062440145976765</c:v>
                </c:pt>
                <c:pt idx="121">
                  <c:v>33.412184424451098</c:v>
                </c:pt>
                <c:pt idx="122">
                  <c:v>32.711539752265331</c:v>
                </c:pt>
                <c:pt idx="123">
                  <c:v>31.962758550301722</c:v>
                </c:pt>
                <c:pt idx="124">
                  <c:v>31.17412325389704</c:v>
                </c:pt>
                <c:pt idx="125">
                  <c:v>30.31299050196364</c:v>
                </c:pt>
                <c:pt idx="126">
                  <c:v>29.399333687994314</c:v>
                </c:pt>
                <c:pt idx="127">
                  <c:v>28.445922532024746</c:v>
                </c:pt>
                <c:pt idx="128">
                  <c:v>27.452160237798388</c:v>
                </c:pt>
                <c:pt idx="129">
                  <c:v>26.389400495508276</c:v>
                </c:pt>
                <c:pt idx="130">
                  <c:v>25.286129013669637</c:v>
                </c:pt>
                <c:pt idx="131">
                  <c:v>24.150168743338913</c:v>
                </c:pt>
                <c:pt idx="132">
                  <c:v>22.967841591875882</c:v>
                </c:pt>
                <c:pt idx="133">
                  <c:v>21.73878539815253</c:v>
                </c:pt>
                <c:pt idx="134">
                  <c:v>20.469994669780228</c:v>
                </c:pt>
                <c:pt idx="135">
                  <c:v>19.179920119976416</c:v>
                </c:pt>
                <c:pt idx="136">
                  <c:v>17.837300437188375</c:v>
                </c:pt>
                <c:pt idx="137">
                  <c:v>16.462517449164402</c:v>
                </c:pt>
                <c:pt idx="138">
                  <c:v>15.073010499729747</c:v>
                </c:pt>
                <c:pt idx="139">
                  <c:v>13.646657066337287</c:v>
                </c:pt>
                <c:pt idx="140">
                  <c:v>12.190201465816699</c:v>
                </c:pt>
                <c:pt idx="141">
                  <c:v>10.720552384393393</c:v>
                </c:pt>
                <c:pt idx="142">
                  <c:v>9.2369855256752498</c:v>
                </c:pt>
                <c:pt idx="143">
                  <c:v>7.7213489585575878</c:v>
                </c:pt>
                <c:pt idx="144">
                  <c:v>6.2103496819340167</c:v>
                </c:pt>
                <c:pt idx="145">
                  <c:v>4.6569058282739313</c:v>
                </c:pt>
                <c:pt idx="146">
                  <c:v>3.1127316471567026</c:v>
                </c:pt>
                <c:pt idx="147">
                  <c:v>1.5749046310330517</c:v>
                </c:pt>
                <c:pt idx="148">
                  <c:v>3.2689004226648111E-3</c:v>
                </c:pt>
                <c:pt idx="149">
                  <c:v>-1.5495714830420511</c:v>
                </c:pt>
                <c:pt idx="150">
                  <c:v>-3.0911929237624114</c:v>
                </c:pt>
                <c:pt idx="151">
                  <c:v>-4.6530460858148253</c:v>
                </c:pt>
                <c:pt idx="152">
                  <c:v>-6.1867512592907694</c:v>
                </c:pt>
                <c:pt idx="153">
                  <c:v>-7.710299851413752</c:v>
                </c:pt>
                <c:pt idx="154">
                  <c:v>-9.225330873686886</c:v>
                </c:pt>
                <c:pt idx="155">
                  <c:v>-10.727299193090527</c:v>
                </c:pt>
                <c:pt idx="156">
                  <c:v>-12.207931579743587</c:v>
                </c:pt>
                <c:pt idx="157">
                  <c:v>-13.653487325853256</c:v>
                </c:pt>
                <c:pt idx="158">
                  <c:v>-15.09558791906835</c:v>
                </c:pt>
                <c:pt idx="159">
                  <c:v>-16.502890005753081</c:v>
                </c:pt>
                <c:pt idx="160">
                  <c:v>-17.86422111780972</c:v>
                </c:pt>
                <c:pt idx="161">
                  <c:v>-19.221794382861646</c:v>
                </c:pt>
                <c:pt idx="162">
                  <c:v>-20.523943362675951</c:v>
                </c:pt>
                <c:pt idx="163">
                  <c:v>-21.792236095910056</c:v>
                </c:pt>
                <c:pt idx="164">
                  <c:v>-23.016391482220968</c:v>
                </c:pt>
                <c:pt idx="165">
                  <c:v>-24.211665405951948</c:v>
                </c:pt>
                <c:pt idx="166">
                  <c:v>-25.360330533110826</c:v>
                </c:pt>
                <c:pt idx="167">
                  <c:v>-26.448729736154373</c:v>
                </c:pt>
                <c:pt idx="168">
                  <c:v>-27.509357691808788</c:v>
                </c:pt>
                <c:pt idx="169">
                  <c:v>-28.513979531422329</c:v>
                </c:pt>
                <c:pt idx="170">
                  <c:v>-29.472386347687923</c:v>
                </c:pt>
                <c:pt idx="171">
                  <c:v>-30.365391271958877</c:v>
                </c:pt>
                <c:pt idx="172">
                  <c:v>-31.228212626630302</c:v>
                </c:pt>
                <c:pt idx="173">
                  <c:v>-32.022072587872657</c:v>
                </c:pt>
                <c:pt idx="174">
                  <c:v>-32.765981858348482</c:v>
                </c:pt>
                <c:pt idx="175">
                  <c:v>-33.449088705638601</c:v>
                </c:pt>
                <c:pt idx="176">
                  <c:v>-34.076163653106114</c:v>
                </c:pt>
                <c:pt idx="177">
                  <c:v>-34.662181427675151</c:v>
                </c:pt>
                <c:pt idx="178">
                  <c:v>-35.177940962742284</c:v>
                </c:pt>
                <c:pt idx="179">
                  <c:v>-35.644975803075027</c:v>
                </c:pt>
                <c:pt idx="180">
                  <c:v>-36.043937857752724</c:v>
                </c:pt>
                <c:pt idx="181">
                  <c:v>-36.396840401735219</c:v>
                </c:pt>
                <c:pt idx="182">
                  <c:v>-36.706106817799196</c:v>
                </c:pt>
                <c:pt idx="183">
                  <c:v>-36.945588080314181</c:v>
                </c:pt>
                <c:pt idx="184">
                  <c:v>-37.137379447363173</c:v>
                </c:pt>
                <c:pt idx="185">
                  <c:v>-37.274054224935796</c:v>
                </c:pt>
                <c:pt idx="186">
                  <c:v>-37.357666243094116</c:v>
                </c:pt>
                <c:pt idx="187">
                  <c:v>-37.391798478988989</c:v>
                </c:pt>
                <c:pt idx="188">
                  <c:v>-37.38923586031855</c:v>
                </c:pt>
                <c:pt idx="189">
                  <c:v>-37.331239277931289</c:v>
                </c:pt>
                <c:pt idx="190">
                  <c:v>-37.224889957683345</c:v>
                </c:pt>
                <c:pt idx="191">
                  <c:v>-37.078324127021368</c:v>
                </c:pt>
                <c:pt idx="192">
                  <c:v>-36.890341775196724</c:v>
                </c:pt>
                <c:pt idx="193">
                  <c:v>-36.663777569406051</c:v>
                </c:pt>
                <c:pt idx="194">
                  <c:v>-36.397859266294162</c:v>
                </c:pt>
                <c:pt idx="195">
                  <c:v>-36.097453201909232</c:v>
                </c:pt>
                <c:pt idx="196">
                  <c:v>-35.762363177354018</c:v>
                </c:pt>
                <c:pt idx="197">
                  <c:v>-35.399235530691072</c:v>
                </c:pt>
                <c:pt idx="198">
                  <c:v>-35.005379041628316</c:v>
                </c:pt>
                <c:pt idx="199">
                  <c:v>-34.585396067934099</c:v>
                </c:pt>
                <c:pt idx="200">
                  <c:v>-34.144177645256256</c:v>
                </c:pt>
                <c:pt idx="201">
                  <c:v>-33.679431458975145</c:v>
                </c:pt>
                <c:pt idx="202">
                  <c:v>-33.195295213083085</c:v>
                </c:pt>
                <c:pt idx="203">
                  <c:v>-32.696277573176232</c:v>
                </c:pt>
                <c:pt idx="204">
                  <c:v>-32.180591212494377</c:v>
                </c:pt>
                <c:pt idx="205">
                  <c:v>-31.651852402543053</c:v>
                </c:pt>
                <c:pt idx="206">
                  <c:v>-31.112666540758013</c:v>
                </c:pt>
                <c:pt idx="207">
                  <c:v>-30.564490748719741</c:v>
                </c:pt>
                <c:pt idx="208">
                  <c:v>-30.009224553858772</c:v>
                </c:pt>
                <c:pt idx="209">
                  <c:v>-29.448866286349872</c:v>
                </c:pt>
                <c:pt idx="210">
                  <c:v>-28.886831174056859</c:v>
                </c:pt>
                <c:pt idx="211">
                  <c:v>-28.322203933271986</c:v>
                </c:pt>
                <c:pt idx="212">
                  <c:v>-27.756700257550552</c:v>
                </c:pt>
                <c:pt idx="213">
                  <c:v>-27.193820302287762</c:v>
                </c:pt>
                <c:pt idx="214">
                  <c:v>-26.635535739856124</c:v>
                </c:pt>
                <c:pt idx="215">
                  <c:v>-26.080798593896986</c:v>
                </c:pt>
                <c:pt idx="216">
                  <c:v>-25.531137779171992</c:v>
                </c:pt>
                <c:pt idx="217">
                  <c:v>-24.989090984713982</c:v>
                </c:pt>
                <c:pt idx="218">
                  <c:v>-24.453343233718147</c:v>
                </c:pt>
                <c:pt idx="219">
                  <c:v>-23.928087151600995</c:v>
                </c:pt>
                <c:pt idx="220">
                  <c:v>-23.411605212084627</c:v>
                </c:pt>
                <c:pt idx="221">
                  <c:v>-22.905400929294419</c:v>
                </c:pt>
                <c:pt idx="222">
                  <c:v>-22.408660757607919</c:v>
                </c:pt>
                <c:pt idx="223">
                  <c:v>-21.924773666731653</c:v>
                </c:pt>
                <c:pt idx="224">
                  <c:v>-21.451726877119516</c:v>
                </c:pt>
                <c:pt idx="225">
                  <c:v>-20.990959629963783</c:v>
                </c:pt>
                <c:pt idx="226">
                  <c:v>-20.541870404497551</c:v>
                </c:pt>
                <c:pt idx="227">
                  <c:v>-20.10537249846174</c:v>
                </c:pt>
                <c:pt idx="228">
                  <c:v>-19.681400521777391</c:v>
                </c:pt>
                <c:pt idx="229">
                  <c:v>-19.269476478201252</c:v>
                </c:pt>
                <c:pt idx="230">
                  <c:v>-18.870182324176483</c:v>
                </c:pt>
                <c:pt idx="231">
                  <c:v>-18.482763071984184</c:v>
                </c:pt>
                <c:pt idx="232">
                  <c:v>-18.107854872667335</c:v>
                </c:pt>
                <c:pt idx="233">
                  <c:v>-17.744546859610338</c:v>
                </c:pt>
                <c:pt idx="234">
                  <c:v>-17.392672449661568</c:v>
                </c:pt>
                <c:pt idx="235">
                  <c:v>-17.051878605478322</c:v>
                </c:pt>
                <c:pt idx="236">
                  <c:v>-16.722240567355183</c:v>
                </c:pt>
                <c:pt idx="237">
                  <c:v>-16.402794549281086</c:v>
                </c:pt>
                <c:pt idx="238">
                  <c:v>-16.0933397585592</c:v>
                </c:pt>
                <c:pt idx="239">
                  <c:v>-15.793524302373905</c:v>
                </c:pt>
                <c:pt idx="240">
                  <c:v>-15.502607420335078</c:v>
                </c:pt>
                <c:pt idx="241">
                  <c:v>-15.220378730569109</c:v>
                </c:pt>
                <c:pt idx="242">
                  <c:v>-14.946197080617331</c:v>
                </c:pt>
                <c:pt idx="243">
                  <c:v>-14.679506700087915</c:v>
                </c:pt>
                <c:pt idx="244">
                  <c:v>-14.41986371824315</c:v>
                </c:pt>
                <c:pt idx="245">
                  <c:v>-14.166580700528105</c:v>
                </c:pt>
                <c:pt idx="246">
                  <c:v>-13.919306046896303</c:v>
                </c:pt>
                <c:pt idx="247">
                  <c:v>-13.67733195582141</c:v>
                </c:pt>
                <c:pt idx="248">
                  <c:v>-13.440178683319019</c:v>
                </c:pt>
                <c:pt idx="249">
                  <c:v>-13.207354114041951</c:v>
                </c:pt>
                <c:pt idx="250">
                  <c:v>-12.978279297571953</c:v>
                </c:pt>
                <c:pt idx="251">
                  <c:v>-12.752417566284711</c:v>
                </c:pt>
                <c:pt idx="252">
                  <c:v>-12.529281943309712</c:v>
                </c:pt>
                <c:pt idx="253">
                  <c:v>-12.308355675453585</c:v>
                </c:pt>
                <c:pt idx="254">
                  <c:v>-12.089117524828279</c:v>
                </c:pt>
                <c:pt idx="255">
                  <c:v>-11.871109665862072</c:v>
                </c:pt>
                <c:pt idx="256">
                  <c:v>-11.65386863744061</c:v>
                </c:pt>
                <c:pt idx="257">
                  <c:v>-11.436920072280415</c:v>
                </c:pt>
                <c:pt idx="258">
                  <c:v>-11.219818547712526</c:v>
                </c:pt>
                <c:pt idx="259">
                  <c:v>-11.002140189545035</c:v>
                </c:pt>
                <c:pt idx="260">
                  <c:v>-10.783467901760757</c:v>
                </c:pt>
                <c:pt idx="261">
                  <c:v>-10.563426873290334</c:v>
                </c:pt>
                <c:pt idx="262">
                  <c:v>-10.341609380523249</c:v>
                </c:pt>
                <c:pt idx="263">
                  <c:v>-10.117641665348881</c:v>
                </c:pt>
                <c:pt idx="264">
                  <c:v>-9.891141248935682</c:v>
                </c:pt>
                <c:pt idx="265">
                  <c:v>-9.6618288778581487</c:v>
                </c:pt>
                <c:pt idx="266">
                  <c:v>-9.4293237235612093</c:v>
                </c:pt>
                <c:pt idx="267">
                  <c:v>-9.1933418842896995</c:v>
                </c:pt>
                <c:pt idx="268">
                  <c:v>-8.9535807916050594</c:v>
                </c:pt>
                <c:pt idx="269">
                  <c:v>-8.7097379988473129</c:v>
                </c:pt>
                <c:pt idx="270">
                  <c:v>-8.4615425958719204</c:v>
                </c:pt>
                <c:pt idx="271">
                  <c:v>-8.2087216404949359</c:v>
                </c:pt>
                <c:pt idx="272">
                  <c:v>-7.9510250489291563</c:v>
                </c:pt>
                <c:pt idx="273">
                  <c:v>-7.6882128333947284</c:v>
                </c:pt>
                <c:pt idx="274">
                  <c:v>-7.4200493519895598</c:v>
                </c:pt>
                <c:pt idx="275">
                  <c:v>-7.1463062776273709</c:v>
                </c:pt>
                <c:pt idx="276">
                  <c:v>-6.8667883524005573</c:v>
                </c:pt>
                <c:pt idx="277">
                  <c:v>-6.5812658725096727</c:v>
                </c:pt>
                <c:pt idx="278">
                  <c:v>-6.289541402986206</c:v>
                </c:pt>
                <c:pt idx="279">
                  <c:v>-5.9914350951234736</c:v>
                </c:pt>
                <c:pt idx="280">
                  <c:v>-5.6867469886773145</c:v>
                </c:pt>
                <c:pt idx="281">
                  <c:v>-5.3753056556076659</c:v>
                </c:pt>
                <c:pt idx="282">
                  <c:v>-5.0569422817508158</c:v>
                </c:pt>
                <c:pt idx="283">
                  <c:v>-4.7314794296781768</c:v>
                </c:pt>
                <c:pt idx="284">
                  <c:v>-4.3987617145281162</c:v>
                </c:pt>
                <c:pt idx="285">
                  <c:v>-4.0586437235788013</c:v>
                </c:pt>
                <c:pt idx="286">
                  <c:v>-3.7109661735519812</c:v>
                </c:pt>
                <c:pt idx="287">
                  <c:v>-3.355587825609387</c:v>
                </c:pt>
                <c:pt idx="288">
                  <c:v>-2.9923731213462612</c:v>
                </c:pt>
                <c:pt idx="289">
                  <c:v>-2.6211925864275325</c:v>
                </c:pt>
                <c:pt idx="290">
                  <c:v>-2.2419232956970161</c:v>
                </c:pt>
                <c:pt idx="291">
                  <c:v>-1.8544493987413169</c:v>
                </c:pt>
                <c:pt idx="292">
                  <c:v>-1.4586627040672959</c:v>
                </c:pt>
                <c:pt idx="293">
                  <c:v>-1.0544633191536343</c:v>
                </c:pt>
                <c:pt idx="294">
                  <c:v>-0.64176034266088855</c:v>
                </c:pt>
                <c:pt idx="295">
                  <c:v>-0.22047260402470278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E6-4244-9611-D1613DFEF124}"/>
            </c:ext>
          </c:extLst>
        </c:ser>
        <c:ser>
          <c:idx val="0"/>
          <c:order val="1"/>
          <c:tx>
            <c:v>optimized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[0]!optipoly.Tm</c:f>
              <c:numCache>
                <c:formatCode>General</c:formatCode>
                <c:ptCount val="296"/>
                <c:pt idx="0">
                  <c:v>0.1025359665978</c:v>
                </c:pt>
                <c:pt idx="1">
                  <c:v>0.50784421071621944</c:v>
                </c:pt>
                <c:pt idx="2">
                  <c:v>0.90488953093696556</c:v>
                </c:pt>
                <c:pt idx="3">
                  <c:v>1.2937371753842399</c:v>
                </c:pt>
                <c:pt idx="4">
                  <c:v>1.6744525360710891</c:v>
                </c:pt>
                <c:pt idx="5">
                  <c:v>2.047101147938736</c:v>
                </c:pt>
                <c:pt idx="6">
                  <c:v>2.4117487061595897</c:v>
                </c:pt>
                <c:pt idx="7">
                  <c:v>2.7684611057313999</c:v>
                </c:pt>
                <c:pt idx="8">
                  <c:v>3.1173045065626401</c:v>
                </c:pt>
                <c:pt idx="9">
                  <c:v>3.4583454264854794</c:v>
                </c:pt>
                <c:pt idx="10">
                  <c:v>3.7916508639305921</c:v>
                </c:pt>
                <c:pt idx="11">
                  <c:v>4.1172884513544394</c:v>
                </c:pt>
                <c:pt idx="12">
                  <c:v>4.43533818769445</c:v>
                </c:pt>
                <c:pt idx="13">
                  <c:v>4.7458921712126818</c:v>
                </c:pt>
                <c:pt idx="14">
                  <c:v>5.0490089383496697</c:v>
                </c:pt>
                <c:pt idx="15">
                  <c:v>5.3447784575353889</c:v>
                </c:pt>
                <c:pt idx="16">
                  <c:v>5.6333157889306795</c:v>
                </c:pt>
                <c:pt idx="17">
                  <c:v>5.9146806599839241</c:v>
                </c:pt>
                <c:pt idx="18">
                  <c:v>6.1890354396527538</c:v>
                </c:pt>
                <c:pt idx="19">
                  <c:v>6.4564469422495501</c:v>
                </c:pt>
                <c:pt idx="20">
                  <c:v>6.7170747603891181</c:v>
                </c:pt>
                <c:pt idx="21">
                  <c:v>6.9710595053645532</c:v>
                </c:pt>
                <c:pt idx="22">
                  <c:v>7.2185408150078851</c:v>
                </c:pt>
                <c:pt idx="23">
                  <c:v>7.4596942878680546</c:v>
                </c:pt>
                <c:pt idx="24">
                  <c:v>7.6947104838562863</c:v>
                </c:pt>
                <c:pt idx="25">
                  <c:v>7.9237957254500895</c:v>
                </c:pt>
                <c:pt idx="26">
                  <c:v>8.1471692486233387</c:v>
                </c:pt>
                <c:pt idx="27">
                  <c:v>8.3650624051900451</c:v>
                </c:pt>
                <c:pt idx="28">
                  <c:v>8.57774248617838</c:v>
                </c:pt>
                <c:pt idx="29">
                  <c:v>8.7854874632863531</c:v>
                </c:pt>
                <c:pt idx="30">
                  <c:v>8.9886619998740986</c:v>
                </c:pt>
                <c:pt idx="31">
                  <c:v>9.1875227246761426</c:v>
                </c:pt>
                <c:pt idx="32">
                  <c:v>9.3825040003842748</c:v>
                </c:pt>
                <c:pt idx="33">
                  <c:v>9.5739244785987268</c:v>
                </c:pt>
                <c:pt idx="34">
                  <c:v>9.7621979429311114</c:v>
                </c:pt>
                <c:pt idx="35">
                  <c:v>9.9478167582350618</c:v>
                </c:pt>
                <c:pt idx="36">
                  <c:v>10.131205744542834</c:v>
                </c:pt>
                <c:pt idx="37">
                  <c:v>10.312876860237667</c:v>
                </c:pt>
                <c:pt idx="38">
                  <c:v>10.49333659142621</c:v>
                </c:pt>
                <c:pt idx="39">
                  <c:v>10.67311962329102</c:v>
                </c:pt>
                <c:pt idx="40">
                  <c:v>10.852817886257254</c:v>
                </c:pt>
                <c:pt idx="41">
                  <c:v>11.03300992600405</c:v>
                </c:pt>
                <c:pt idx="42">
                  <c:v>11.214355578768663</c:v>
                </c:pt>
                <c:pt idx="43">
                  <c:v>11.397453795661768</c:v>
                </c:pt>
                <c:pt idx="44">
                  <c:v>11.582910809403232</c:v>
                </c:pt>
                <c:pt idx="45">
                  <c:v>11.77160336352088</c:v>
                </c:pt>
                <c:pt idx="46">
                  <c:v>11.963999400533625</c:v>
                </c:pt>
                <c:pt idx="47">
                  <c:v>12.160932360650827</c:v>
                </c:pt>
                <c:pt idx="48">
                  <c:v>12.363198358013646</c:v>
                </c:pt>
                <c:pt idx="49">
                  <c:v>12.571367498165701</c:v>
                </c:pt>
                <c:pt idx="50">
                  <c:v>12.786246041156309</c:v>
                </c:pt>
                <c:pt idx="51">
                  <c:v>13.00863226684082</c:v>
                </c:pt>
                <c:pt idx="52">
                  <c:v>13.23936106962444</c:v>
                </c:pt>
                <c:pt idx="53">
                  <c:v>13.478695865094114</c:v>
                </c:pt>
                <c:pt idx="54">
                  <c:v>13.727865874063575</c:v>
                </c:pt>
                <c:pt idx="55">
                  <c:v>13.987420486523096</c:v>
                </c:pt>
                <c:pt idx="56">
                  <c:v>14.25789235399713</c:v>
                </c:pt>
                <c:pt idx="57">
                  <c:v>14.540180806509801</c:v>
                </c:pt>
                <c:pt idx="58">
                  <c:v>14.834913696788645</c:v>
                </c:pt>
                <c:pt idx="59">
                  <c:v>15.142305717046826</c:v>
                </c:pt>
                <c:pt idx="60">
                  <c:v>15.463229994389494</c:v>
                </c:pt>
                <c:pt idx="61">
                  <c:v>15.798235519321935</c:v>
                </c:pt>
                <c:pt idx="62">
                  <c:v>16.147618966564686</c:v>
                </c:pt>
                <c:pt idx="63">
                  <c:v>16.51181710965016</c:v>
                </c:pt>
                <c:pt idx="64">
                  <c:v>16.891263182412739</c:v>
                </c:pt>
                <c:pt idx="65">
                  <c:v>17.286111584095824</c:v>
                </c:pt>
                <c:pt idx="66">
                  <c:v>17.696523087160919</c:v>
                </c:pt>
                <c:pt idx="67">
                  <c:v>18.122709448596098</c:v>
                </c:pt>
                <c:pt idx="68">
                  <c:v>18.5646149127518</c:v>
                </c:pt>
                <c:pt idx="69">
                  <c:v>19.022240265889156</c:v>
                </c:pt>
                <c:pt idx="70">
                  <c:v>19.495287430975058</c:v>
                </c:pt>
                <c:pt idx="71">
                  <c:v>19.983690446903275</c:v>
                </c:pt>
                <c:pt idx="72">
                  <c:v>20.48694919019055</c:v>
                </c:pt>
                <c:pt idx="73">
                  <c:v>21.004663734302234</c:v>
                </c:pt>
                <c:pt idx="74">
                  <c:v>21.536312386689495</c:v>
                </c:pt>
                <c:pt idx="75">
                  <c:v>22.08105429920635</c:v>
                </c:pt>
                <c:pt idx="76">
                  <c:v>22.638287674808922</c:v>
                </c:pt>
                <c:pt idx="77">
                  <c:v>23.207016193482943</c:v>
                </c:pt>
                <c:pt idx="78">
                  <c:v>23.78625585756707</c:v>
                </c:pt>
                <c:pt idx="79">
                  <c:v>24.377020517363462</c:v>
                </c:pt>
                <c:pt idx="80">
                  <c:v>24.974021927218779</c:v>
                </c:pt>
                <c:pt idx="81">
                  <c:v>25.575389200186457</c:v>
                </c:pt>
                <c:pt idx="82">
                  <c:v>26.186340260763849</c:v>
                </c:pt>
                <c:pt idx="83">
                  <c:v>26.799827991818059</c:v>
                </c:pt>
                <c:pt idx="84">
                  <c:v>27.412761162795398</c:v>
                </c:pt>
                <c:pt idx="85">
                  <c:v>28.026822846947681</c:v>
                </c:pt>
                <c:pt idx="86">
                  <c:v>28.645493829530814</c:v>
                </c:pt>
                <c:pt idx="87">
                  <c:v>29.257218491260151</c:v>
                </c:pt>
                <c:pt idx="88">
                  <c:v>29.861390939553424</c:v>
                </c:pt>
                <c:pt idx="89">
                  <c:v>30.455691596404641</c:v>
                </c:pt>
                <c:pt idx="90">
                  <c:v>31.043473628512324</c:v>
                </c:pt>
                <c:pt idx="91">
                  <c:v>31.621009412828577</c:v>
                </c:pt>
                <c:pt idx="92">
                  <c:v>32.184234299649319</c:v>
                </c:pt>
                <c:pt idx="93">
                  <c:v>32.736053348320638</c:v>
                </c:pt>
                <c:pt idx="94">
                  <c:v>33.264265374051618</c:v>
                </c:pt>
                <c:pt idx="95">
                  <c:v>33.771298505840264</c:v>
                </c:pt>
                <c:pt idx="96">
                  <c:v>34.260483783779435</c:v>
                </c:pt>
                <c:pt idx="97">
                  <c:v>34.718689901666856</c:v>
                </c:pt>
                <c:pt idx="98">
                  <c:v>35.14844806091196</c:v>
                </c:pt>
                <c:pt idx="99">
                  <c:v>35.566524053753866</c:v>
                </c:pt>
                <c:pt idx="100">
                  <c:v>35.924563826504034</c:v>
                </c:pt>
                <c:pt idx="101">
                  <c:v>36.263051160366757</c:v>
                </c:pt>
                <c:pt idx="102">
                  <c:v>36.568895473420326</c:v>
                </c:pt>
                <c:pt idx="103">
                  <c:v>36.834277249333496</c:v>
                </c:pt>
                <c:pt idx="104">
                  <c:v>37.058127354666055</c:v>
                </c:pt>
                <c:pt idx="105">
                  <c:v>37.235716385084594</c:v>
                </c:pt>
                <c:pt idx="106">
                  <c:v>37.375092751237879</c:v>
                </c:pt>
                <c:pt idx="107">
                  <c:v>37.468978280923992</c:v>
                </c:pt>
                <c:pt idx="108">
                  <c:v>37.521255246613549</c:v>
                </c:pt>
                <c:pt idx="109">
                  <c:v>37.523322793809541</c:v>
                </c:pt>
                <c:pt idx="110">
                  <c:v>37.470754852877832</c:v>
                </c:pt>
                <c:pt idx="111">
                  <c:v>37.367125000861307</c:v>
                </c:pt>
                <c:pt idx="112">
                  <c:v>37.210809455628585</c:v>
                </c:pt>
                <c:pt idx="113">
                  <c:v>37.005466285270302</c:v>
                </c:pt>
                <c:pt idx="114">
                  <c:v>36.751771261483157</c:v>
                </c:pt>
                <c:pt idx="115">
                  <c:v>36.444982651328218</c:v>
                </c:pt>
                <c:pt idx="116">
                  <c:v>36.072531890430099</c:v>
                </c:pt>
                <c:pt idx="117">
                  <c:v>35.646649679329919</c:v>
                </c:pt>
                <c:pt idx="118">
                  <c:v>35.168011271242989</c:v>
                </c:pt>
                <c:pt idx="119">
                  <c:v>34.641054418889226</c:v>
                </c:pt>
                <c:pt idx="120">
                  <c:v>34.062440145976765</c:v>
                </c:pt>
                <c:pt idx="121">
                  <c:v>33.412184424451098</c:v>
                </c:pt>
                <c:pt idx="122">
                  <c:v>32.711539752265331</c:v>
                </c:pt>
                <c:pt idx="123">
                  <c:v>31.962758550301722</c:v>
                </c:pt>
                <c:pt idx="124">
                  <c:v>31.17412325389704</c:v>
                </c:pt>
                <c:pt idx="125">
                  <c:v>30.31299050196364</c:v>
                </c:pt>
                <c:pt idx="126">
                  <c:v>29.399333687994314</c:v>
                </c:pt>
                <c:pt idx="127">
                  <c:v>28.445922532024746</c:v>
                </c:pt>
                <c:pt idx="128">
                  <c:v>27.452160237798388</c:v>
                </c:pt>
                <c:pt idx="129">
                  <c:v>26.389400495508276</c:v>
                </c:pt>
                <c:pt idx="130">
                  <c:v>25.286129013669637</c:v>
                </c:pt>
                <c:pt idx="131">
                  <c:v>24.150168743338913</c:v>
                </c:pt>
                <c:pt idx="132">
                  <c:v>22.967841591875882</c:v>
                </c:pt>
                <c:pt idx="133">
                  <c:v>21.73878539815253</c:v>
                </c:pt>
                <c:pt idx="134">
                  <c:v>20.469994669780228</c:v>
                </c:pt>
                <c:pt idx="135">
                  <c:v>19.179920119976416</c:v>
                </c:pt>
                <c:pt idx="136">
                  <c:v>17.837300437188375</c:v>
                </c:pt>
                <c:pt idx="137">
                  <c:v>16.462517449164402</c:v>
                </c:pt>
                <c:pt idx="138">
                  <c:v>15.073010499729747</c:v>
                </c:pt>
                <c:pt idx="139">
                  <c:v>13.646657066337287</c:v>
                </c:pt>
                <c:pt idx="140">
                  <c:v>12.190201465816699</c:v>
                </c:pt>
                <c:pt idx="141">
                  <c:v>10.720552384393393</c:v>
                </c:pt>
                <c:pt idx="142">
                  <c:v>9.2369855256752498</c:v>
                </c:pt>
                <c:pt idx="143">
                  <c:v>7.7213489585575878</c:v>
                </c:pt>
                <c:pt idx="144">
                  <c:v>6.2103496819340167</c:v>
                </c:pt>
                <c:pt idx="145">
                  <c:v>4.6569058282739313</c:v>
                </c:pt>
                <c:pt idx="146">
                  <c:v>3.1127316471567026</c:v>
                </c:pt>
                <c:pt idx="147">
                  <c:v>1.5749046310330517</c:v>
                </c:pt>
                <c:pt idx="148">
                  <c:v>3.2689004226648111E-3</c:v>
                </c:pt>
                <c:pt idx="149">
                  <c:v>-1.5495714830420511</c:v>
                </c:pt>
                <c:pt idx="150">
                  <c:v>-3.0911929237624114</c:v>
                </c:pt>
                <c:pt idx="151">
                  <c:v>-4.6530460858148253</c:v>
                </c:pt>
                <c:pt idx="152">
                  <c:v>-6.1867512592907694</c:v>
                </c:pt>
                <c:pt idx="153">
                  <c:v>-7.710299851413752</c:v>
                </c:pt>
                <c:pt idx="154">
                  <c:v>-9.225330873686886</c:v>
                </c:pt>
                <c:pt idx="155">
                  <c:v>-10.727299193090527</c:v>
                </c:pt>
                <c:pt idx="156">
                  <c:v>-12.207931579743587</c:v>
                </c:pt>
                <c:pt idx="157">
                  <c:v>-13.653487325853256</c:v>
                </c:pt>
                <c:pt idx="158">
                  <c:v>-15.09558791906835</c:v>
                </c:pt>
                <c:pt idx="159">
                  <c:v>-16.502890005753081</c:v>
                </c:pt>
                <c:pt idx="160">
                  <c:v>-17.86422111780972</c:v>
                </c:pt>
                <c:pt idx="161">
                  <c:v>-19.221794382861646</c:v>
                </c:pt>
                <c:pt idx="162">
                  <c:v>-20.523943362675951</c:v>
                </c:pt>
                <c:pt idx="163">
                  <c:v>-21.792236095910056</c:v>
                </c:pt>
                <c:pt idx="164">
                  <c:v>-23.016391482220968</c:v>
                </c:pt>
                <c:pt idx="165">
                  <c:v>-24.211665405951948</c:v>
                </c:pt>
                <c:pt idx="166">
                  <c:v>-25.360330533110826</c:v>
                </c:pt>
                <c:pt idx="167">
                  <c:v>-26.448729736154373</c:v>
                </c:pt>
                <c:pt idx="168">
                  <c:v>-27.509357691808788</c:v>
                </c:pt>
                <c:pt idx="169">
                  <c:v>-28.513979531422329</c:v>
                </c:pt>
                <c:pt idx="170">
                  <c:v>-29.472386347687923</c:v>
                </c:pt>
                <c:pt idx="171">
                  <c:v>-30.365391271958877</c:v>
                </c:pt>
                <c:pt idx="172">
                  <c:v>-31.228212626630302</c:v>
                </c:pt>
                <c:pt idx="173">
                  <c:v>-32.022072587872657</c:v>
                </c:pt>
                <c:pt idx="174">
                  <c:v>-32.765981858348482</c:v>
                </c:pt>
                <c:pt idx="175">
                  <c:v>-33.449088705638601</c:v>
                </c:pt>
                <c:pt idx="176">
                  <c:v>-34.076163653106114</c:v>
                </c:pt>
                <c:pt idx="177">
                  <c:v>-34.662181427675151</c:v>
                </c:pt>
                <c:pt idx="178">
                  <c:v>-35.177940962742284</c:v>
                </c:pt>
                <c:pt idx="179">
                  <c:v>-35.644975803075027</c:v>
                </c:pt>
                <c:pt idx="180">
                  <c:v>-36.043937857752724</c:v>
                </c:pt>
                <c:pt idx="181">
                  <c:v>-36.396840401735219</c:v>
                </c:pt>
                <c:pt idx="182">
                  <c:v>-36.706106817799196</c:v>
                </c:pt>
                <c:pt idx="183">
                  <c:v>-36.945588080314181</c:v>
                </c:pt>
                <c:pt idx="184">
                  <c:v>-37.137379447363173</c:v>
                </c:pt>
                <c:pt idx="185">
                  <c:v>-37.274054224935796</c:v>
                </c:pt>
                <c:pt idx="186">
                  <c:v>-37.357666243094116</c:v>
                </c:pt>
                <c:pt idx="187">
                  <c:v>-37.391798478988989</c:v>
                </c:pt>
                <c:pt idx="188">
                  <c:v>-37.38923586031855</c:v>
                </c:pt>
                <c:pt idx="189">
                  <c:v>-37.331239277931289</c:v>
                </c:pt>
                <c:pt idx="190">
                  <c:v>-37.224889957683345</c:v>
                </c:pt>
                <c:pt idx="191">
                  <c:v>-37.078324127021368</c:v>
                </c:pt>
                <c:pt idx="192">
                  <c:v>-36.890341775196724</c:v>
                </c:pt>
                <c:pt idx="193">
                  <c:v>-36.663777569406051</c:v>
                </c:pt>
                <c:pt idx="194">
                  <c:v>-36.397859266294162</c:v>
                </c:pt>
                <c:pt idx="195">
                  <c:v>-36.097453201909232</c:v>
                </c:pt>
                <c:pt idx="196">
                  <c:v>-35.762363177354018</c:v>
                </c:pt>
                <c:pt idx="197">
                  <c:v>-35.399235530691072</c:v>
                </c:pt>
                <c:pt idx="198">
                  <c:v>-35.005379041628316</c:v>
                </c:pt>
                <c:pt idx="199">
                  <c:v>-34.585396067934099</c:v>
                </c:pt>
                <c:pt idx="200">
                  <c:v>-34.144177645256256</c:v>
                </c:pt>
                <c:pt idx="201">
                  <c:v>-33.679431458975152</c:v>
                </c:pt>
                <c:pt idx="202">
                  <c:v>-33.195295213083085</c:v>
                </c:pt>
                <c:pt idx="203">
                  <c:v>-32.696277573176232</c:v>
                </c:pt>
                <c:pt idx="204">
                  <c:v>-32.180591212494377</c:v>
                </c:pt>
                <c:pt idx="205">
                  <c:v>-31.651852402543053</c:v>
                </c:pt>
                <c:pt idx="206">
                  <c:v>-31.112666540758013</c:v>
                </c:pt>
                <c:pt idx="207">
                  <c:v>-30.564490748719741</c:v>
                </c:pt>
                <c:pt idx="208">
                  <c:v>-30.009224553858765</c:v>
                </c:pt>
                <c:pt idx="209">
                  <c:v>-29.448866286349869</c:v>
                </c:pt>
                <c:pt idx="210">
                  <c:v>-28.886831174056859</c:v>
                </c:pt>
                <c:pt idx="211">
                  <c:v>-28.322203933271986</c:v>
                </c:pt>
                <c:pt idx="212">
                  <c:v>-27.756700257550552</c:v>
                </c:pt>
                <c:pt idx="213">
                  <c:v>-27.193820302287762</c:v>
                </c:pt>
                <c:pt idx="214">
                  <c:v>-26.635535739856124</c:v>
                </c:pt>
                <c:pt idx="215">
                  <c:v>-26.080798593896986</c:v>
                </c:pt>
                <c:pt idx="216">
                  <c:v>-25.531137779171992</c:v>
                </c:pt>
                <c:pt idx="217">
                  <c:v>-24.989090984713982</c:v>
                </c:pt>
                <c:pt idx="218">
                  <c:v>-24.453343233718147</c:v>
                </c:pt>
                <c:pt idx="219">
                  <c:v>-23.928087151600998</c:v>
                </c:pt>
                <c:pt idx="220">
                  <c:v>-23.411605212084623</c:v>
                </c:pt>
                <c:pt idx="221">
                  <c:v>-22.905400929294416</c:v>
                </c:pt>
                <c:pt idx="222">
                  <c:v>-22.408660757607919</c:v>
                </c:pt>
                <c:pt idx="223">
                  <c:v>-21.924773666731657</c:v>
                </c:pt>
                <c:pt idx="224">
                  <c:v>-21.451726877119512</c:v>
                </c:pt>
                <c:pt idx="225">
                  <c:v>-20.990959629963783</c:v>
                </c:pt>
                <c:pt idx="226">
                  <c:v>-20.541870404497551</c:v>
                </c:pt>
                <c:pt idx="227">
                  <c:v>-20.10537249846174</c:v>
                </c:pt>
                <c:pt idx="228">
                  <c:v>-19.681400521777391</c:v>
                </c:pt>
                <c:pt idx="229">
                  <c:v>-19.269476478201252</c:v>
                </c:pt>
                <c:pt idx="230">
                  <c:v>-18.870182324176483</c:v>
                </c:pt>
                <c:pt idx="231">
                  <c:v>-18.482763071984184</c:v>
                </c:pt>
                <c:pt idx="232">
                  <c:v>-18.107854872667335</c:v>
                </c:pt>
                <c:pt idx="233">
                  <c:v>-17.744546859610335</c:v>
                </c:pt>
                <c:pt idx="234">
                  <c:v>-17.392672449661568</c:v>
                </c:pt>
                <c:pt idx="235">
                  <c:v>-17.051878605478322</c:v>
                </c:pt>
                <c:pt idx="236">
                  <c:v>-16.722240567355183</c:v>
                </c:pt>
                <c:pt idx="237">
                  <c:v>-16.40279454928109</c:v>
                </c:pt>
                <c:pt idx="238">
                  <c:v>-16.0933397585592</c:v>
                </c:pt>
                <c:pt idx="239">
                  <c:v>-15.793524302373905</c:v>
                </c:pt>
                <c:pt idx="240">
                  <c:v>-15.502607420335078</c:v>
                </c:pt>
                <c:pt idx="241">
                  <c:v>-15.220378730569109</c:v>
                </c:pt>
                <c:pt idx="242">
                  <c:v>-14.946197080617331</c:v>
                </c:pt>
                <c:pt idx="243">
                  <c:v>-14.679506700087915</c:v>
                </c:pt>
                <c:pt idx="244">
                  <c:v>-14.41986371824315</c:v>
                </c:pt>
                <c:pt idx="245">
                  <c:v>-14.166580700528105</c:v>
                </c:pt>
                <c:pt idx="246">
                  <c:v>-13.919306046896303</c:v>
                </c:pt>
                <c:pt idx="247">
                  <c:v>-13.67733195582141</c:v>
                </c:pt>
                <c:pt idx="248">
                  <c:v>-13.440178683319019</c:v>
                </c:pt>
                <c:pt idx="249">
                  <c:v>-13.207354114041951</c:v>
                </c:pt>
                <c:pt idx="250">
                  <c:v>-12.978279297571953</c:v>
                </c:pt>
                <c:pt idx="251">
                  <c:v>-12.752417566284716</c:v>
                </c:pt>
                <c:pt idx="252">
                  <c:v>-12.529281943309712</c:v>
                </c:pt>
                <c:pt idx="253">
                  <c:v>-12.308355675453589</c:v>
                </c:pt>
                <c:pt idx="254">
                  <c:v>-12.089117524828277</c:v>
                </c:pt>
                <c:pt idx="255">
                  <c:v>-11.871109665862072</c:v>
                </c:pt>
                <c:pt idx="256">
                  <c:v>-11.65386863744061</c:v>
                </c:pt>
                <c:pt idx="257">
                  <c:v>-11.436920072280417</c:v>
                </c:pt>
                <c:pt idx="258">
                  <c:v>-11.21981854771253</c:v>
                </c:pt>
                <c:pt idx="259">
                  <c:v>-11.002140189545035</c:v>
                </c:pt>
                <c:pt idx="260">
                  <c:v>-10.783467901760757</c:v>
                </c:pt>
                <c:pt idx="261">
                  <c:v>-10.563426873290334</c:v>
                </c:pt>
                <c:pt idx="262">
                  <c:v>-10.34160938052325</c:v>
                </c:pt>
                <c:pt idx="263">
                  <c:v>-10.117641665348883</c:v>
                </c:pt>
                <c:pt idx="264">
                  <c:v>-9.891141248935682</c:v>
                </c:pt>
                <c:pt idx="265">
                  <c:v>-9.6618288778581487</c:v>
                </c:pt>
                <c:pt idx="266">
                  <c:v>-9.4293237235612111</c:v>
                </c:pt>
                <c:pt idx="267">
                  <c:v>-9.1933418842897012</c:v>
                </c:pt>
                <c:pt idx="268">
                  <c:v>-8.9535807916050594</c:v>
                </c:pt>
                <c:pt idx="269">
                  <c:v>-8.7097379988473129</c:v>
                </c:pt>
                <c:pt idx="270">
                  <c:v>-8.4615425958719168</c:v>
                </c:pt>
                <c:pt idx="271">
                  <c:v>-8.2087216404949359</c:v>
                </c:pt>
                <c:pt idx="272">
                  <c:v>-7.9510250489291563</c:v>
                </c:pt>
                <c:pt idx="273">
                  <c:v>-7.6882128333947284</c:v>
                </c:pt>
                <c:pt idx="274">
                  <c:v>-7.4200493519895563</c:v>
                </c:pt>
                <c:pt idx="275">
                  <c:v>-7.1463062776273709</c:v>
                </c:pt>
                <c:pt idx="276">
                  <c:v>-6.8667883524005573</c:v>
                </c:pt>
                <c:pt idx="277">
                  <c:v>-6.5812658725096727</c:v>
                </c:pt>
                <c:pt idx="278">
                  <c:v>-6.289541402986206</c:v>
                </c:pt>
                <c:pt idx="279">
                  <c:v>-5.9914350951234736</c:v>
                </c:pt>
                <c:pt idx="280">
                  <c:v>-5.6867469886773145</c:v>
                </c:pt>
                <c:pt idx="281">
                  <c:v>-5.3753056556076659</c:v>
                </c:pt>
                <c:pt idx="282">
                  <c:v>-5.0569422817508158</c:v>
                </c:pt>
                <c:pt idx="283">
                  <c:v>-4.7314794296781795</c:v>
                </c:pt>
                <c:pt idx="284">
                  <c:v>-4.3987617145281162</c:v>
                </c:pt>
                <c:pt idx="285">
                  <c:v>-4.0586437235788013</c:v>
                </c:pt>
                <c:pt idx="286">
                  <c:v>-3.7109661735519812</c:v>
                </c:pt>
                <c:pt idx="287">
                  <c:v>-3.355587825609387</c:v>
                </c:pt>
                <c:pt idx="288">
                  <c:v>-2.9923731213462612</c:v>
                </c:pt>
                <c:pt idx="289">
                  <c:v>-2.6211925864275325</c:v>
                </c:pt>
                <c:pt idx="290">
                  <c:v>-2.2419232956970117</c:v>
                </c:pt>
                <c:pt idx="291">
                  <c:v>-1.8544493987413175</c:v>
                </c:pt>
                <c:pt idx="292">
                  <c:v>-1.4586627040672959</c:v>
                </c:pt>
                <c:pt idx="293">
                  <c:v>-1.0544633191536343</c:v>
                </c:pt>
                <c:pt idx="294">
                  <c:v>-0.64176034266088855</c:v>
                </c:pt>
                <c:pt idx="295">
                  <c:v>-0.22047260402470278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26-4874-BA16-DAAD375D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93247"/>
        <c:axId val="1503803727"/>
      </c:scatterChart>
      <c:valAx>
        <c:axId val="167339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</a:t>
                </a:r>
                <a:r>
                  <a:rPr lang="en-GB" baseline="0">
                    <a:solidFill>
                      <a:schemeClr val="tx1"/>
                    </a:solidFill>
                  </a:rPr>
                  <a:t> [s]</a:t>
                </a:r>
                <a:endParaRPr lang="en-GB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0127914543128"/>
              <c:y val="0.90337027935202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03727"/>
        <c:crosses val="autoZero"/>
        <c:crossBetween val="midCat"/>
      </c:valAx>
      <c:valAx>
        <c:axId val="15038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</a:t>
                </a:r>
                <a:r>
                  <a:rPr lang="en-GB" baseline="-25000">
                    <a:solidFill>
                      <a:schemeClr val="tx1"/>
                    </a:solidFill>
                  </a:rPr>
                  <a:t>m</a:t>
                </a:r>
                <a:r>
                  <a:rPr lang="en-GB">
                    <a:solidFill>
                      <a:schemeClr val="tx1"/>
                    </a:solidFill>
                  </a:rPr>
                  <a:t>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9324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legend>
      <c:legendPos val="r"/>
      <c:layout>
        <c:manualLayout>
          <c:xMode val="edge"/>
          <c:yMode val="edge"/>
          <c:x val="0.1324343832020998"/>
          <c:y val="0.15313489908589012"/>
          <c:w val="0.1852739501312336"/>
          <c:h val="0.1607154105736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Torque Components Optimized</a:t>
            </a:r>
            <a:r>
              <a:rPr lang="en-GB" baseline="0">
                <a:solidFill>
                  <a:schemeClr val="tx1"/>
                </a:solidFill>
              </a:rPr>
              <a:t> </a:t>
            </a:r>
            <a:r>
              <a:rPr lang="en-GB">
                <a:solidFill>
                  <a:schemeClr val="tx1"/>
                </a:solidFill>
              </a:rPr>
              <a:t>Polynomial</a:t>
            </a:r>
          </a:p>
        </c:rich>
      </c:tx>
      <c:layout>
        <c:manualLayout>
          <c:xMode val="edge"/>
          <c:yMode val="edge"/>
          <c:x val="0.2014126066272966"/>
          <c:y val="9.53580802399700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91523129921259"/>
          <c:y val="0.21157217847769028"/>
          <c:w val="0.81446430053148511"/>
          <c:h val="0.71615373078365208"/>
        </c:manualLayout>
      </c:layout>
      <c:scatterChart>
        <c:scatterStyle val="smoothMarker"/>
        <c:varyColors val="0"/>
        <c:ser>
          <c:idx val="0"/>
          <c:order val="0"/>
          <c:tx>
            <c:v>Tm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[0]!optipoly.Tm</c:f>
              <c:numCache>
                <c:formatCode>General</c:formatCode>
                <c:ptCount val="296"/>
                <c:pt idx="0">
                  <c:v>0.1025359665978</c:v>
                </c:pt>
                <c:pt idx="1">
                  <c:v>0.50784421071621944</c:v>
                </c:pt>
                <c:pt idx="2">
                  <c:v>0.90488953093696556</c:v>
                </c:pt>
                <c:pt idx="3">
                  <c:v>1.2937371753842399</c:v>
                </c:pt>
                <c:pt idx="4">
                  <c:v>1.6744525360710891</c:v>
                </c:pt>
                <c:pt idx="5">
                  <c:v>2.047101147938736</c:v>
                </c:pt>
                <c:pt idx="6">
                  <c:v>2.4117487061595897</c:v>
                </c:pt>
                <c:pt idx="7">
                  <c:v>2.7684611057313999</c:v>
                </c:pt>
                <c:pt idx="8">
                  <c:v>3.1173045065626401</c:v>
                </c:pt>
                <c:pt idx="9">
                  <c:v>3.4583454264854794</c:v>
                </c:pt>
                <c:pt idx="10">
                  <c:v>3.7916508639305921</c:v>
                </c:pt>
                <c:pt idx="11">
                  <c:v>4.1172884513544394</c:v>
                </c:pt>
                <c:pt idx="12">
                  <c:v>4.43533818769445</c:v>
                </c:pt>
                <c:pt idx="13">
                  <c:v>4.7458921712126818</c:v>
                </c:pt>
                <c:pt idx="14">
                  <c:v>5.0490089383496697</c:v>
                </c:pt>
                <c:pt idx="15">
                  <c:v>5.3447784575353889</c:v>
                </c:pt>
                <c:pt idx="16">
                  <c:v>5.6333157889306795</c:v>
                </c:pt>
                <c:pt idx="17">
                  <c:v>5.9146806599839241</c:v>
                </c:pt>
                <c:pt idx="18">
                  <c:v>6.1890354396527538</c:v>
                </c:pt>
                <c:pt idx="19">
                  <c:v>6.4564469422495501</c:v>
                </c:pt>
                <c:pt idx="20">
                  <c:v>6.7170747603891181</c:v>
                </c:pt>
                <c:pt idx="21">
                  <c:v>6.9710595053645532</c:v>
                </c:pt>
                <c:pt idx="22">
                  <c:v>7.2185408150078851</c:v>
                </c:pt>
                <c:pt idx="23">
                  <c:v>7.4596942878680546</c:v>
                </c:pt>
                <c:pt idx="24">
                  <c:v>7.6947104838562863</c:v>
                </c:pt>
                <c:pt idx="25">
                  <c:v>7.9237957254500895</c:v>
                </c:pt>
                <c:pt idx="26">
                  <c:v>8.1471692486233387</c:v>
                </c:pt>
                <c:pt idx="27">
                  <c:v>8.3650624051900451</c:v>
                </c:pt>
                <c:pt idx="28">
                  <c:v>8.57774248617838</c:v>
                </c:pt>
                <c:pt idx="29">
                  <c:v>8.7854874632863531</c:v>
                </c:pt>
                <c:pt idx="30">
                  <c:v>8.9886619998740986</c:v>
                </c:pt>
                <c:pt idx="31">
                  <c:v>9.1875227246761426</c:v>
                </c:pt>
                <c:pt idx="32">
                  <c:v>9.3825040003842748</c:v>
                </c:pt>
                <c:pt idx="33">
                  <c:v>9.5739244785987268</c:v>
                </c:pt>
                <c:pt idx="34">
                  <c:v>9.7621979429311114</c:v>
                </c:pt>
                <c:pt idx="35">
                  <c:v>9.9478167582350618</c:v>
                </c:pt>
                <c:pt idx="36">
                  <c:v>10.131205744542834</c:v>
                </c:pt>
                <c:pt idx="37">
                  <c:v>10.312876860237667</c:v>
                </c:pt>
                <c:pt idx="38">
                  <c:v>10.49333659142621</c:v>
                </c:pt>
                <c:pt idx="39">
                  <c:v>10.67311962329102</c:v>
                </c:pt>
                <c:pt idx="40">
                  <c:v>10.852817886257254</c:v>
                </c:pt>
                <c:pt idx="41">
                  <c:v>11.03300992600405</c:v>
                </c:pt>
                <c:pt idx="42">
                  <c:v>11.214355578768663</c:v>
                </c:pt>
                <c:pt idx="43">
                  <c:v>11.397453795661768</c:v>
                </c:pt>
                <c:pt idx="44">
                  <c:v>11.582910809403232</c:v>
                </c:pt>
                <c:pt idx="45">
                  <c:v>11.77160336352088</c:v>
                </c:pt>
                <c:pt idx="46">
                  <c:v>11.963999400533625</c:v>
                </c:pt>
                <c:pt idx="47">
                  <c:v>12.160932360650827</c:v>
                </c:pt>
                <c:pt idx="48">
                  <c:v>12.363198358013646</c:v>
                </c:pt>
                <c:pt idx="49">
                  <c:v>12.571367498165701</c:v>
                </c:pt>
                <c:pt idx="50">
                  <c:v>12.786246041156309</c:v>
                </c:pt>
                <c:pt idx="51">
                  <c:v>13.00863226684082</c:v>
                </c:pt>
                <c:pt idx="52">
                  <c:v>13.23936106962444</c:v>
                </c:pt>
                <c:pt idx="53">
                  <c:v>13.478695865094114</c:v>
                </c:pt>
                <c:pt idx="54">
                  <c:v>13.727865874063575</c:v>
                </c:pt>
                <c:pt idx="55">
                  <c:v>13.987420486523096</c:v>
                </c:pt>
                <c:pt idx="56">
                  <c:v>14.25789235399713</c:v>
                </c:pt>
                <c:pt idx="57">
                  <c:v>14.540180806509801</c:v>
                </c:pt>
                <c:pt idx="58">
                  <c:v>14.834913696788645</c:v>
                </c:pt>
                <c:pt idx="59">
                  <c:v>15.142305717046826</c:v>
                </c:pt>
                <c:pt idx="60">
                  <c:v>15.463229994389494</c:v>
                </c:pt>
                <c:pt idx="61">
                  <c:v>15.798235519321935</c:v>
                </c:pt>
                <c:pt idx="62">
                  <c:v>16.147618966564686</c:v>
                </c:pt>
                <c:pt idx="63">
                  <c:v>16.51181710965016</c:v>
                </c:pt>
                <c:pt idx="64">
                  <c:v>16.891263182412739</c:v>
                </c:pt>
                <c:pt idx="65">
                  <c:v>17.286111584095824</c:v>
                </c:pt>
                <c:pt idx="66">
                  <c:v>17.696523087160919</c:v>
                </c:pt>
                <c:pt idx="67">
                  <c:v>18.122709448596098</c:v>
                </c:pt>
                <c:pt idx="68">
                  <c:v>18.5646149127518</c:v>
                </c:pt>
                <c:pt idx="69">
                  <c:v>19.022240265889156</c:v>
                </c:pt>
                <c:pt idx="70">
                  <c:v>19.495287430975058</c:v>
                </c:pt>
                <c:pt idx="71">
                  <c:v>19.983690446903275</c:v>
                </c:pt>
                <c:pt idx="72">
                  <c:v>20.48694919019055</c:v>
                </c:pt>
                <c:pt idx="73">
                  <c:v>21.004663734302234</c:v>
                </c:pt>
                <c:pt idx="74">
                  <c:v>21.536312386689495</c:v>
                </c:pt>
                <c:pt idx="75">
                  <c:v>22.08105429920635</c:v>
                </c:pt>
                <c:pt idx="76">
                  <c:v>22.638287674808922</c:v>
                </c:pt>
                <c:pt idx="77">
                  <c:v>23.207016193482943</c:v>
                </c:pt>
                <c:pt idx="78">
                  <c:v>23.78625585756707</c:v>
                </c:pt>
                <c:pt idx="79">
                  <c:v>24.377020517363462</c:v>
                </c:pt>
                <c:pt idx="80">
                  <c:v>24.974021927218779</c:v>
                </c:pt>
                <c:pt idx="81">
                  <c:v>25.575389200186457</c:v>
                </c:pt>
                <c:pt idx="82">
                  <c:v>26.186340260763849</c:v>
                </c:pt>
                <c:pt idx="83">
                  <c:v>26.799827991818059</c:v>
                </c:pt>
                <c:pt idx="84">
                  <c:v>27.412761162795398</c:v>
                </c:pt>
                <c:pt idx="85">
                  <c:v>28.026822846947681</c:v>
                </c:pt>
                <c:pt idx="86">
                  <c:v>28.645493829530814</c:v>
                </c:pt>
                <c:pt idx="87">
                  <c:v>29.257218491260151</c:v>
                </c:pt>
                <c:pt idx="88">
                  <c:v>29.861390939553424</c:v>
                </c:pt>
                <c:pt idx="89">
                  <c:v>30.455691596404641</c:v>
                </c:pt>
                <c:pt idx="90">
                  <c:v>31.043473628512324</c:v>
                </c:pt>
                <c:pt idx="91">
                  <c:v>31.621009412828577</c:v>
                </c:pt>
                <c:pt idx="92">
                  <c:v>32.184234299649319</c:v>
                </c:pt>
                <c:pt idx="93">
                  <c:v>32.736053348320638</c:v>
                </c:pt>
                <c:pt idx="94">
                  <c:v>33.264265374051618</c:v>
                </c:pt>
                <c:pt idx="95">
                  <c:v>33.771298505840264</c:v>
                </c:pt>
                <c:pt idx="96">
                  <c:v>34.260483783779435</c:v>
                </c:pt>
                <c:pt idx="97">
                  <c:v>34.718689901666856</c:v>
                </c:pt>
                <c:pt idx="98">
                  <c:v>35.14844806091196</c:v>
                </c:pt>
                <c:pt idx="99">
                  <c:v>35.566524053753866</c:v>
                </c:pt>
                <c:pt idx="100">
                  <c:v>35.924563826504034</c:v>
                </c:pt>
                <c:pt idx="101">
                  <c:v>36.263051160366757</c:v>
                </c:pt>
                <c:pt idx="102">
                  <c:v>36.568895473420326</c:v>
                </c:pt>
                <c:pt idx="103">
                  <c:v>36.834277249333496</c:v>
                </c:pt>
                <c:pt idx="104">
                  <c:v>37.058127354666055</c:v>
                </c:pt>
                <c:pt idx="105">
                  <c:v>37.235716385084594</c:v>
                </c:pt>
                <c:pt idx="106">
                  <c:v>37.375092751237879</c:v>
                </c:pt>
                <c:pt idx="107">
                  <c:v>37.468978280923992</c:v>
                </c:pt>
                <c:pt idx="108">
                  <c:v>37.521255246613549</c:v>
                </c:pt>
                <c:pt idx="109">
                  <c:v>37.523322793809541</c:v>
                </c:pt>
                <c:pt idx="110">
                  <c:v>37.470754852877832</c:v>
                </c:pt>
                <c:pt idx="111">
                  <c:v>37.367125000861307</c:v>
                </c:pt>
                <c:pt idx="112">
                  <c:v>37.210809455628585</c:v>
                </c:pt>
                <c:pt idx="113">
                  <c:v>37.005466285270302</c:v>
                </c:pt>
                <c:pt idx="114">
                  <c:v>36.751771261483157</c:v>
                </c:pt>
                <c:pt idx="115">
                  <c:v>36.444982651328218</c:v>
                </c:pt>
                <c:pt idx="116">
                  <c:v>36.072531890430099</c:v>
                </c:pt>
                <c:pt idx="117">
                  <c:v>35.646649679329919</c:v>
                </c:pt>
                <c:pt idx="118">
                  <c:v>35.168011271242989</c:v>
                </c:pt>
                <c:pt idx="119">
                  <c:v>34.641054418889226</c:v>
                </c:pt>
                <c:pt idx="120">
                  <c:v>34.062440145976765</c:v>
                </c:pt>
                <c:pt idx="121">
                  <c:v>33.412184424451098</c:v>
                </c:pt>
                <c:pt idx="122">
                  <c:v>32.711539752265331</c:v>
                </c:pt>
                <c:pt idx="123">
                  <c:v>31.962758550301722</c:v>
                </c:pt>
                <c:pt idx="124">
                  <c:v>31.17412325389704</c:v>
                </c:pt>
                <c:pt idx="125">
                  <c:v>30.31299050196364</c:v>
                </c:pt>
                <c:pt idx="126">
                  <c:v>29.399333687994314</c:v>
                </c:pt>
                <c:pt idx="127">
                  <c:v>28.445922532024746</c:v>
                </c:pt>
                <c:pt idx="128">
                  <c:v>27.452160237798388</c:v>
                </c:pt>
                <c:pt idx="129">
                  <c:v>26.389400495508276</c:v>
                </c:pt>
                <c:pt idx="130">
                  <c:v>25.286129013669637</c:v>
                </c:pt>
                <c:pt idx="131">
                  <c:v>24.150168743338913</c:v>
                </c:pt>
                <c:pt idx="132">
                  <c:v>22.967841591875882</c:v>
                </c:pt>
                <c:pt idx="133">
                  <c:v>21.73878539815253</c:v>
                </c:pt>
                <c:pt idx="134">
                  <c:v>20.469994669780228</c:v>
                </c:pt>
                <c:pt idx="135">
                  <c:v>19.179920119976416</c:v>
                </c:pt>
                <c:pt idx="136">
                  <c:v>17.837300437188375</c:v>
                </c:pt>
                <c:pt idx="137">
                  <c:v>16.462517449164402</c:v>
                </c:pt>
                <c:pt idx="138">
                  <c:v>15.073010499729747</c:v>
                </c:pt>
                <c:pt idx="139">
                  <c:v>13.646657066337287</c:v>
                </c:pt>
                <c:pt idx="140">
                  <c:v>12.190201465816699</c:v>
                </c:pt>
                <c:pt idx="141">
                  <c:v>10.720552384393393</c:v>
                </c:pt>
                <c:pt idx="142">
                  <c:v>9.2369855256752498</c:v>
                </c:pt>
                <c:pt idx="143">
                  <c:v>7.7213489585575878</c:v>
                </c:pt>
                <c:pt idx="144">
                  <c:v>6.2103496819340167</c:v>
                </c:pt>
                <c:pt idx="145">
                  <c:v>4.6569058282739313</c:v>
                </c:pt>
                <c:pt idx="146">
                  <c:v>3.1127316471567026</c:v>
                </c:pt>
                <c:pt idx="147">
                  <c:v>1.5749046310330517</c:v>
                </c:pt>
                <c:pt idx="148">
                  <c:v>3.2689004226648111E-3</c:v>
                </c:pt>
                <c:pt idx="149">
                  <c:v>-1.5495714830420511</c:v>
                </c:pt>
                <c:pt idx="150">
                  <c:v>-3.0911929237624114</c:v>
                </c:pt>
                <c:pt idx="151">
                  <c:v>-4.6530460858148253</c:v>
                </c:pt>
                <c:pt idx="152">
                  <c:v>-6.1867512592907694</c:v>
                </c:pt>
                <c:pt idx="153">
                  <c:v>-7.710299851413752</c:v>
                </c:pt>
                <c:pt idx="154">
                  <c:v>-9.225330873686886</c:v>
                </c:pt>
                <c:pt idx="155">
                  <c:v>-10.727299193090527</c:v>
                </c:pt>
                <c:pt idx="156">
                  <c:v>-12.207931579743587</c:v>
                </c:pt>
                <c:pt idx="157">
                  <c:v>-13.653487325853256</c:v>
                </c:pt>
                <c:pt idx="158">
                  <c:v>-15.09558791906835</c:v>
                </c:pt>
                <c:pt idx="159">
                  <c:v>-16.502890005753081</c:v>
                </c:pt>
                <c:pt idx="160">
                  <c:v>-17.86422111780972</c:v>
                </c:pt>
                <c:pt idx="161">
                  <c:v>-19.221794382861646</c:v>
                </c:pt>
                <c:pt idx="162">
                  <c:v>-20.523943362675951</c:v>
                </c:pt>
                <c:pt idx="163">
                  <c:v>-21.792236095910056</c:v>
                </c:pt>
                <c:pt idx="164">
                  <c:v>-23.016391482220968</c:v>
                </c:pt>
                <c:pt idx="165">
                  <c:v>-24.211665405951948</c:v>
                </c:pt>
                <c:pt idx="166">
                  <c:v>-25.360330533110826</c:v>
                </c:pt>
                <c:pt idx="167">
                  <c:v>-26.448729736154373</c:v>
                </c:pt>
                <c:pt idx="168">
                  <c:v>-27.509357691808788</c:v>
                </c:pt>
                <c:pt idx="169">
                  <c:v>-28.513979531422329</c:v>
                </c:pt>
                <c:pt idx="170">
                  <c:v>-29.472386347687923</c:v>
                </c:pt>
                <c:pt idx="171">
                  <c:v>-30.365391271958877</c:v>
                </c:pt>
                <c:pt idx="172">
                  <c:v>-31.228212626630302</c:v>
                </c:pt>
                <c:pt idx="173">
                  <c:v>-32.022072587872657</c:v>
                </c:pt>
                <c:pt idx="174">
                  <c:v>-32.765981858348482</c:v>
                </c:pt>
                <c:pt idx="175">
                  <c:v>-33.449088705638601</c:v>
                </c:pt>
                <c:pt idx="176">
                  <c:v>-34.076163653106114</c:v>
                </c:pt>
                <c:pt idx="177">
                  <c:v>-34.662181427675151</c:v>
                </c:pt>
                <c:pt idx="178">
                  <c:v>-35.177940962742284</c:v>
                </c:pt>
                <c:pt idx="179">
                  <c:v>-35.644975803075027</c:v>
                </c:pt>
                <c:pt idx="180">
                  <c:v>-36.043937857752724</c:v>
                </c:pt>
                <c:pt idx="181">
                  <c:v>-36.396840401735219</c:v>
                </c:pt>
                <c:pt idx="182">
                  <c:v>-36.706106817799196</c:v>
                </c:pt>
                <c:pt idx="183">
                  <c:v>-36.945588080314181</c:v>
                </c:pt>
                <c:pt idx="184">
                  <c:v>-37.137379447363173</c:v>
                </c:pt>
                <c:pt idx="185">
                  <c:v>-37.274054224935796</c:v>
                </c:pt>
                <c:pt idx="186">
                  <c:v>-37.357666243094116</c:v>
                </c:pt>
                <c:pt idx="187">
                  <c:v>-37.391798478988989</c:v>
                </c:pt>
                <c:pt idx="188">
                  <c:v>-37.38923586031855</c:v>
                </c:pt>
                <c:pt idx="189">
                  <c:v>-37.331239277931289</c:v>
                </c:pt>
                <c:pt idx="190">
                  <c:v>-37.224889957683345</c:v>
                </c:pt>
                <c:pt idx="191">
                  <c:v>-37.078324127021368</c:v>
                </c:pt>
                <c:pt idx="192">
                  <c:v>-36.890341775196724</c:v>
                </c:pt>
                <c:pt idx="193">
                  <c:v>-36.663777569406051</c:v>
                </c:pt>
                <c:pt idx="194">
                  <c:v>-36.397859266294162</c:v>
                </c:pt>
                <c:pt idx="195">
                  <c:v>-36.097453201909232</c:v>
                </c:pt>
                <c:pt idx="196">
                  <c:v>-35.762363177354018</c:v>
                </c:pt>
                <c:pt idx="197">
                  <c:v>-35.399235530691072</c:v>
                </c:pt>
                <c:pt idx="198">
                  <c:v>-35.005379041628316</c:v>
                </c:pt>
                <c:pt idx="199">
                  <c:v>-34.585396067934099</c:v>
                </c:pt>
                <c:pt idx="200">
                  <c:v>-34.144177645256256</c:v>
                </c:pt>
                <c:pt idx="201">
                  <c:v>-33.679431458975152</c:v>
                </c:pt>
                <c:pt idx="202">
                  <c:v>-33.195295213083085</c:v>
                </c:pt>
                <c:pt idx="203">
                  <c:v>-32.696277573176232</c:v>
                </c:pt>
                <c:pt idx="204">
                  <c:v>-32.180591212494377</c:v>
                </c:pt>
                <c:pt idx="205">
                  <c:v>-31.651852402543053</c:v>
                </c:pt>
                <c:pt idx="206">
                  <c:v>-31.112666540758013</c:v>
                </c:pt>
                <c:pt idx="207">
                  <c:v>-30.564490748719741</c:v>
                </c:pt>
                <c:pt idx="208">
                  <c:v>-30.009224553858765</c:v>
                </c:pt>
                <c:pt idx="209">
                  <c:v>-29.448866286349869</c:v>
                </c:pt>
                <c:pt idx="210">
                  <c:v>-28.886831174056859</c:v>
                </c:pt>
                <c:pt idx="211">
                  <c:v>-28.322203933271986</c:v>
                </c:pt>
                <c:pt idx="212">
                  <c:v>-27.756700257550552</c:v>
                </c:pt>
                <c:pt idx="213">
                  <c:v>-27.193820302287762</c:v>
                </c:pt>
                <c:pt idx="214">
                  <c:v>-26.635535739856124</c:v>
                </c:pt>
                <c:pt idx="215">
                  <c:v>-26.080798593896986</c:v>
                </c:pt>
                <c:pt idx="216">
                  <c:v>-25.531137779171992</c:v>
                </c:pt>
                <c:pt idx="217">
                  <c:v>-24.989090984713982</c:v>
                </c:pt>
                <c:pt idx="218">
                  <c:v>-24.453343233718147</c:v>
                </c:pt>
                <c:pt idx="219">
                  <c:v>-23.928087151600998</c:v>
                </c:pt>
                <c:pt idx="220">
                  <c:v>-23.411605212084623</c:v>
                </c:pt>
                <c:pt idx="221">
                  <c:v>-22.905400929294416</c:v>
                </c:pt>
                <c:pt idx="222">
                  <c:v>-22.408660757607919</c:v>
                </c:pt>
                <c:pt idx="223">
                  <c:v>-21.924773666731657</c:v>
                </c:pt>
                <c:pt idx="224">
                  <c:v>-21.451726877119512</c:v>
                </c:pt>
                <c:pt idx="225">
                  <c:v>-20.990959629963783</c:v>
                </c:pt>
                <c:pt idx="226">
                  <c:v>-20.541870404497551</c:v>
                </c:pt>
                <c:pt idx="227">
                  <c:v>-20.10537249846174</c:v>
                </c:pt>
                <c:pt idx="228">
                  <c:v>-19.681400521777391</c:v>
                </c:pt>
                <c:pt idx="229">
                  <c:v>-19.269476478201252</c:v>
                </c:pt>
                <c:pt idx="230">
                  <c:v>-18.870182324176483</c:v>
                </c:pt>
                <c:pt idx="231">
                  <c:v>-18.482763071984184</c:v>
                </c:pt>
                <c:pt idx="232">
                  <c:v>-18.107854872667335</c:v>
                </c:pt>
                <c:pt idx="233">
                  <c:v>-17.744546859610335</c:v>
                </c:pt>
                <c:pt idx="234">
                  <c:v>-17.392672449661568</c:v>
                </c:pt>
                <c:pt idx="235">
                  <c:v>-17.051878605478322</c:v>
                </c:pt>
                <c:pt idx="236">
                  <c:v>-16.722240567355183</c:v>
                </c:pt>
                <c:pt idx="237">
                  <c:v>-16.40279454928109</c:v>
                </c:pt>
                <c:pt idx="238">
                  <c:v>-16.0933397585592</c:v>
                </c:pt>
                <c:pt idx="239">
                  <c:v>-15.793524302373905</c:v>
                </c:pt>
                <c:pt idx="240">
                  <c:v>-15.502607420335078</c:v>
                </c:pt>
                <c:pt idx="241">
                  <c:v>-15.220378730569109</c:v>
                </c:pt>
                <c:pt idx="242">
                  <c:v>-14.946197080617331</c:v>
                </c:pt>
                <c:pt idx="243">
                  <c:v>-14.679506700087915</c:v>
                </c:pt>
                <c:pt idx="244">
                  <c:v>-14.41986371824315</c:v>
                </c:pt>
                <c:pt idx="245">
                  <c:v>-14.166580700528105</c:v>
                </c:pt>
                <c:pt idx="246">
                  <c:v>-13.919306046896303</c:v>
                </c:pt>
                <c:pt idx="247">
                  <c:v>-13.67733195582141</c:v>
                </c:pt>
                <c:pt idx="248">
                  <c:v>-13.440178683319019</c:v>
                </c:pt>
                <c:pt idx="249">
                  <c:v>-13.207354114041951</c:v>
                </c:pt>
                <c:pt idx="250">
                  <c:v>-12.978279297571953</c:v>
                </c:pt>
                <c:pt idx="251">
                  <c:v>-12.752417566284716</c:v>
                </c:pt>
                <c:pt idx="252">
                  <c:v>-12.529281943309712</c:v>
                </c:pt>
                <c:pt idx="253">
                  <c:v>-12.308355675453589</c:v>
                </c:pt>
                <c:pt idx="254">
                  <c:v>-12.089117524828277</c:v>
                </c:pt>
                <c:pt idx="255">
                  <c:v>-11.871109665862072</c:v>
                </c:pt>
                <c:pt idx="256">
                  <c:v>-11.65386863744061</c:v>
                </c:pt>
                <c:pt idx="257">
                  <c:v>-11.436920072280417</c:v>
                </c:pt>
                <c:pt idx="258">
                  <c:v>-11.21981854771253</c:v>
                </c:pt>
                <c:pt idx="259">
                  <c:v>-11.002140189545035</c:v>
                </c:pt>
                <c:pt idx="260">
                  <c:v>-10.783467901760757</c:v>
                </c:pt>
                <c:pt idx="261">
                  <c:v>-10.563426873290334</c:v>
                </c:pt>
                <c:pt idx="262">
                  <c:v>-10.34160938052325</c:v>
                </c:pt>
                <c:pt idx="263">
                  <c:v>-10.117641665348883</c:v>
                </c:pt>
                <c:pt idx="264">
                  <c:v>-9.891141248935682</c:v>
                </c:pt>
                <c:pt idx="265">
                  <c:v>-9.6618288778581487</c:v>
                </c:pt>
                <c:pt idx="266">
                  <c:v>-9.4293237235612111</c:v>
                </c:pt>
                <c:pt idx="267">
                  <c:v>-9.1933418842897012</c:v>
                </c:pt>
                <c:pt idx="268">
                  <c:v>-8.9535807916050594</c:v>
                </c:pt>
                <c:pt idx="269">
                  <c:v>-8.7097379988473129</c:v>
                </c:pt>
                <c:pt idx="270">
                  <c:v>-8.4615425958719168</c:v>
                </c:pt>
                <c:pt idx="271">
                  <c:v>-8.2087216404949359</c:v>
                </c:pt>
                <c:pt idx="272">
                  <c:v>-7.9510250489291563</c:v>
                </c:pt>
                <c:pt idx="273">
                  <c:v>-7.6882128333947284</c:v>
                </c:pt>
                <c:pt idx="274">
                  <c:v>-7.4200493519895563</c:v>
                </c:pt>
                <c:pt idx="275">
                  <c:v>-7.1463062776273709</c:v>
                </c:pt>
                <c:pt idx="276">
                  <c:v>-6.8667883524005573</c:v>
                </c:pt>
                <c:pt idx="277">
                  <c:v>-6.5812658725096727</c:v>
                </c:pt>
                <c:pt idx="278">
                  <c:v>-6.289541402986206</c:v>
                </c:pt>
                <c:pt idx="279">
                  <c:v>-5.9914350951234736</c:v>
                </c:pt>
                <c:pt idx="280">
                  <c:v>-5.6867469886773145</c:v>
                </c:pt>
                <c:pt idx="281">
                  <c:v>-5.3753056556076659</c:v>
                </c:pt>
                <c:pt idx="282">
                  <c:v>-5.0569422817508158</c:v>
                </c:pt>
                <c:pt idx="283">
                  <c:v>-4.7314794296781795</c:v>
                </c:pt>
                <c:pt idx="284">
                  <c:v>-4.3987617145281162</c:v>
                </c:pt>
                <c:pt idx="285">
                  <c:v>-4.0586437235788013</c:v>
                </c:pt>
                <c:pt idx="286">
                  <c:v>-3.7109661735519812</c:v>
                </c:pt>
                <c:pt idx="287">
                  <c:v>-3.355587825609387</c:v>
                </c:pt>
                <c:pt idx="288">
                  <c:v>-2.9923731213462612</c:v>
                </c:pt>
                <c:pt idx="289">
                  <c:v>-2.6211925864275325</c:v>
                </c:pt>
                <c:pt idx="290">
                  <c:v>-2.2419232956970117</c:v>
                </c:pt>
                <c:pt idx="291">
                  <c:v>-1.8544493987413175</c:v>
                </c:pt>
                <c:pt idx="292">
                  <c:v>-1.4586627040672959</c:v>
                </c:pt>
                <c:pt idx="293">
                  <c:v>-1.0544633191536343</c:v>
                </c:pt>
                <c:pt idx="294">
                  <c:v>-0.64176034266088855</c:v>
                </c:pt>
                <c:pt idx="295">
                  <c:v>-0.22047260402470278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A9-419D-9A88-F7DCE94C7EB3}"/>
            </c:ext>
          </c:extLst>
        </c:ser>
        <c:ser>
          <c:idx val="1"/>
          <c:order val="1"/>
          <c:tx>
            <c:v>Tacc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[0]!optipoly.Tacc</c:f>
              <c:numCache>
                <c:formatCode>General</c:formatCode>
                <c:ptCount val="296"/>
                <c:pt idx="0">
                  <c:v>0</c:v>
                </c:pt>
                <c:pt idx="1">
                  <c:v>0.40530682100434279</c:v>
                </c:pt>
                <c:pt idx="2">
                  <c:v>0.80234218846401772</c:v>
                </c:pt>
                <c:pt idx="3">
                  <c:v>1.1911628477947966</c:v>
                </c:pt>
                <c:pt idx="4">
                  <c:v>1.5718257167138951</c:v>
                </c:pt>
                <c:pt idx="5">
                  <c:v>1.9443878710382476</c:v>
                </c:pt>
                <c:pt idx="6">
                  <c:v>2.3089065309538492</c:v>
                </c:pt>
                <c:pt idx="7">
                  <c:v>2.6654390477483005</c:v>
                </c:pt>
                <c:pt idx="8">
                  <c:v>3.0140428909990056</c:v>
                </c:pt>
                <c:pt idx="9">
                  <c:v>3.3547756362093084</c:v>
                </c:pt>
                <c:pt idx="10">
                  <c:v>3.6876949528849745</c:v>
                </c:pt>
                <c:pt idx="11">
                  <c:v>4.0128585930435241</c:v>
                </c:pt>
                <c:pt idx="12">
                  <c:v>4.330332532106735</c:v>
                </c:pt>
                <c:pt idx="13">
                  <c:v>4.6401876713415184</c:v>
                </c:pt>
                <c:pt idx="14">
                  <c:v>4.9424693440624159</c:v>
                </c:pt>
                <c:pt idx="15">
                  <c:v>5.237246810008851</c:v>
                </c:pt>
                <c:pt idx="16">
                  <c:v>5.5246107045908017</c:v>
                </c:pt>
                <c:pt idx="17">
                  <c:v>5.8045917893964996</c:v>
                </c:pt>
                <c:pt idx="18">
                  <c:v>6.0773184971409382</c:v>
                </c:pt>
                <c:pt idx="19">
                  <c:v>6.3428175497410653</c:v>
                </c:pt>
                <c:pt idx="20">
                  <c:v>6.6012019308876377</c:v>
                </c:pt>
                <c:pt idx="21">
                  <c:v>6.8525580200519656</c:v>
                </c:pt>
                <c:pt idx="22">
                  <c:v>7.0969627718172292</c:v>
                </c:pt>
                <c:pt idx="23">
                  <c:v>7.3345199416886659</c:v>
                </c:pt>
                <c:pt idx="24">
                  <c:v>7.5653381443943291</c:v>
                </c:pt>
                <c:pt idx="25">
                  <c:v>7.7895306877492736</c:v>
                </c:pt>
                <c:pt idx="26">
                  <c:v>8.0072153799471426</c:v>
                </c:pt>
                <c:pt idx="27">
                  <c:v>8.2185142736171279</c:v>
                </c:pt>
                <c:pt idx="28">
                  <c:v>8.4235534236995431</c:v>
                </c:pt>
                <c:pt idx="29">
                  <c:v>8.6224655371892922</c:v>
                </c:pt>
                <c:pt idx="30">
                  <c:v>8.8154555773964542</c:v>
                </c:pt>
                <c:pt idx="31">
                  <c:v>9.0026046402085154</c:v>
                </c:pt>
                <c:pt idx="32">
                  <c:v>9.1841545556357254</c:v>
                </c:pt>
                <c:pt idx="33">
                  <c:v>9.3602206281138631</c:v>
                </c:pt>
                <c:pt idx="34">
                  <c:v>9.5310107319469637</c:v>
                </c:pt>
                <c:pt idx="35">
                  <c:v>9.6967507428727036</c:v>
                </c:pt>
                <c:pt idx="36">
                  <c:v>9.8576135811322967</c:v>
                </c:pt>
                <c:pt idx="37">
                  <c:v>10.01381564810954</c:v>
                </c:pt>
                <c:pt idx="38">
                  <c:v>10.165580293526018</c:v>
                </c:pt>
                <c:pt idx="39">
                  <c:v>10.313179039657847</c:v>
                </c:pt>
                <c:pt idx="40">
                  <c:v>10.45680942696672</c:v>
                </c:pt>
                <c:pt idx="41">
                  <c:v>10.596713191900765</c:v>
                </c:pt>
                <c:pt idx="42">
                  <c:v>10.73320849884718</c:v>
                </c:pt>
                <c:pt idx="43">
                  <c:v>10.866502096502062</c:v>
                </c:pt>
                <c:pt idx="44">
                  <c:v>10.996874280999098</c:v>
                </c:pt>
                <c:pt idx="45">
                  <c:v>11.124641948826268</c:v>
                </c:pt>
                <c:pt idx="46">
                  <c:v>11.250061195226385</c:v>
                </c:pt>
                <c:pt idx="47">
                  <c:v>11.3734124373439</c:v>
                </c:pt>
                <c:pt idx="48">
                  <c:v>11.495014894022567</c:v>
                </c:pt>
                <c:pt idx="49">
                  <c:v>11.615150705524488</c:v>
                </c:pt>
                <c:pt idx="50">
                  <c:v>11.734077679990937</c:v>
                </c:pt>
                <c:pt idx="51">
                  <c:v>11.85214540546561</c:v>
                </c:pt>
                <c:pt idx="52">
                  <c:v>11.969585193515483</c:v>
                </c:pt>
                <c:pt idx="53">
                  <c:v>12.08676580486682</c:v>
                </c:pt>
                <c:pt idx="54">
                  <c:v>12.203909385924549</c:v>
                </c:pt>
                <c:pt idx="55">
                  <c:v>12.321306227439843</c:v>
                </c:pt>
                <c:pt idx="56">
                  <c:v>12.439235284076535</c:v>
                </c:pt>
                <c:pt idx="57">
                  <c:v>12.55793952287147</c:v>
                </c:pt>
                <c:pt idx="58">
                  <c:v>12.677690279601915</c:v>
                </c:pt>
                <c:pt idx="59">
                  <c:v>12.798737760110681</c:v>
                </c:pt>
                <c:pt idx="60">
                  <c:v>12.921244717581754</c:v>
                </c:pt>
                <c:pt idx="61">
                  <c:v>13.045481548876548</c:v>
                </c:pt>
                <c:pt idx="62">
                  <c:v>13.171600585628283</c:v>
                </c:pt>
                <c:pt idx="63">
                  <c:v>13.299778056087696</c:v>
                </c:pt>
                <c:pt idx="64">
                  <c:v>13.430145411588347</c:v>
                </c:pt>
                <c:pt idx="65">
                  <c:v>13.562834953710377</c:v>
                </c:pt>
                <c:pt idx="66">
                  <c:v>13.697935607096609</c:v>
                </c:pt>
                <c:pt idx="67">
                  <c:v>13.835503385516427</c:v>
                </c:pt>
                <c:pt idx="68">
                  <c:v>13.975649111628517</c:v>
                </c:pt>
                <c:pt idx="69">
                  <c:v>14.11827200001224</c:v>
                </c:pt>
                <c:pt idx="70">
                  <c:v>14.26344442323612</c:v>
                </c:pt>
                <c:pt idx="71">
                  <c:v>14.411056872218859</c:v>
                </c:pt>
                <c:pt idx="72">
                  <c:v>14.561033211697264</c:v>
                </c:pt>
                <c:pt idx="73">
                  <c:v>14.713255591783094</c:v>
                </c:pt>
                <c:pt idx="74">
                  <c:v>14.867564367342865</c:v>
                </c:pt>
                <c:pt idx="75">
                  <c:v>15.023758501115733</c:v>
                </c:pt>
                <c:pt idx="76">
                  <c:v>15.181601026673528</c:v>
                </c:pt>
                <c:pt idx="77">
                  <c:v>15.340856175313359</c:v>
                </c:pt>
                <c:pt idx="78">
                  <c:v>15.501187075728483</c:v>
                </c:pt>
                <c:pt idx="79">
                  <c:v>15.662304562145723</c:v>
                </c:pt>
                <c:pt idx="80">
                  <c:v>15.823754603885494</c:v>
                </c:pt>
                <c:pt idx="81">
                  <c:v>15.985155333286068</c:v>
                </c:pt>
                <c:pt idx="82">
                  <c:v>16.146045977913104</c:v>
                </c:pt>
                <c:pt idx="83">
                  <c:v>16.305917947648148</c:v>
                </c:pt>
                <c:pt idx="84">
                  <c:v>16.464279031334556</c:v>
                </c:pt>
                <c:pt idx="85">
                  <c:v>16.62056643604846</c:v>
                </c:pt>
                <c:pt idx="86">
                  <c:v>16.77419564734549</c:v>
                </c:pt>
                <c:pt idx="87">
                  <c:v>16.924538829596596</c:v>
                </c:pt>
                <c:pt idx="88">
                  <c:v>17.070980101488367</c:v>
                </c:pt>
                <c:pt idx="89">
                  <c:v>17.212846241791055</c:v>
                </c:pt>
                <c:pt idx="90">
                  <c:v>17.349445362724772</c:v>
                </c:pt>
                <c:pt idx="91">
                  <c:v>17.480084155349164</c:v>
                </c:pt>
                <c:pt idx="92">
                  <c:v>17.604030242469779</c:v>
                </c:pt>
                <c:pt idx="93">
                  <c:v>17.720547151705802</c:v>
                </c:pt>
                <c:pt idx="94">
                  <c:v>17.82889531927006</c:v>
                </c:pt>
                <c:pt idx="95">
                  <c:v>17.928313893255009</c:v>
                </c:pt>
                <c:pt idx="96">
                  <c:v>18.018038029732605</c:v>
                </c:pt>
                <c:pt idx="97">
                  <c:v>18.097325244576474</c:v>
                </c:pt>
                <c:pt idx="98">
                  <c:v>18.165401943179138</c:v>
                </c:pt>
                <c:pt idx="99">
                  <c:v>18.221537671211074</c:v>
                </c:pt>
                <c:pt idx="100">
                  <c:v>18.265038075569169</c:v>
                </c:pt>
                <c:pt idx="101">
                  <c:v>18.295018088804575</c:v>
                </c:pt>
                <c:pt idx="102">
                  <c:v>18.310850797145772</c:v>
                </c:pt>
                <c:pt idx="103">
                  <c:v>18.311845670865122</c:v>
                </c:pt>
                <c:pt idx="104">
                  <c:v>18.297353254283355</c:v>
                </c:pt>
                <c:pt idx="105">
                  <c:v>18.266619843086922</c:v>
                </c:pt>
                <c:pt idx="106">
                  <c:v>18.219100442895613</c:v>
                </c:pt>
                <c:pt idx="107">
                  <c:v>18.154212276011492</c:v>
                </c:pt>
                <c:pt idx="108">
                  <c:v>18.07140030533985</c:v>
                </c:pt>
                <c:pt idx="109">
                  <c:v>17.970164558658567</c:v>
                </c:pt>
                <c:pt idx="110">
                  <c:v>17.850002332928753</c:v>
                </c:pt>
                <c:pt idx="111">
                  <c:v>17.710480989769547</c:v>
                </c:pt>
                <c:pt idx="112">
                  <c:v>17.551262260155362</c:v>
                </c:pt>
                <c:pt idx="113">
                  <c:v>17.371918385448421</c:v>
                </c:pt>
                <c:pt idx="114">
                  <c:v>17.172197808394262</c:v>
                </c:pt>
                <c:pt idx="115">
                  <c:v>16.951869714203724</c:v>
                </c:pt>
                <c:pt idx="116">
                  <c:v>16.710744402793036</c:v>
                </c:pt>
                <c:pt idx="117">
                  <c:v>16.448660453683395</c:v>
                </c:pt>
                <c:pt idx="118">
                  <c:v>16.165535732438901</c:v>
                </c:pt>
                <c:pt idx="119">
                  <c:v>15.861352717590494</c:v>
                </c:pt>
                <c:pt idx="120">
                  <c:v>15.536148560766234</c:v>
                </c:pt>
                <c:pt idx="121">
                  <c:v>15.189995136136689</c:v>
                </c:pt>
                <c:pt idx="122">
                  <c:v>14.823012471559524</c:v>
                </c:pt>
                <c:pt idx="123">
                  <c:v>14.435406224750054</c:v>
                </c:pt>
                <c:pt idx="124">
                  <c:v>14.027446947891866</c:v>
                </c:pt>
                <c:pt idx="125">
                  <c:v>13.599451308362447</c:v>
                </c:pt>
                <c:pt idx="126">
                  <c:v>13.151724336664648</c:v>
                </c:pt>
                <c:pt idx="127">
                  <c:v>12.684684591326574</c:v>
                </c:pt>
                <c:pt idx="128">
                  <c:v>12.198845302973835</c:v>
                </c:pt>
                <c:pt idx="129">
                  <c:v>11.694724837122447</c:v>
                </c:pt>
                <c:pt idx="130">
                  <c:v>11.172844704558759</c:v>
                </c:pt>
                <c:pt idx="131">
                  <c:v>10.633832082065116</c:v>
                </c:pt>
                <c:pt idx="132">
                  <c:v>10.078395873892937</c:v>
                </c:pt>
                <c:pt idx="133">
                  <c:v>9.5072240558682228</c:v>
                </c:pt>
                <c:pt idx="134">
                  <c:v>8.9210597638627505</c:v>
                </c:pt>
                <c:pt idx="135">
                  <c:v>8.3207295673914068</c:v>
                </c:pt>
                <c:pt idx="136">
                  <c:v>7.7070646556282476</c:v>
                </c:pt>
                <c:pt idx="137">
                  <c:v>7.0809341921692699</c:v>
                </c:pt>
                <c:pt idx="138">
                  <c:v>6.4432433309203931</c:v>
                </c:pt>
                <c:pt idx="139">
                  <c:v>5.7949540997439373</c:v>
                </c:pt>
                <c:pt idx="140">
                  <c:v>5.1370410989501423</c:v>
                </c:pt>
                <c:pt idx="141">
                  <c:v>4.4704733390571878</c:v>
                </c:pt>
                <c:pt idx="142">
                  <c:v>3.7963030788649141</c:v>
                </c:pt>
                <c:pt idx="143">
                  <c:v>3.1155805134106176</c:v>
                </c:pt>
                <c:pt idx="144">
                  <c:v>2.4293595453780004</c:v>
                </c:pt>
                <c:pt idx="145">
                  <c:v>1.7387200880628271</c:v>
                </c:pt>
                <c:pt idx="146">
                  <c:v>1.0447569952717801</c:v>
                </c:pt>
                <c:pt idx="147">
                  <c:v>0.34857558830785024</c:v>
                </c:pt>
                <c:pt idx="148">
                  <c:v>-0.34871318577748217</c:v>
                </c:pt>
                <c:pt idx="149">
                  <c:v>-1.0459940252839128</c:v>
                </c:pt>
                <c:pt idx="150">
                  <c:v>-1.7421517802566715</c:v>
                </c:pt>
                <c:pt idx="151">
                  <c:v>-2.4360752075717564</c:v>
                </c:pt>
                <c:pt idx="152">
                  <c:v>-3.1266552383061748</c:v>
                </c:pt>
                <c:pt idx="153">
                  <c:v>-3.8127945791526203</c:v>
                </c:pt>
                <c:pt idx="154">
                  <c:v>-4.493414796685717</c:v>
                </c:pt>
                <c:pt idx="155">
                  <c:v>-5.1674338141999936</c:v>
                </c:pt>
                <c:pt idx="156">
                  <c:v>-5.8338079889642156</c:v>
                </c:pt>
                <c:pt idx="157">
                  <c:v>-6.4915145332029267</c:v>
                </c:pt>
                <c:pt idx="158">
                  <c:v>-7.1395301350161473</c:v>
                </c:pt>
                <c:pt idx="159">
                  <c:v>-7.7768924536175401</c:v>
                </c:pt>
                <c:pt idx="160">
                  <c:v>-8.4026543787419214</c:v>
                </c:pt>
                <c:pt idx="161">
                  <c:v>-9.0159073502381695</c:v>
                </c:pt>
                <c:pt idx="162">
                  <c:v>-9.6157547832095549</c:v>
                </c:pt>
                <c:pt idx="163">
                  <c:v>-10.201371832874781</c:v>
                </c:pt>
                <c:pt idx="164">
                  <c:v>-10.77198344946094</c:v>
                </c:pt>
                <c:pt idx="165">
                  <c:v>-11.326799616163468</c:v>
                </c:pt>
                <c:pt idx="166">
                  <c:v>-11.865137191205934</c:v>
                </c:pt>
                <c:pt idx="167">
                  <c:v>-12.386340399175733</c:v>
                </c:pt>
                <c:pt idx="168">
                  <c:v>-12.889801647553176</c:v>
                </c:pt>
                <c:pt idx="169">
                  <c:v>-13.374951095578231</c:v>
                </c:pt>
                <c:pt idx="170">
                  <c:v>-13.841292301182532</c:v>
                </c:pt>
                <c:pt idx="171">
                  <c:v>-14.288398945294052</c:v>
                </c:pt>
                <c:pt idx="172">
                  <c:v>-14.715874377321086</c:v>
                </c:pt>
                <c:pt idx="173">
                  <c:v>-15.123357802201067</c:v>
                </c:pt>
                <c:pt idx="174">
                  <c:v>-15.510605175570056</c:v>
                </c:pt>
                <c:pt idx="175">
                  <c:v>-15.877389889442385</c:v>
                </c:pt>
                <c:pt idx="176">
                  <c:v>-16.223569514913855</c:v>
                </c:pt>
                <c:pt idx="177">
                  <c:v>-16.54900223921867</c:v>
                </c:pt>
                <c:pt idx="178">
                  <c:v>-16.853686009767227</c:v>
                </c:pt>
                <c:pt idx="179">
                  <c:v>-17.137617482979877</c:v>
                </c:pt>
                <c:pt idx="180">
                  <c:v>-17.400884581366043</c:v>
                </c:pt>
                <c:pt idx="181">
                  <c:v>-17.643618907771387</c:v>
                </c:pt>
                <c:pt idx="182">
                  <c:v>-17.86596275704866</c:v>
                </c:pt>
                <c:pt idx="183">
                  <c:v>-18.06818749714169</c:v>
                </c:pt>
                <c:pt idx="184">
                  <c:v>-18.250575286009269</c:v>
                </c:pt>
                <c:pt idx="185">
                  <c:v>-18.413447402774423</c:v>
                </c:pt>
                <c:pt idx="186">
                  <c:v>-18.557198340718216</c:v>
                </c:pt>
                <c:pt idx="187">
                  <c:v>-18.682265127896116</c:v>
                </c:pt>
                <c:pt idx="188">
                  <c:v>-18.789084304631935</c:v>
                </c:pt>
                <c:pt idx="189">
                  <c:v>-18.878162278369278</c:v>
                </c:pt>
                <c:pt idx="190">
                  <c:v>-18.950046815190404</c:v>
                </c:pt>
                <c:pt idx="191">
                  <c:v>-19.005318963121717</c:v>
                </c:pt>
                <c:pt idx="192">
                  <c:v>-19.044569144172485</c:v>
                </c:pt>
                <c:pt idx="193">
                  <c:v>-19.068417065108918</c:v>
                </c:pt>
                <c:pt idx="194">
                  <c:v>-19.077518978993528</c:v>
                </c:pt>
                <c:pt idx="195">
                  <c:v>-19.072542884962949</c:v>
                </c:pt>
                <c:pt idx="196">
                  <c:v>-19.054164191959849</c:v>
                </c:pt>
                <c:pt idx="197">
                  <c:v>-19.02307372464789</c:v>
                </c:pt>
                <c:pt idx="198">
                  <c:v>-18.97997857852058</c:v>
                </c:pt>
                <c:pt idx="199">
                  <c:v>-18.925574521155628</c:v>
                </c:pt>
                <c:pt idx="200">
                  <c:v>-18.860569776502572</c:v>
                </c:pt>
                <c:pt idx="201">
                  <c:v>-18.785670229564381</c:v>
                </c:pt>
                <c:pt idx="202">
                  <c:v>-18.701568909079583</c:v>
                </c:pt>
                <c:pt idx="203">
                  <c:v>-18.608954955346185</c:v>
                </c:pt>
                <c:pt idx="204">
                  <c:v>-18.508514066173348</c:v>
                </c:pt>
                <c:pt idx="205">
                  <c:v>-18.400906727742267</c:v>
                </c:pt>
                <c:pt idx="206">
                  <c:v>-18.286780655833638</c:v>
                </c:pt>
                <c:pt idx="207">
                  <c:v>-18.16676616758464</c:v>
                </c:pt>
                <c:pt idx="208">
                  <c:v>-18.041458034909681</c:v>
                </c:pt>
                <c:pt idx="209">
                  <c:v>-17.911461702117226</c:v>
                </c:pt>
                <c:pt idx="210">
                  <c:v>-17.777314180430835</c:v>
                </c:pt>
                <c:pt idx="211">
                  <c:v>-17.639576618846394</c:v>
                </c:pt>
                <c:pt idx="212">
                  <c:v>-17.498732288602952</c:v>
                </c:pt>
                <c:pt idx="213">
                  <c:v>-17.355251784121773</c:v>
                </c:pt>
                <c:pt idx="214">
                  <c:v>-17.209606780218166</c:v>
                </c:pt>
                <c:pt idx="215">
                  <c:v>-17.062204683943968</c:v>
                </c:pt>
                <c:pt idx="216">
                  <c:v>-16.913423025398931</c:v>
                </c:pt>
                <c:pt idx="217">
                  <c:v>-16.763634078017038</c:v>
                </c:pt>
                <c:pt idx="218">
                  <c:v>-16.613143122600079</c:v>
                </c:pt>
                <c:pt idx="219">
                  <c:v>-16.462241972993507</c:v>
                </c:pt>
                <c:pt idx="220">
                  <c:v>-16.311211159498093</c:v>
                </c:pt>
                <c:pt idx="221">
                  <c:v>-16.160273730788774</c:v>
                </c:pt>
                <c:pt idx="222">
                  <c:v>-16.009615660112928</c:v>
                </c:pt>
                <c:pt idx="223">
                  <c:v>-15.859414698712637</c:v>
                </c:pt>
                <c:pt idx="224">
                  <c:v>-15.70981912842146</c:v>
                </c:pt>
                <c:pt idx="225">
                  <c:v>-15.560933442356449</c:v>
                </c:pt>
                <c:pt idx="226">
                  <c:v>-15.412842022522018</c:v>
                </c:pt>
                <c:pt idx="227">
                  <c:v>-15.265631060872796</c:v>
                </c:pt>
                <c:pt idx="228">
                  <c:v>-15.119299666464354</c:v>
                </c:pt>
                <c:pt idx="229">
                  <c:v>-14.973881057524032</c:v>
                </c:pt>
                <c:pt idx="230">
                  <c:v>-14.829368699270072</c:v>
                </c:pt>
                <c:pt idx="231">
                  <c:v>-14.685715876811049</c:v>
                </c:pt>
                <c:pt idx="232">
                  <c:v>-14.542875825281341</c:v>
                </c:pt>
                <c:pt idx="233">
                  <c:v>-14.400776104403212</c:v>
                </c:pt>
                <c:pt idx="234">
                  <c:v>-14.259317930070379</c:v>
                </c:pt>
                <c:pt idx="235">
                  <c:v>-14.118429294744177</c:v>
                </c:pt>
                <c:pt idx="236">
                  <c:v>-13.977972674614739</c:v>
                </c:pt>
                <c:pt idx="237">
                  <c:v>-13.837809427350559</c:v>
                </c:pt>
                <c:pt idx="238">
                  <c:v>-13.697788933541137</c:v>
                </c:pt>
                <c:pt idx="239">
                  <c:v>-13.557791164188378</c:v>
                </c:pt>
                <c:pt idx="240">
                  <c:v>-13.417617792531312</c:v>
                </c:pt>
                <c:pt idx="241">
                  <c:v>-13.277100096340639</c:v>
                </c:pt>
                <c:pt idx="242">
                  <c:v>-13.136053399051791</c:v>
                </c:pt>
                <c:pt idx="243">
                  <c:v>-12.994301328202161</c:v>
                </c:pt>
                <c:pt idx="244">
                  <c:v>-12.85165218719232</c:v>
                </c:pt>
                <c:pt idx="245">
                  <c:v>-12.707871258689126</c:v>
                </c:pt>
                <c:pt idx="246">
                  <c:v>-12.562816352918619</c:v>
                </c:pt>
                <c:pt idx="247">
                  <c:v>-12.41622981909884</c:v>
                </c:pt>
                <c:pt idx="248">
                  <c:v>-12.267917989306557</c:v>
                </c:pt>
                <c:pt idx="249">
                  <c:v>-12.117682289308149</c:v>
                </c:pt>
                <c:pt idx="250">
                  <c:v>-11.965317270159018</c:v>
                </c:pt>
                <c:pt idx="251">
                  <c:v>-11.810613402129889</c:v>
                </c:pt>
                <c:pt idx="252">
                  <c:v>-11.653355917840253</c:v>
                </c:pt>
                <c:pt idx="253">
                  <c:v>-11.493327576615036</c:v>
                </c:pt>
                <c:pt idx="254">
                  <c:v>-11.330334986226596</c:v>
                </c:pt>
                <c:pt idx="255">
                  <c:v>-11.164180413326322</c:v>
                </c:pt>
                <c:pt idx="256">
                  <c:v>-10.994657079148805</c:v>
                </c:pt>
                <c:pt idx="257">
                  <c:v>-10.82155661399654</c:v>
                </c:pt>
                <c:pt idx="258">
                  <c:v>-10.644696971165457</c:v>
                </c:pt>
                <c:pt idx="259">
                  <c:v>-10.463895605449071</c:v>
                </c:pt>
                <c:pt idx="260">
                  <c:v>-10.278948534661369</c:v>
                </c:pt>
                <c:pt idx="261">
                  <c:v>-10.08968372740364</c:v>
                </c:pt>
                <c:pt idx="262">
                  <c:v>-9.8959185889768797</c:v>
                </c:pt>
                <c:pt idx="263">
                  <c:v>-9.6974643684299373</c:v>
                </c:pt>
                <c:pt idx="264">
                  <c:v>-9.4941453828404789</c:v>
                </c:pt>
                <c:pt idx="265">
                  <c:v>-9.2858255254127506</c:v>
                </c:pt>
                <c:pt idx="266">
                  <c:v>-9.072298111614538</c:v>
                </c:pt>
                <c:pt idx="267">
                  <c:v>-8.853431000180862</c:v>
                </c:pt>
                <c:pt idx="268">
                  <c:v>-8.629060229380249</c:v>
                </c:pt>
                <c:pt idx="269">
                  <c:v>-8.3990224779178515</c:v>
                </c:pt>
                <c:pt idx="270">
                  <c:v>-8.1631721171249492</c:v>
                </c:pt>
                <c:pt idx="271">
                  <c:v>-7.9213641425245527</c:v>
                </c:pt>
                <c:pt idx="272">
                  <c:v>-7.6734551586706621</c:v>
                </c:pt>
                <c:pt idx="273">
                  <c:v>-7.4193036226179414</c:v>
                </c:pt>
                <c:pt idx="274">
                  <c:v>-7.1587694344593427</c:v>
                </c:pt>
                <c:pt idx="275">
                  <c:v>-6.8917146107796032</c:v>
                </c:pt>
                <c:pt idx="276">
                  <c:v>-6.618028754428849</c:v>
                </c:pt>
                <c:pt idx="277">
                  <c:v>-6.3375613686765755</c:v>
                </c:pt>
                <c:pt idx="278">
                  <c:v>-6.0501887719701601</c:v>
                </c:pt>
                <c:pt idx="279">
                  <c:v>-5.7558001776645149</c:v>
                </c:pt>
                <c:pt idx="280">
                  <c:v>-5.4542602304876286</c:v>
                </c:pt>
                <c:pt idx="281">
                  <c:v>-5.1454580830181849</c:v>
                </c:pt>
                <c:pt idx="282">
                  <c:v>-4.8292817242506558</c:v>
                </c:pt>
                <c:pt idx="283">
                  <c:v>-4.5056069725568531</c:v>
                </c:pt>
                <c:pt idx="284">
                  <c:v>-4.1743283658163319</c:v>
                </c:pt>
                <c:pt idx="285">
                  <c:v>-3.8353472296790185</c:v>
                </c:pt>
                <c:pt idx="286">
                  <c:v>-3.4885479023554447</c:v>
                </c:pt>
                <c:pt idx="287">
                  <c:v>-3.133829787923879</c:v>
                </c:pt>
                <c:pt idx="288">
                  <c:v>-2.7710949693803668</c:v>
                </c:pt>
                <c:pt idx="289">
                  <c:v>-2.4002485817073653</c:v>
                </c:pt>
                <c:pt idx="290">
                  <c:v>-2.0211991989953866</c:v>
                </c:pt>
                <c:pt idx="291">
                  <c:v>-1.633859235862106</c:v>
                </c:pt>
                <c:pt idx="292">
                  <c:v>-1.2381453634151203</c:v>
                </c:pt>
                <c:pt idx="293">
                  <c:v>-0.83397894000630257</c:v>
                </c:pt>
                <c:pt idx="294">
                  <c:v>-0.42128645702767292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9-419D-9A88-F7DCE94C7EB3}"/>
            </c:ext>
          </c:extLst>
        </c:ser>
        <c:ser>
          <c:idx val="2"/>
          <c:order val="2"/>
          <c:tx>
            <c:v>Tvar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[0]!optipoly.Tvar</c:f>
              <c:numCache>
                <c:formatCode>General</c:formatCode>
                <c:ptCount val="296"/>
                <c:pt idx="0">
                  <c:v>0</c:v>
                </c:pt>
                <c:pt idx="1">
                  <c:v>6.2308532374558425E-9</c:v>
                </c:pt>
                <c:pt idx="2">
                  <c:v>9.8503801801425649E-8</c:v>
                </c:pt>
                <c:pt idx="3">
                  <c:v>4.9405187898593649E-7</c:v>
                </c:pt>
                <c:pt idx="4">
                  <c:v>1.5531293056733619E-6</c:v>
                </c:pt>
                <c:pt idx="5">
                  <c:v>3.7910743070379654E-6</c:v>
                </c:pt>
                <c:pt idx="6">
                  <c:v>7.9081645422770504E-6</c:v>
                </c:pt>
                <c:pt idx="7">
                  <c:v>1.4841300474461827E-5</c:v>
                </c:pt>
                <c:pt idx="8">
                  <c:v>2.5840724315840497E-5</c:v>
                </c:pt>
                <c:pt idx="9">
                  <c:v>4.2574218627026045E-5</c:v>
                </c:pt>
                <c:pt idx="10">
                  <c:v>6.7260526401347062E-5</c:v>
                </c:pt>
                <c:pt idx="11">
                  <c:v>1.0283309077899982E-4</c:v>
                </c:pt>
                <c:pt idx="12">
                  <c:v>1.5653043948335392E-4</c:v>
                </c:pt>
                <c:pt idx="13">
                  <c:v>2.4292540936639835E-4</c:v>
                </c:pt>
                <c:pt idx="14">
                  <c:v>3.6875661952342597E-4</c:v>
                </c:pt>
                <c:pt idx="15">
                  <c:v>5.4842672676528453E-4</c:v>
                </c:pt>
                <c:pt idx="16">
                  <c:v>8.0021174312795479E-4</c:v>
                </c:pt>
                <c:pt idx="17">
                  <c:v>1.1470849066152504E-3</c:v>
                </c:pt>
                <c:pt idx="18">
                  <c:v>1.6171447761583765E-3</c:v>
                </c:pt>
                <c:pt idx="19">
                  <c:v>2.2447998236822101E-3</c:v>
                </c:pt>
                <c:pt idx="20">
                  <c:v>3.07112763168851E-3</c:v>
                </c:pt>
                <c:pt idx="21">
                  <c:v>4.1449800841363094E-3</c:v>
                </c:pt>
                <c:pt idx="22">
                  <c:v>5.5238107175338176E-3</c:v>
                </c:pt>
                <c:pt idx="23">
                  <c:v>7.2743819104845939E-3</c:v>
                </c:pt>
                <c:pt idx="24">
                  <c:v>9.4737060500657225E-3</c:v>
                </c:pt>
                <c:pt idx="25">
                  <c:v>1.2210011693402511E-2</c:v>
                </c:pt>
                <c:pt idx="26">
                  <c:v>1.5583479938757073E-2</c:v>
                </c:pt>
                <c:pt idx="27">
                  <c:v>1.9706982274057715E-2</c:v>
                </c:pt>
                <c:pt idx="28">
                  <c:v>2.4706962544491458E-2</c:v>
                </c:pt>
                <c:pt idx="29">
                  <c:v>3.0724499498144583E-2</c:v>
                </c:pt>
                <c:pt idx="30">
                  <c:v>3.7915247188072793E-2</c:v>
                </c:pt>
                <c:pt idx="31">
                  <c:v>4.6450831251139621E-2</c:v>
                </c:pt>
                <c:pt idx="32">
                  <c:v>5.6520014774334056E-2</c:v>
                </c:pt>
                <c:pt idx="33">
                  <c:v>6.8325784773729456E-2</c:v>
                </c:pt>
                <c:pt idx="34">
                  <c:v>8.2092346039130681E-2</c:v>
                </c:pt>
                <c:pt idx="35">
                  <c:v>9.805924516949116E-2</c:v>
                </c:pt>
                <c:pt idx="36">
                  <c:v>0.11647517555954409</c:v>
                </c:pt>
                <c:pt idx="37">
                  <c:v>0.13763261857504577</c:v>
                </c:pt>
                <c:pt idx="38">
                  <c:v>0.16181188244439085</c:v>
                </c:pt>
                <c:pt idx="39">
                  <c:v>0.18931634461922228</c:v>
                </c:pt>
                <c:pt idx="40">
                  <c:v>0.220496477072879</c:v>
                </c:pt>
                <c:pt idx="41">
                  <c:v>0.25568654832033516</c:v>
                </c:pt>
                <c:pt idx="42">
                  <c:v>0.29522581330188397</c:v>
                </c:pt>
                <c:pt idx="43">
                  <c:v>0.33955503901509809</c:v>
                </c:pt>
                <c:pt idx="44">
                  <c:v>0.38895809164822909</c:v>
                </c:pt>
                <c:pt idx="45">
                  <c:v>0.44398416607900359</c:v>
                </c:pt>
                <c:pt idx="46">
                  <c:v>0.50486555117863863</c:v>
                </c:pt>
                <c:pt idx="47">
                  <c:v>0.57218722928572618</c:v>
                </c:pt>
                <c:pt idx="48">
                  <c:v>0.64637106016586343</c:v>
                </c:pt>
                <c:pt idx="49">
                  <c:v>0.72771624053014772</c:v>
                </c:pt>
                <c:pt idx="50">
                  <c:v>0.8168412482531392</c:v>
                </c:pt>
                <c:pt idx="51">
                  <c:v>0.91411235257179257</c:v>
                </c:pt>
                <c:pt idx="52">
                  <c:v>1.0201635104209552</c:v>
                </c:pt>
                <c:pt idx="53">
                  <c:v>1.1349425474451287</c:v>
                </c:pt>
                <c:pt idx="54">
                  <c:v>1.2593732349597251</c:v>
                </c:pt>
                <c:pt idx="55">
                  <c:v>1.3938015801081194</c:v>
                </c:pt>
                <c:pt idx="56">
                  <c:v>1.5384444948341045</c:v>
                </c:pt>
                <c:pt idx="57">
                  <c:v>1.69394064028048</c:v>
                </c:pt>
                <c:pt idx="58">
                  <c:v>1.8607433597530327</c:v>
                </c:pt>
                <c:pt idx="59">
                  <c:v>2.0386926603723619</c:v>
                </c:pt>
                <c:pt idx="60">
                  <c:v>2.2286604788084259</c:v>
                </c:pt>
                <c:pt idx="61">
                  <c:v>2.4307852811741286</c:v>
                </c:pt>
                <c:pt idx="62">
                  <c:v>2.6453409796106411</c:v>
                </c:pt>
                <c:pt idx="63">
                  <c:v>2.8724989095183826</c:v>
                </c:pt>
                <c:pt idx="64">
                  <c:v>3.1126571768455773</c:v>
                </c:pt>
                <c:pt idx="65">
                  <c:v>3.3657661901513123</c:v>
                </c:pt>
                <c:pt idx="66">
                  <c:v>3.6319975964601734</c:v>
                </c:pt>
                <c:pt idx="67">
                  <c:v>3.9114127383653585</c:v>
                </c:pt>
                <c:pt idx="68">
                  <c:v>4.2039915464416291</c:v>
                </c:pt>
                <c:pt idx="69">
                  <c:v>4.5096721209867097</c:v>
                </c:pt>
                <c:pt idx="70">
                  <c:v>4.8283261137386333</c:v>
                </c:pt>
                <c:pt idx="71">
                  <c:v>5.1597900831668797</c:v>
                </c:pt>
                <c:pt idx="72">
                  <c:v>5.5038000394440889</c:v>
                </c:pt>
                <c:pt idx="73">
                  <c:v>5.8600288673358865</c:v>
                </c:pt>
                <c:pt idx="74">
                  <c:v>6.2280827765894626</c:v>
                </c:pt>
                <c:pt idx="75">
                  <c:v>6.6075011598786428</c:v>
                </c:pt>
                <c:pt idx="76">
                  <c:v>6.9977511564681958</c:v>
                </c:pt>
                <c:pt idx="77">
                  <c:v>7.3981822347242527</c:v>
                </c:pt>
                <c:pt idx="78">
                  <c:v>7.8081997337186557</c:v>
                </c:pt>
                <c:pt idx="79">
                  <c:v>8.2290069097113427</c:v>
                </c:pt>
                <c:pt idx="80">
                  <c:v>8.6558863049223813</c:v>
                </c:pt>
                <c:pt idx="81">
                  <c:v>9.0873825732324534</c:v>
                </c:pt>
                <c:pt idx="82">
                  <c:v>9.5290905114198079</c:v>
                </c:pt>
                <c:pt idx="83">
                  <c:v>9.9745303805114567</c:v>
                </c:pt>
                <c:pt idx="84">
                  <c:v>10.421241499090225</c:v>
                </c:pt>
                <c:pt idx="85">
                  <c:v>10.871340946129862</c:v>
                </c:pt>
                <c:pt idx="86">
                  <c:v>11.328917472608657</c:v>
                </c:pt>
                <c:pt idx="87">
                  <c:v>11.783144833030462</c:v>
                </c:pt>
                <c:pt idx="88">
                  <c:v>12.234067800149935</c:v>
                </c:pt>
                <c:pt idx="89">
                  <c:v>12.679971936236818</c:v>
                </c:pt>
                <c:pt idx="90">
                  <c:v>13.124925858124161</c:v>
                </c:pt>
                <c:pt idx="91">
                  <c:v>13.565926253004825</c:v>
                </c:pt>
                <c:pt idx="92">
                  <c:v>13.999790498597442</c:v>
                </c:pt>
                <c:pt idx="93">
                  <c:v>14.43004417471667</c:v>
                </c:pt>
                <c:pt idx="94">
                  <c:v>14.845247969817546</c:v>
                </c:pt>
                <c:pt idx="95">
                  <c:v>15.248612799205983</c:v>
                </c:pt>
                <c:pt idx="96">
                  <c:v>15.644256005669845</c:v>
                </c:pt>
                <c:pt idx="97">
                  <c:v>16.019858165265706</c:v>
                </c:pt>
                <c:pt idx="98">
                  <c:v>16.378750077666503</c:v>
                </c:pt>
                <c:pt idx="99">
                  <c:v>16.738386492062467</c:v>
                </c:pt>
                <c:pt idx="100">
                  <c:v>17.051126157991249</c:v>
                </c:pt>
                <c:pt idx="101">
                  <c:v>17.358355533502635</c:v>
                </c:pt>
                <c:pt idx="102">
                  <c:v>17.647627648454801</c:v>
                </c:pt>
                <c:pt idx="103">
                  <c:v>17.911829237718091</c:v>
                </c:pt>
                <c:pt idx="104">
                  <c:v>18.150555308802627</c:v>
                </c:pt>
                <c:pt idx="105">
                  <c:v>18.359843756529891</c:v>
                </c:pt>
                <c:pt idx="106">
                  <c:v>18.548341285178619</c:v>
                </c:pt>
                <c:pt idx="107">
                  <c:v>18.709329268505698</c:v>
                </c:pt>
                <c:pt idx="108">
                  <c:v>18.847242605957913</c:v>
                </c:pt>
                <c:pt idx="109">
                  <c:v>18.953989358331537</c:v>
                </c:pt>
                <c:pt idx="110">
                  <c:v>19.025653848835368</c:v>
                </c:pt>
                <c:pt idx="111">
                  <c:v>19.066248702643477</c:v>
                </c:pt>
                <c:pt idx="112">
                  <c:v>19.074493514207706</c:v>
                </c:pt>
                <c:pt idx="113">
                  <c:v>19.054477897953539</c:v>
                </c:pt>
                <c:pt idx="114">
                  <c:v>19.00713163735518</c:v>
                </c:pt>
                <c:pt idx="115">
                  <c:v>18.927944926459045</c:v>
                </c:pt>
                <c:pt idx="116">
                  <c:v>18.804538665723328</c:v>
                </c:pt>
                <c:pt idx="117">
                  <c:v>18.64930339219335</c:v>
                </c:pt>
                <c:pt idx="118">
                  <c:v>18.462993563251786</c:v>
                </c:pt>
                <c:pt idx="119">
                  <c:v>18.25006018251127</c:v>
                </c:pt>
                <c:pt idx="120">
                  <c:v>18.007121520506612</c:v>
                </c:pt>
                <c:pt idx="121">
                  <c:v>17.714114755105918</c:v>
                </c:pt>
                <c:pt idx="122">
                  <c:v>17.392164133828476</c:v>
                </c:pt>
                <c:pt idx="123">
                  <c:v>17.043306913225717</c:v>
                </c:pt>
                <c:pt idx="124">
                  <c:v>16.675544207230729</c:v>
                </c:pt>
                <c:pt idx="125">
                  <c:v>16.255903979661792</c:v>
                </c:pt>
                <c:pt idx="126">
                  <c:v>15.804041373965065</c:v>
                </c:pt>
                <c:pt idx="127">
                  <c:v>15.332293149330848</c:v>
                </c:pt>
                <c:pt idx="128">
                  <c:v>14.839533725173455</c:v>
                </c:pt>
                <c:pt idx="129">
                  <c:v>14.296581754621299</c:v>
                </c:pt>
                <c:pt idx="130">
                  <c:v>13.731385031977295</c:v>
                </c:pt>
                <c:pt idx="131">
                  <c:v>13.151141202854946</c:v>
                </c:pt>
                <c:pt idx="132">
                  <c:v>12.541420344498613</c:v>
                </c:pt>
                <c:pt idx="133">
                  <c:v>11.901151267235951</c:v>
                </c:pt>
                <c:pt idx="134">
                  <c:v>11.23656338183676</c:v>
                </c:pt>
                <c:pt idx="135">
                  <c:v>10.565258008173455</c:v>
                </c:pt>
                <c:pt idx="136">
                  <c:v>9.8551190056993807</c:v>
                </c:pt>
                <c:pt idx="137">
                  <c:v>9.1256346309970731</c:v>
                </c:pt>
                <c:pt idx="138">
                  <c:v>8.3933139482275774</c:v>
                </c:pt>
                <c:pt idx="139">
                  <c:v>7.6350466138464963</c:v>
                </c:pt>
                <c:pt idx="140">
                  <c:v>6.8565759358393912</c:v>
                </c:pt>
                <c:pt idx="141">
                  <c:v>6.0738146190458089</c:v>
                </c:pt>
                <c:pt idx="142">
                  <c:v>5.284958629227507</c:v>
                </c:pt>
                <c:pt idx="143">
                  <c:v>4.4707816724664315</c:v>
                </c:pt>
                <c:pt idx="144">
                  <c:v>3.6669098253742942</c:v>
                </c:pt>
                <c:pt idx="145">
                  <c:v>2.8251440142157827</c:v>
                </c:pt>
                <c:pt idx="146">
                  <c:v>1.9960746109440335</c:v>
                </c:pt>
                <c:pt idx="147">
                  <c:v>1.1756445590130358</c:v>
                </c:pt>
                <c:pt idx="148">
                  <c:v>0.32255765962979693</c:v>
                </c:pt>
                <c:pt idx="149">
                  <c:v>-0.51172678431613106</c:v>
                </c:pt>
                <c:pt idx="150">
                  <c:v>-1.3359298086952298</c:v>
                </c:pt>
                <c:pt idx="151">
                  <c:v>-2.1826427659932452</c:v>
                </c:pt>
                <c:pt idx="152">
                  <c:v>-3.0046243632660357</c:v>
                </c:pt>
                <c:pt idx="153">
                  <c:v>-3.8209924905790511</c:v>
                </c:pt>
                <c:pt idx="154">
                  <c:v>-4.6344976998020417</c:v>
                </c:pt>
                <c:pt idx="155">
                  <c:v>-5.441709924513221</c:v>
                </c:pt>
                <c:pt idx="156">
                  <c:v>-6.2354227016580337</c:v>
                </c:pt>
                <c:pt idx="157">
                  <c:v>-7.0029459011364823</c:v>
                </c:pt>
                <c:pt idx="158">
                  <c:v>-7.7769516270040864</c:v>
                </c:pt>
                <c:pt idx="159">
                  <c:v>-8.5270856251182732</c:v>
                </c:pt>
                <c:pt idx="160">
                  <c:v>-9.2431486906980993</c:v>
                </c:pt>
                <c:pt idx="161">
                  <c:v>-9.9682879997395464</c:v>
                </c:pt>
                <c:pt idx="162">
                  <c:v>-10.651758463951413</c:v>
                </c:pt>
                <c:pt idx="163">
                  <c:v>-11.315976951204384</c:v>
                </c:pt>
                <c:pt idx="164">
                  <c:v>-11.951460558486893</c:v>
                </c:pt>
                <c:pt idx="165">
                  <c:v>-12.574277442626698</c:v>
                </c:pt>
                <c:pt idx="166">
                  <c:v>-13.167404721684342</c:v>
                </c:pt>
                <c:pt idx="167">
                  <c:v>-13.717861574504809</c:v>
                </c:pt>
                <c:pt idx="168">
                  <c:v>-14.258789968150701</c:v>
                </c:pt>
                <c:pt idx="169">
                  <c:v>-14.762522481785696</c:v>
                </c:pt>
                <c:pt idx="170">
                  <c:v>-15.239363342398878</c:v>
                </c:pt>
                <c:pt idx="171">
                  <c:v>-15.670567501362191</c:v>
                </c:pt>
                <c:pt idx="172">
                  <c:v>-16.091764202438895</c:v>
                </c:pt>
                <c:pt idx="173">
                  <c:v>-16.464549421492073</c:v>
                </c:pt>
                <c:pt idx="174">
                  <c:v>-16.808189611372953</c:v>
                </c:pt>
                <c:pt idx="175">
                  <c:v>-17.112070025394861</c:v>
                </c:pt>
                <c:pt idx="176">
                  <c:v>-17.38111264001374</c:v>
                </c:pt>
                <c:pt idx="177">
                  <c:v>-17.630441643939569</c:v>
                </c:pt>
                <c:pt idx="178">
                  <c:v>-17.830864279585324</c:v>
                </c:pt>
                <c:pt idx="179">
                  <c:v>-18.003922286069184</c:v>
                </c:pt>
                <c:pt idx="180">
                  <c:v>-18.130183086626158</c:v>
                </c:pt>
                <c:pt idx="181">
                  <c:v>-18.231530372267784</c:v>
                </c:pt>
                <c:pt idx="182">
                  <c:v>-18.310245833360735</c:v>
                </c:pt>
                <c:pt idx="183">
                  <c:v>-18.33990826879494</c:v>
                </c:pt>
                <c:pt idx="184">
                  <c:v>-18.342328572976619</c:v>
                </c:pt>
                <c:pt idx="185">
                  <c:v>-18.309755186133412</c:v>
                </c:pt>
                <c:pt idx="186">
                  <c:v>-18.243842500248537</c:v>
                </c:pt>
                <c:pt idx="187">
                  <c:v>-18.147730189936809</c:v>
                </c:pt>
                <c:pt idx="188">
                  <c:v>-18.03375907247435</c:v>
                </c:pt>
                <c:pt idx="189">
                  <c:v>-17.882708694837895</c:v>
                </c:pt>
                <c:pt idx="190">
                  <c:v>-17.701084474745006</c:v>
                </c:pt>
                <c:pt idx="191">
                  <c:v>-17.496419972951546</c:v>
                </c:pt>
                <c:pt idx="192">
                  <c:v>-17.266912406202387</c:v>
                </c:pt>
                <c:pt idx="193">
                  <c:v>-17.014763297848447</c:v>
                </c:pt>
                <c:pt idx="194">
                  <c:v>-16.738529693361087</c:v>
                </c:pt>
                <c:pt idx="195">
                  <c:v>-16.442394521237169</c:v>
                </c:pt>
                <c:pt idx="196">
                  <c:v>-16.125469890630225</c:v>
                </c:pt>
                <c:pt idx="197">
                  <c:v>-15.793694237735384</c:v>
                </c:pt>
                <c:pt idx="198">
                  <c:v>-15.443680174993995</c:v>
                </c:pt>
                <c:pt idx="199">
                  <c:v>-15.079356206430454</c:v>
                </c:pt>
                <c:pt idx="200">
                  <c:v>-14.70482163657511</c:v>
                </c:pt>
                <c:pt idx="201">
                  <c:v>-14.317058414458542</c:v>
                </c:pt>
                <c:pt idx="202">
                  <c:v>-13.919490974429467</c:v>
                </c:pt>
                <c:pt idx="203">
                  <c:v>-13.515918312028786</c:v>
                </c:pt>
                <c:pt idx="204">
                  <c:v>-13.103909692987354</c:v>
                </c:pt>
                <c:pt idx="205">
                  <c:v>-12.686400963829929</c:v>
                </c:pt>
                <c:pt idx="206">
                  <c:v>-12.265267318012427</c:v>
                </c:pt>
                <c:pt idx="207">
                  <c:v>-11.841314135547664</c:v>
                </c:pt>
                <c:pt idx="208">
                  <c:v>-11.415824931286069</c:v>
                </c:pt>
                <c:pt idx="209">
                  <c:v>-10.990315841215899</c:v>
                </c:pt>
                <c:pt idx="210">
                  <c:v>-10.567501097867089</c:v>
                </c:pt>
                <c:pt idx="211">
                  <c:v>-10.14588267052889</c:v>
                </c:pt>
                <c:pt idx="212">
                  <c:v>-9.7267046391487675</c:v>
                </c:pt>
                <c:pt idx="213">
                  <c:v>-9.3130700688894237</c:v>
                </c:pt>
                <c:pt idx="214">
                  <c:v>-8.9063321041000965</c:v>
                </c:pt>
                <c:pt idx="215">
                  <c:v>-8.505016088126828</c:v>
                </c:pt>
                <c:pt idx="216">
                  <c:v>-8.1104015621465084</c:v>
                </c:pt>
                <c:pt idx="217">
                  <c:v>-7.7245062682741974</c:v>
                </c:pt>
                <c:pt idx="218">
                  <c:v>-7.3456719109437776</c:v>
                </c:pt>
                <c:pt idx="219">
                  <c:v>-6.9779365321003537</c:v>
                </c:pt>
                <c:pt idx="220">
                  <c:v>-6.6191462492750528</c:v>
                </c:pt>
                <c:pt idx="221">
                  <c:v>-6.2705750602304455</c:v>
                </c:pt>
                <c:pt idx="222">
                  <c:v>-5.9313281056638356</c:v>
                </c:pt>
                <c:pt idx="223">
                  <c:v>-5.6044489909858859</c:v>
                </c:pt>
                <c:pt idx="224">
                  <c:v>-5.2878764394813151</c:v>
                </c:pt>
                <c:pt idx="225">
                  <c:v>-4.9828814069750367</c:v>
                </c:pt>
                <c:pt idx="226">
                  <c:v>-4.6887456068654654</c:v>
                </c:pt>
                <c:pt idx="227">
                  <c:v>-4.4063678759560183</c:v>
                </c:pt>
                <c:pt idx="228">
                  <c:v>-4.1355415385801653</c:v>
                </c:pt>
                <c:pt idx="229">
                  <c:v>-3.875914528516343</c:v>
                </c:pt>
                <c:pt idx="230">
                  <c:v>-3.6278850886682998</c:v>
                </c:pt>
                <c:pt idx="231">
                  <c:v>-3.3909008285705378</c:v>
                </c:pt>
                <c:pt idx="232">
                  <c:v>-3.1654814255134913</c:v>
                </c:pt>
                <c:pt idx="233">
                  <c:v>-2.9509266175840465</c:v>
                </c:pt>
                <c:pt idx="234">
                  <c:v>-2.7470128836277539</c:v>
                </c:pt>
                <c:pt idx="235">
                  <c:v>-2.5536068141393988</c:v>
                </c:pt>
                <c:pt idx="236">
                  <c:v>-2.3707651933099987</c:v>
                </c:pt>
                <c:pt idx="237">
                  <c:v>-2.1977816204291329</c:v>
                </c:pt>
                <c:pt idx="238">
                  <c:v>-2.0345057307991863</c:v>
                </c:pt>
                <c:pt idx="239">
                  <c:v>-1.8807504832744095</c:v>
                </c:pt>
                <c:pt idx="240">
                  <c:v>-1.7359625222273403</c:v>
                </c:pt>
                <c:pt idx="241">
                  <c:v>-1.6000500001072431</c:v>
                </c:pt>
                <c:pt idx="242">
                  <c:v>-1.4726482672853165</c:v>
                </c:pt>
                <c:pt idx="243">
                  <c:v>-1.3532766749286438</c:v>
                </c:pt>
                <c:pt idx="244">
                  <c:v>-1.2417219515996107</c:v>
                </c:pt>
                <c:pt idx="245">
                  <c:v>-1.1375455689834639</c:v>
                </c:pt>
                <c:pt idx="246">
                  <c:v>-1.0404846429687233</c:v>
                </c:pt>
                <c:pt idx="247">
                  <c:v>-0.95013030546365096</c:v>
                </c:pt>
                <c:pt idx="248">
                  <c:v>-0.86619154519411012</c:v>
                </c:pt>
                <c:pt idx="249">
                  <c:v>-0.78833915155818968</c:v>
                </c:pt>
                <c:pt idx="250">
                  <c:v>-0.71622149619445419</c:v>
                </c:pt>
                <c:pt idx="251">
                  <c:v>-0.64953251509162102</c:v>
                </c:pt>
                <c:pt idx="252">
                  <c:v>-0.58795883478065081</c:v>
                </c:pt>
                <c:pt idx="253">
                  <c:v>-0.53120248088658462</c:v>
                </c:pt>
                <c:pt idx="254">
                  <c:v>-0.47897191921466842</c:v>
                </c:pt>
                <c:pt idx="255">
                  <c:v>-0.43098631523419978</c:v>
                </c:pt>
                <c:pt idx="256">
                  <c:v>-0.38697664021412259</c:v>
                </c:pt>
                <c:pt idx="257">
                  <c:v>-0.34667882404778133</c:v>
                </c:pt>
                <c:pt idx="258">
                  <c:v>-0.30984884258487316</c:v>
                </c:pt>
                <c:pt idx="259">
                  <c:v>-0.27624775521920603</c:v>
                </c:pt>
                <c:pt idx="260">
                  <c:v>-0.24564543114440079</c:v>
                </c:pt>
                <c:pt idx="261">
                  <c:v>-0.21784142751853261</c:v>
                </c:pt>
                <c:pt idx="262">
                  <c:v>-0.19261305161063999</c:v>
                </c:pt>
                <c:pt idx="263">
                  <c:v>-0.16978302028866604</c:v>
                </c:pt>
                <c:pt idx="264">
                  <c:v>-0.14916045331904706</c:v>
                </c:pt>
                <c:pt idx="265">
                  <c:v>-0.13058516862259112</c:v>
                </c:pt>
                <c:pt idx="266">
                  <c:v>-0.11388589111521008</c:v>
                </c:pt>
                <c:pt idx="267">
                  <c:v>-9.8913833981097418E-2</c:v>
                </c:pt>
                <c:pt idx="268">
                  <c:v>-8.5533469814529597E-2</c:v>
                </c:pt>
                <c:pt idx="269">
                  <c:v>-7.3608859070096871E-2</c:v>
                </c:pt>
                <c:pt idx="270">
                  <c:v>-6.3018013501399406E-2</c:v>
                </c:pt>
                <c:pt idx="271">
                  <c:v>-5.3645460505107413E-2</c:v>
                </c:pt>
                <c:pt idx="272">
                  <c:v>-4.5381884059362443E-2</c:v>
                </c:pt>
                <c:pt idx="273">
                  <c:v>-3.8128617593239239E-2</c:v>
                </c:pt>
                <c:pt idx="274">
                  <c:v>-3.1793880482353563E-2</c:v>
                </c:pt>
                <c:pt idx="275">
                  <c:v>-2.6291203179880193E-2</c:v>
                </c:pt>
                <c:pt idx="276">
                  <c:v>-2.1539712704224664E-2</c:v>
                </c:pt>
                <c:pt idx="277">
                  <c:v>-1.7464304312976662E-2</c:v>
                </c:pt>
                <c:pt idx="278">
                  <c:v>-1.399544236560938E-2</c:v>
                </c:pt>
                <c:pt idx="279">
                  <c:v>-1.1068398923145267E-2</c:v>
                </c:pt>
                <c:pt idx="280">
                  <c:v>-8.623020381747724E-3</c:v>
                </c:pt>
                <c:pt idx="281">
                  <c:v>-6.6032956351140103E-3</c:v>
                </c:pt>
                <c:pt idx="282">
                  <c:v>-4.9571100800649397E-3</c:v>
                </c:pt>
                <c:pt idx="283">
                  <c:v>-3.6360164122106638E-3</c:v>
                </c:pt>
                <c:pt idx="284">
                  <c:v>-2.5950212257901846E-3</c:v>
                </c:pt>
                <c:pt idx="285">
                  <c:v>-1.7924372223577683E-3</c:v>
                </c:pt>
                <c:pt idx="286">
                  <c:v>-1.1898166227325235E-3</c:v>
                </c:pt>
                <c:pt idx="287">
                  <c:v>-7.5181375471855766E-4</c:v>
                </c:pt>
                <c:pt idx="288">
                  <c:v>-4.462088950238522E-4</c:v>
                </c:pt>
                <c:pt idx="289">
                  <c:v>-2.4393973523620504E-4</c:v>
                </c:pt>
                <c:pt idx="290">
                  <c:v>-1.1918026780862778E-4</c:v>
                </c:pt>
                <c:pt idx="291">
                  <c:v>-4.9465829313683733E-5</c:v>
                </c:pt>
                <c:pt idx="292">
                  <c:v>-1.5862213537597288E-5</c:v>
                </c:pt>
                <c:pt idx="293">
                  <c:v>-3.1758671736747649E-6</c:v>
                </c:pt>
                <c:pt idx="294">
                  <c:v>-2.0120241340185E-7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A9-419D-9A88-F7DCE94C7EB3}"/>
            </c:ext>
          </c:extLst>
        </c:ser>
        <c:ser>
          <c:idx val="3"/>
          <c:order val="3"/>
          <c:tx>
            <c:v>Tl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[0]!optipoly.Tl</c:f>
              <c:numCache>
                <c:formatCode>General</c:formatCode>
                <c:ptCount val="296"/>
                <c:pt idx="0">
                  <c:v>0.1025359665978</c:v>
                </c:pt>
                <c:pt idx="1">
                  <c:v>0.10253738348102333</c:v>
                </c:pt>
                <c:pt idx="2">
                  <c:v>0.10254724396914605</c:v>
                </c:pt>
                <c:pt idx="3">
                  <c:v>0.10257383353756426</c:v>
                </c:pt>
                <c:pt idx="4">
                  <c:v>0.10262526622788838</c:v>
                </c:pt>
                <c:pt idx="5">
                  <c:v>0.10270948582618128</c:v>
                </c:pt>
                <c:pt idx="6">
                  <c:v>0.10283426704119801</c:v>
                </c:pt>
                <c:pt idx="7">
                  <c:v>0.10300721668262497</c:v>
                </c:pt>
                <c:pt idx="8">
                  <c:v>0.10323577483931858</c:v>
                </c:pt>
                <c:pt idx="9">
                  <c:v>0.10352721605754417</c:v>
                </c:pt>
                <c:pt idx="10">
                  <c:v>0.10388865051921603</c:v>
                </c:pt>
                <c:pt idx="11">
                  <c:v>0.1043270252201363</c:v>
                </c:pt>
                <c:pt idx="12">
                  <c:v>0.10484912514823194</c:v>
                </c:pt>
                <c:pt idx="13">
                  <c:v>0.10546157446179702</c:v>
                </c:pt>
                <c:pt idx="14">
                  <c:v>0.10617083766773017</c:v>
                </c:pt>
                <c:pt idx="15">
                  <c:v>0.10698322079977272</c:v>
                </c:pt>
                <c:pt idx="16">
                  <c:v>0.1079048725967504</c:v>
                </c:pt>
                <c:pt idx="17">
                  <c:v>0.10894178568080888</c:v>
                </c:pt>
                <c:pt idx="18">
                  <c:v>0.11009979773565712</c:v>
                </c:pt>
                <c:pt idx="19">
                  <c:v>0.11138459268480244</c:v>
                </c:pt>
                <c:pt idx="20">
                  <c:v>0.11280170186979195</c:v>
                </c:pt>
                <c:pt idx="21">
                  <c:v>0.11435650522845084</c:v>
                </c:pt>
                <c:pt idx="22">
                  <c:v>0.11605423247312213</c:v>
                </c:pt>
                <c:pt idx="23">
                  <c:v>0.11789996426890403</c:v>
                </c:pt>
                <c:pt idx="24">
                  <c:v>0.1198986334118915</c:v>
                </c:pt>
                <c:pt idx="25">
                  <c:v>0.12205502600741382</c:v>
                </c:pt>
                <c:pt idx="26">
                  <c:v>0.12437038873744023</c:v>
                </c:pt>
                <c:pt idx="27">
                  <c:v>0.12684114929885967</c:v>
                </c:pt>
                <c:pt idx="28">
                  <c:v>0.12948209993434553</c:v>
                </c:pt>
                <c:pt idx="29">
                  <c:v>0.13229742659891647</c:v>
                </c:pt>
                <c:pt idx="30">
                  <c:v>0.13529117528957141</c:v>
                </c:pt>
                <c:pt idx="31">
                  <c:v>0.1384672532164874</c:v>
                </c:pt>
                <c:pt idx="32">
                  <c:v>0.14182942997421505</c:v>
                </c:pt>
                <c:pt idx="33">
                  <c:v>0.14537806571113349</c:v>
                </c:pt>
                <c:pt idx="34">
                  <c:v>0.14909486494501623</c:v>
                </c:pt>
                <c:pt idx="35">
                  <c:v>0.15300677019286765</c:v>
                </c:pt>
                <c:pt idx="36">
                  <c:v>0.15711698785099412</c:v>
                </c:pt>
                <c:pt idx="37">
                  <c:v>0.16142859355308165</c:v>
                </c:pt>
                <c:pt idx="38">
                  <c:v>0.16594441545580091</c:v>
                </c:pt>
                <c:pt idx="39">
                  <c:v>0.17062423901395257</c:v>
                </c:pt>
                <c:pt idx="40">
                  <c:v>0.17551198221765502</c:v>
                </c:pt>
                <c:pt idx="41">
                  <c:v>0.18061018578295004</c:v>
                </c:pt>
                <c:pt idx="42">
                  <c:v>0.18592126661959746</c:v>
                </c:pt>
                <c:pt idx="43">
                  <c:v>0.19139666014460857</c:v>
                </c:pt>
                <c:pt idx="44">
                  <c:v>0.19707843675590606</c:v>
                </c:pt>
                <c:pt idx="45">
                  <c:v>0.20297724861560912</c:v>
                </c:pt>
                <c:pt idx="46">
                  <c:v>0.20907265412860013</c:v>
                </c:pt>
                <c:pt idx="47">
                  <c:v>0.21533269402120123</c:v>
                </c:pt>
                <c:pt idx="48">
                  <c:v>0.2218124038252143</c:v>
                </c:pt>
                <c:pt idx="49">
                  <c:v>0.22850055211106404</c:v>
                </c:pt>
                <c:pt idx="50">
                  <c:v>0.23532711291223141</c:v>
                </c:pt>
                <c:pt idx="51">
                  <c:v>0.24237450880341688</c:v>
                </c:pt>
                <c:pt idx="52">
                  <c:v>0.24961236568800219</c:v>
                </c:pt>
                <c:pt idx="53">
                  <c:v>0.25698751278216597</c:v>
                </c:pt>
                <c:pt idx="54">
                  <c:v>0.26458325317930137</c:v>
                </c:pt>
                <c:pt idx="55">
                  <c:v>0.27231267897513278</c:v>
                </c:pt>
                <c:pt idx="56">
                  <c:v>0.28021257508649039</c:v>
                </c:pt>
                <c:pt idx="57">
                  <c:v>0.28830064335784972</c:v>
                </c:pt>
                <c:pt idx="58">
                  <c:v>0.29648005743369715</c:v>
                </c:pt>
                <c:pt idx="59">
                  <c:v>0.30487529656378237</c:v>
                </c:pt>
                <c:pt idx="60">
                  <c:v>0.31332479799931479</c:v>
                </c:pt>
                <c:pt idx="61">
                  <c:v>0.32196868927125877</c:v>
                </c:pt>
                <c:pt idx="62">
                  <c:v>0.3306774013257599</c:v>
                </c:pt>
                <c:pt idx="63">
                  <c:v>0.33954014404408273</c:v>
                </c:pt>
                <c:pt idx="64">
                  <c:v>0.34846059397881513</c:v>
                </c:pt>
                <c:pt idx="65">
                  <c:v>0.35751044023413425</c:v>
                </c:pt>
                <c:pt idx="66">
                  <c:v>0.3665898836041383</c:v>
                </c:pt>
                <c:pt idx="67">
                  <c:v>0.37579332471431287</c:v>
                </c:pt>
                <c:pt idx="68">
                  <c:v>0.38497425468165392</c:v>
                </c:pt>
                <c:pt idx="69">
                  <c:v>0.39429614489020659</c:v>
                </c:pt>
                <c:pt idx="70">
                  <c:v>0.40351689400030494</c:v>
                </c:pt>
                <c:pt idx="71">
                  <c:v>0.41284349151753486</c:v>
                </c:pt>
                <c:pt idx="72">
                  <c:v>0.42211593904919509</c:v>
                </c:pt>
                <c:pt idx="73">
                  <c:v>0.43137927518325409</c:v>
                </c:pt>
                <c:pt idx="74">
                  <c:v>0.44066524275716723</c:v>
                </c:pt>
                <c:pt idx="75">
                  <c:v>0.44979463821197246</c:v>
                </c:pt>
                <c:pt idx="76">
                  <c:v>0.45893549166719932</c:v>
                </c:pt>
                <c:pt idx="77">
                  <c:v>0.46797778344533031</c:v>
                </c:pt>
                <c:pt idx="78">
                  <c:v>0.4768690481199313</c:v>
                </c:pt>
                <c:pt idx="79">
                  <c:v>0.48570904550639843</c:v>
                </c:pt>
                <c:pt idx="80">
                  <c:v>0.49438101841090254</c:v>
                </c:pt>
                <c:pt idx="81">
                  <c:v>0.50285129366793635</c:v>
                </c:pt>
                <c:pt idx="82">
                  <c:v>0.51120377143094031</c:v>
                </c:pt>
                <c:pt idx="83">
                  <c:v>0.51937966365845656</c:v>
                </c:pt>
                <c:pt idx="84">
                  <c:v>0.52724063237061558</c:v>
                </c:pt>
                <c:pt idx="85">
                  <c:v>0.53491546476935936</c:v>
                </c:pt>
                <c:pt idx="86">
                  <c:v>0.54238070957666884</c:v>
                </c:pt>
                <c:pt idx="87">
                  <c:v>0.54953482863309344</c:v>
                </c:pt>
                <c:pt idx="88">
                  <c:v>0.5563430379151213</c:v>
                </c:pt>
                <c:pt idx="89">
                  <c:v>0.56287341837676708</c:v>
                </c:pt>
                <c:pt idx="90">
                  <c:v>0.56910240766339071</c:v>
                </c:pt>
                <c:pt idx="91">
                  <c:v>0.57499900447458741</c:v>
                </c:pt>
                <c:pt idx="92">
                  <c:v>0.58041355858209487</c:v>
                </c:pt>
                <c:pt idx="93">
                  <c:v>0.58546202189817176</c:v>
                </c:pt>
                <c:pt idx="94">
                  <c:v>0.59012208496401697</c:v>
                </c:pt>
                <c:pt idx="95">
                  <c:v>0.5943718133792707</c:v>
                </c:pt>
                <c:pt idx="96">
                  <c:v>0.59818974837698147</c:v>
                </c:pt>
                <c:pt idx="97">
                  <c:v>0.60150649182467741</c:v>
                </c:pt>
                <c:pt idx="98">
                  <c:v>0.60429604006631887</c:v>
                </c:pt>
                <c:pt idx="99">
                  <c:v>0.60659989048032159</c:v>
                </c:pt>
                <c:pt idx="100">
                  <c:v>0.60839959294361634</c:v>
                </c:pt>
                <c:pt idx="101">
                  <c:v>0.60967753805954705</c:v>
                </c:pt>
                <c:pt idx="102">
                  <c:v>0.61041702781975338</c:v>
                </c:pt>
                <c:pt idx="103">
                  <c:v>0.61060234075028685</c:v>
                </c:pt>
                <c:pt idx="104">
                  <c:v>0.61021879158007286</c:v>
                </c:pt>
                <c:pt idx="105">
                  <c:v>0.60925278546778194</c:v>
                </c:pt>
                <c:pt idx="106">
                  <c:v>0.60765102316364794</c:v>
                </c:pt>
                <c:pt idx="107">
                  <c:v>0.60543673640680462</c:v>
                </c:pt>
                <c:pt idx="108">
                  <c:v>0.60261233531578751</c:v>
                </c:pt>
                <c:pt idx="109">
                  <c:v>0.59916887681943887</c:v>
                </c:pt>
                <c:pt idx="110">
                  <c:v>0.59509867111371251</c:v>
                </c:pt>
                <c:pt idx="111">
                  <c:v>0.59039530844828247</c:v>
                </c:pt>
                <c:pt idx="112">
                  <c:v>0.5850536812655186</c:v>
                </c:pt>
                <c:pt idx="113">
                  <c:v>0.57907000186834046</c:v>
                </c:pt>
                <c:pt idx="114">
                  <c:v>0.572441815733716</c:v>
                </c:pt>
                <c:pt idx="115">
                  <c:v>0.56516801066544498</c:v>
                </c:pt>
                <c:pt idx="116">
                  <c:v>0.55724882191373759</c:v>
                </c:pt>
                <c:pt idx="117">
                  <c:v>0.54868583345317301</c:v>
                </c:pt>
                <c:pt idx="118">
                  <c:v>0.53948197555230581</c:v>
                </c:pt>
                <c:pt idx="119">
                  <c:v>0.52964151878746069</c:v>
                </c:pt>
                <c:pt idx="120">
                  <c:v>0.51917006470392346</c:v>
                </c:pt>
                <c:pt idx="121">
                  <c:v>0.5080745332084885</c:v>
                </c:pt>
                <c:pt idx="122">
                  <c:v>0.49636314687733274</c:v>
                </c:pt>
                <c:pt idx="123">
                  <c:v>0.48404541232595361</c:v>
                </c:pt>
                <c:pt idx="124">
                  <c:v>0.47113209877444606</c:v>
                </c:pt>
                <c:pt idx="125">
                  <c:v>0.45763521393940265</c:v>
                </c:pt>
                <c:pt idx="126">
                  <c:v>0.44356797736460168</c:v>
                </c:pt>
                <c:pt idx="127">
                  <c:v>0.42894479136732538</c:v>
                </c:pt>
                <c:pt idx="128">
                  <c:v>0.41378120965110027</c:v>
                </c:pt>
                <c:pt idx="129">
                  <c:v>0.39809390376453135</c:v>
                </c:pt>
                <c:pt idx="130">
                  <c:v>0.38189927713358013</c:v>
                </c:pt>
                <c:pt idx="131">
                  <c:v>0.36519545841885176</c:v>
                </c:pt>
                <c:pt idx="132">
                  <c:v>0.34802537348433132</c:v>
                </c:pt>
                <c:pt idx="133">
                  <c:v>0.33041007504835573</c:v>
                </c:pt>
                <c:pt idx="134">
                  <c:v>0.31237152408071656</c:v>
                </c:pt>
                <c:pt idx="135">
                  <c:v>0.29393254441155492</c:v>
                </c:pt>
                <c:pt idx="136">
                  <c:v>0.27511677586074706</c:v>
                </c:pt>
                <c:pt idx="137">
                  <c:v>0.25594862599805879</c:v>
                </c:pt>
                <c:pt idx="138">
                  <c:v>0.23645322058177726</c:v>
                </c:pt>
                <c:pt idx="139">
                  <c:v>0.21665635274685224</c:v>
                </c:pt>
                <c:pt idx="140">
                  <c:v>0.19658443102716458</c:v>
                </c:pt>
                <c:pt idx="141">
                  <c:v>0.17626442629039749</c:v>
                </c:pt>
                <c:pt idx="142">
                  <c:v>0.15572381758282849</c:v>
                </c:pt>
                <c:pt idx="143">
                  <c:v>0.13498677268053894</c:v>
                </c:pt>
                <c:pt idx="144">
                  <c:v>0.11408031118172221</c:v>
                </c:pt>
                <c:pt idx="145">
                  <c:v>9.3041725995321983E-2</c:v>
                </c:pt>
                <c:pt idx="146">
                  <c:v>7.1900040940889115E-2</c:v>
                </c:pt>
                <c:pt idx="147">
                  <c:v>5.0684483712165655E-2</c:v>
                </c:pt>
                <c:pt idx="148">
                  <c:v>2.9424426570350069E-2</c:v>
                </c:pt>
                <c:pt idx="149">
                  <c:v>8.1493265579928587E-3</c:v>
                </c:pt>
                <c:pt idx="150">
                  <c:v>-1.3111334810510066E-2</c:v>
                </c:pt>
                <c:pt idx="151">
                  <c:v>-3.4328112249824169E-2</c:v>
                </c:pt>
                <c:pt idx="152">
                  <c:v>-5.5471657718558831E-2</c:v>
                </c:pt>
                <c:pt idx="153">
                  <c:v>-7.6512781682080408E-2</c:v>
                </c:pt>
                <c:pt idx="154">
                  <c:v>-9.7418377199127382E-2</c:v>
                </c:pt>
                <c:pt idx="155">
                  <c:v>-0.11815545437731306</c:v>
                </c:pt>
                <c:pt idx="156">
                  <c:v>-0.13870088912133838</c:v>
                </c:pt>
                <c:pt idx="157">
                  <c:v>-0.15902689151384655</c:v>
                </c:pt>
                <c:pt idx="158">
                  <c:v>-0.1791061570481173</c:v>
                </c:pt>
                <c:pt idx="159">
                  <c:v>-0.19891192701726607</c:v>
                </c:pt>
                <c:pt idx="160">
                  <c:v>-0.21841804836969658</c:v>
                </c:pt>
                <c:pt idx="161">
                  <c:v>-0.23759903288392861</c:v>
                </c:pt>
                <c:pt idx="162">
                  <c:v>-0.25643011551498451</c:v>
                </c:pt>
                <c:pt idx="163">
                  <c:v>-0.27488731183089277</c:v>
                </c:pt>
                <c:pt idx="164">
                  <c:v>-0.29294747427313489</c:v>
                </c:pt>
                <c:pt idx="165">
                  <c:v>-0.31058834716177863</c:v>
                </c:pt>
                <c:pt idx="166">
                  <c:v>-0.32778862022054905</c:v>
                </c:pt>
                <c:pt idx="167">
                  <c:v>-0.34452776247383116</c:v>
                </c:pt>
                <c:pt idx="168">
                  <c:v>-0.3607660761049124</c:v>
                </c:pt>
                <c:pt idx="169">
                  <c:v>-0.37650595405840176</c:v>
                </c:pt>
                <c:pt idx="170">
                  <c:v>-0.39173070410651073</c:v>
                </c:pt>
                <c:pt idx="171">
                  <c:v>-0.40642482530263618</c:v>
                </c:pt>
                <c:pt idx="172">
                  <c:v>-0.42057404687031974</c:v>
                </c:pt>
                <c:pt idx="173">
                  <c:v>-0.43416536417951429</c:v>
                </c:pt>
                <c:pt idx="174">
                  <c:v>-0.44718707140547043</c:v>
                </c:pt>
                <c:pt idx="175">
                  <c:v>-0.45962879080135993</c:v>
                </c:pt>
                <c:pt idx="176">
                  <c:v>-0.4714814981785202</c:v>
                </c:pt>
                <c:pt idx="177">
                  <c:v>-0.4827375445169112</c:v>
                </c:pt>
                <c:pt idx="178">
                  <c:v>-0.49339067338973408</c:v>
                </c:pt>
                <c:pt idx="179">
                  <c:v>-0.50343603402597015</c:v>
                </c:pt>
                <c:pt idx="180">
                  <c:v>-0.51287018976052479</c:v>
                </c:pt>
                <c:pt idx="181">
                  <c:v>-0.52169112169604404</c:v>
                </c:pt>
                <c:pt idx="182">
                  <c:v>-0.52989822738979842</c:v>
                </c:pt>
                <c:pt idx="183">
                  <c:v>-0.53749231437755174</c:v>
                </c:pt>
                <c:pt idx="184">
                  <c:v>-0.54447558837728716</c:v>
                </c:pt>
                <c:pt idx="185">
                  <c:v>-0.5508516360279575</c:v>
                </c:pt>
                <c:pt idx="186">
                  <c:v>-0.55662540212736633</c:v>
                </c:pt>
                <c:pt idx="187">
                  <c:v>-0.56180316115606188</c:v>
                </c:pt>
                <c:pt idx="188">
                  <c:v>-0.56639248321226676</c:v>
                </c:pt>
                <c:pt idx="189">
                  <c:v>-0.5703683047241126</c:v>
                </c:pt>
                <c:pt idx="190">
                  <c:v>-0.57375866774792983</c:v>
                </c:pt>
                <c:pt idx="191">
                  <c:v>-0.57658519094810445</c:v>
                </c:pt>
                <c:pt idx="192">
                  <c:v>-0.57886022482185073</c:v>
                </c:pt>
                <c:pt idx="193">
                  <c:v>-0.58059720644868407</c:v>
                </c:pt>
                <c:pt idx="194">
                  <c:v>-0.58181059393954559</c:v>
                </c:pt>
                <c:pt idx="195">
                  <c:v>-0.58251579570911427</c:v>
                </c:pt>
                <c:pt idx="196">
                  <c:v>-0.58272909476394608</c:v>
                </c:pt>
                <c:pt idx="197">
                  <c:v>-0.58246756830779667</c:v>
                </c:pt>
                <c:pt idx="198">
                  <c:v>-0.58172028811373877</c:v>
                </c:pt>
                <c:pt idx="199">
                  <c:v>-0.58046534034801778</c:v>
                </c:pt>
                <c:pt idx="200">
                  <c:v>-0.57878623217857339</c:v>
                </c:pt>
                <c:pt idx="201">
                  <c:v>-0.57670281495223097</c:v>
                </c:pt>
                <c:pt idx="202">
                  <c:v>-0.57423532957403867</c:v>
                </c:pt>
                <c:pt idx="203">
                  <c:v>-0.57140430580126012</c:v>
                </c:pt>
                <c:pt idx="204">
                  <c:v>-0.56816745333367136</c:v>
                </c:pt>
                <c:pt idx="205">
                  <c:v>-0.56454471097085546</c:v>
                </c:pt>
                <c:pt idx="206">
                  <c:v>-0.56061856691194989</c:v>
                </c:pt>
                <c:pt idx="207">
                  <c:v>-0.55641044558743602</c:v>
                </c:pt>
                <c:pt idx="208">
                  <c:v>-0.55194158766301493</c:v>
                </c:pt>
                <c:pt idx="209">
                  <c:v>-0.5470887430167426</c:v>
                </c:pt>
                <c:pt idx="210">
                  <c:v>-0.54201589575893272</c:v>
                </c:pt>
                <c:pt idx="211">
                  <c:v>-0.53674464389670173</c:v>
                </c:pt>
                <c:pt idx="212">
                  <c:v>-0.53126332979883362</c:v>
                </c:pt>
                <c:pt idx="213">
                  <c:v>-0.52549844927656419</c:v>
                </c:pt>
                <c:pt idx="214">
                  <c:v>-0.51959685553785961</c:v>
                </c:pt>
                <c:pt idx="215">
                  <c:v>-0.51357782182619327</c:v>
                </c:pt>
                <c:pt idx="216">
                  <c:v>-0.50731319162655342</c:v>
                </c:pt>
                <c:pt idx="217">
                  <c:v>-0.50095063842274612</c:v>
                </c:pt>
                <c:pt idx="218">
                  <c:v>-0.49452820017429033</c:v>
                </c:pt>
                <c:pt idx="219">
                  <c:v>-0.48790864650713711</c:v>
                </c:pt>
                <c:pt idx="220">
                  <c:v>-0.48124780331147826</c:v>
                </c:pt>
                <c:pt idx="221">
                  <c:v>-0.4745521382751956</c:v>
                </c:pt>
                <c:pt idx="222">
                  <c:v>-0.46771699183115611</c:v>
                </c:pt>
                <c:pt idx="223">
                  <c:v>-0.46090997703313191</c:v>
                </c:pt>
                <c:pt idx="224">
                  <c:v>-0.45403130921673507</c:v>
                </c:pt>
                <c:pt idx="225">
                  <c:v>-0.44714478063229962</c:v>
                </c:pt>
                <c:pt idx="226">
                  <c:v>-0.44028277511006575</c:v>
                </c:pt>
                <c:pt idx="227">
                  <c:v>-0.43337356163292728</c:v>
                </c:pt>
                <c:pt idx="228">
                  <c:v>-0.42655931673286968</c:v>
                </c:pt>
                <c:pt idx="229">
                  <c:v>-0.41968089216087745</c:v>
                </c:pt>
                <c:pt idx="230">
                  <c:v>-0.41292853623811254</c:v>
                </c:pt>
                <c:pt idx="231">
                  <c:v>-0.4061463666025989</c:v>
                </c:pt>
                <c:pt idx="232">
                  <c:v>-0.39949762187250315</c:v>
                </c:pt>
                <c:pt idx="233">
                  <c:v>-0.39284413762307718</c:v>
                </c:pt>
                <c:pt idx="234">
                  <c:v>-0.38634163596343718</c:v>
                </c:pt>
                <c:pt idx="235">
                  <c:v>-0.37984249659474545</c:v>
                </c:pt>
                <c:pt idx="236">
                  <c:v>-0.37350269943044362</c:v>
                </c:pt>
                <c:pt idx="237">
                  <c:v>-0.36720350150139763</c:v>
                </c:pt>
                <c:pt idx="238">
                  <c:v>-0.36104509421887715</c:v>
                </c:pt>
                <c:pt idx="239">
                  <c:v>-0.35498265491111641</c:v>
                </c:pt>
                <c:pt idx="240">
                  <c:v>-0.34902710557642586</c:v>
                </c:pt>
                <c:pt idx="241">
                  <c:v>-0.34322863412122728</c:v>
                </c:pt>
                <c:pt idx="242">
                  <c:v>-0.33749541428022228</c:v>
                </c:pt>
                <c:pt idx="243">
                  <c:v>-0.33192869695711097</c:v>
                </c:pt>
                <c:pt idx="244">
                  <c:v>-0.32648957945121831</c:v>
                </c:pt>
                <c:pt idx="245">
                  <c:v>-0.32116387285551423</c:v>
                </c:pt>
                <c:pt idx="246">
                  <c:v>-0.31600505100896115</c:v>
                </c:pt>
                <c:pt idx="247">
                  <c:v>-0.3109718312589197</c:v>
                </c:pt>
                <c:pt idx="248">
                  <c:v>-0.30606914881835084</c:v>
                </c:pt>
                <c:pt idx="249">
                  <c:v>-0.3013326731756138</c:v>
                </c:pt>
                <c:pt idx="250">
                  <c:v>-0.29674053121848276</c:v>
                </c:pt>
                <c:pt idx="251">
                  <c:v>-0.29227164906320646</c:v>
                </c:pt>
                <c:pt idx="252">
                  <c:v>-0.2879671906888091</c:v>
                </c:pt>
                <c:pt idx="253">
                  <c:v>-0.28382561795196842</c:v>
                </c:pt>
                <c:pt idx="254">
                  <c:v>-0.27981061938701157</c:v>
                </c:pt>
                <c:pt idx="255">
                  <c:v>-0.27594293730154934</c:v>
                </c:pt>
                <c:pt idx="256">
                  <c:v>-0.27223491807768252</c:v>
                </c:pt>
                <c:pt idx="257">
                  <c:v>-0.26868463423609545</c:v>
                </c:pt>
                <c:pt idx="258">
                  <c:v>-0.2652727339621988</c:v>
                </c:pt>
                <c:pt idx="259">
                  <c:v>-0.26199682887675807</c:v>
                </c:pt>
                <c:pt idx="260">
                  <c:v>-0.25887393595498553</c:v>
                </c:pt>
                <c:pt idx="261">
                  <c:v>-0.25590171836816067</c:v>
                </c:pt>
                <c:pt idx="262">
                  <c:v>-0.25307773993573013</c:v>
                </c:pt>
                <c:pt idx="263">
                  <c:v>-0.25039427663027902</c:v>
                </c:pt>
                <c:pt idx="264">
                  <c:v>-0.24783541277615739</c:v>
                </c:pt>
                <c:pt idx="265">
                  <c:v>-0.24541818382280722</c:v>
                </c:pt>
                <c:pt idx="266">
                  <c:v>-0.2431397208314624</c:v>
                </c:pt>
                <c:pt idx="267">
                  <c:v>-0.24099705012774142</c:v>
                </c:pt>
                <c:pt idx="268">
                  <c:v>-0.23898709241027999</c:v>
                </c:pt>
                <c:pt idx="269">
                  <c:v>-0.23710666185936519</c:v>
                </c:pt>
                <c:pt idx="270">
                  <c:v>-0.23535246524556888</c:v>
                </c:pt>
                <c:pt idx="271">
                  <c:v>-0.23371203746527555</c:v>
                </c:pt>
                <c:pt idx="272">
                  <c:v>-0.23218800619913157</c:v>
                </c:pt>
                <c:pt idx="273">
                  <c:v>-0.23078059318354766</c:v>
                </c:pt>
                <c:pt idx="274">
                  <c:v>-0.22948603704786039</c:v>
                </c:pt>
                <c:pt idx="275">
                  <c:v>-0.2283004636678867</c:v>
                </c:pt>
                <c:pt idx="276">
                  <c:v>-0.22721988526748418</c:v>
                </c:pt>
                <c:pt idx="277">
                  <c:v>-0.22624019952012051</c:v>
                </c:pt>
                <c:pt idx="278">
                  <c:v>-0.22535718865043652</c:v>
                </c:pt>
                <c:pt idx="279">
                  <c:v>-0.22456651853581336</c:v>
                </c:pt>
                <c:pt idx="280">
                  <c:v>-0.22386373780793831</c:v>
                </c:pt>
                <c:pt idx="281">
                  <c:v>-0.22324427695436735</c:v>
                </c:pt>
                <c:pt idx="282">
                  <c:v>-0.22270344742009457</c:v>
                </c:pt>
                <c:pt idx="283">
                  <c:v>-0.22223644070911558</c:v>
                </c:pt>
                <c:pt idx="284">
                  <c:v>-0.22183832748599344</c:v>
                </c:pt>
                <c:pt idx="285">
                  <c:v>-0.22150405667742504</c:v>
                </c:pt>
                <c:pt idx="286">
                  <c:v>-0.22122845457380386</c:v>
                </c:pt>
                <c:pt idx="287">
                  <c:v>-0.22100622393078942</c:v>
                </c:pt>
                <c:pt idx="288">
                  <c:v>-0.22083194307087053</c:v>
                </c:pt>
                <c:pt idx="289">
                  <c:v>-0.2207000649849313</c:v>
                </c:pt>
                <c:pt idx="290">
                  <c:v>-0.22060491643381641</c:v>
                </c:pt>
                <c:pt idx="291">
                  <c:v>-0.22054069704989768</c:v>
                </c:pt>
                <c:pt idx="292">
                  <c:v>-0.22050147843863807</c:v>
                </c:pt>
                <c:pt idx="293">
                  <c:v>-0.22048120328015813</c:v>
                </c:pt>
                <c:pt idx="294">
                  <c:v>-0.2204736844308022</c:v>
                </c:pt>
                <c:pt idx="295">
                  <c:v>-0.22047260402470278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A9-419D-9A88-F7DCE94C7EB3}"/>
            </c:ext>
          </c:extLst>
        </c:ser>
        <c:ser>
          <c:idx val="4"/>
          <c:order val="4"/>
          <c:tx>
            <c:v>Tf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[0]!optipoly.Tf</c:f>
              <c:numCache>
                <c:formatCode>General</c:formatCode>
                <c:ptCount val="2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A9-419D-9A88-F7DCE94C7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93247"/>
        <c:axId val="1503803727"/>
      </c:scatterChart>
      <c:valAx>
        <c:axId val="167339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</a:t>
                </a:r>
                <a:r>
                  <a:rPr lang="en-GB" baseline="0">
                    <a:solidFill>
                      <a:schemeClr val="tx1"/>
                    </a:solidFill>
                  </a:rPr>
                  <a:t> [s]</a:t>
                </a:r>
                <a:endParaRPr lang="en-GB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0127914543128"/>
              <c:y val="0.90337027935202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03727"/>
        <c:crosses val="autoZero"/>
        <c:crossBetween val="midCat"/>
      </c:valAx>
      <c:valAx>
        <c:axId val="15038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9324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Position</a:t>
            </a:r>
          </a:p>
        </c:rich>
      </c:tx>
      <c:layout>
        <c:manualLayout>
          <c:xMode val="edge"/>
          <c:yMode val="edge"/>
          <c:x val="0.386074652777777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90625"/>
          <c:y val="0.12723132969034609"/>
          <c:w val="0.73147361111111109"/>
          <c:h val="0.68537249544626588"/>
        </c:manualLayout>
      </c:layout>
      <c:scatterChart>
        <c:scatterStyle val="smoothMarker"/>
        <c:varyColors val="0"/>
        <c:ser>
          <c:idx val="1"/>
          <c:order val="0"/>
          <c:tx>
            <c:v>ref poly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[0]!refpoly.q</c:f>
              <c:numCache>
                <c:formatCode>0.00000</c:formatCode>
                <c:ptCount val="296"/>
                <c:pt idx="0">
                  <c:v>0</c:v>
                </c:pt>
                <c:pt idx="1">
                  <c:v>1.1626374443185483E-6</c:v>
                </c:pt>
                <c:pt idx="2">
                  <c:v>9.2537578164630929E-6</c:v>
                </c:pt>
                <c:pt idx="3">
                  <c:v>3.1072089326400487E-5</c:v>
                </c:pt>
                <c:pt idx="4">
                  <c:v>7.3275688507346004E-5</c:v>
                </c:pt>
                <c:pt idx="5">
                  <c:v>1.4238290703283418E-4</c:v>
                </c:pt>
                <c:pt idx="6">
                  <c:v>2.4477335852846061E-4</c:v>
                </c:pt>
                <c:pt idx="7">
                  <c:v>3.8668888539206137E-4</c:v>
                </c:pt>
                <c:pt idx="8">
                  <c:v>5.7423452560545485E-4</c:v>
                </c:pt>
                <c:pt idx="9">
                  <c:v>8.1337947955217871E-4</c:v>
                </c:pt>
                <c:pt idx="10">
                  <c:v>1.1099580768341166E-3</c:v>
                </c:pt>
                <c:pt idx="11">
                  <c:v>1.4696707430839062E-3</c:v>
                </c:pt>
                <c:pt idx="12">
                  <c:v>1.8980849667833422E-3</c:v>
                </c:pt>
                <c:pt idx="13">
                  <c:v>2.4006362660782266E-3</c:v>
                </c:pt>
                <c:pt idx="14">
                  <c:v>2.9826291555941076E-3</c:v>
                </c:pt>
                <c:pt idx="15">
                  <c:v>3.6492381132509077E-3</c:v>
                </c:pt>
                <c:pt idx="16">
                  <c:v>4.405508547080661E-3</c:v>
                </c:pt>
                <c:pt idx="17">
                  <c:v>5.2563577620403645E-3</c:v>
                </c:pt>
                <c:pt idx="18">
                  <c:v>6.2065759268310483E-3</c:v>
                </c:pt>
                <c:pt idx="19">
                  <c:v>7.2608270407101827E-3</c:v>
                </c:pt>
                <c:pt idx="20">
                  <c:v>8.4236499003091936E-3</c:v>
                </c:pt>
                <c:pt idx="21">
                  <c:v>9.6994590664485347E-3</c:v>
                </c:pt>
                <c:pt idx="22">
                  <c:v>1.1092545830953648E-2</c:v>
                </c:pt>
                <c:pt idx="23">
                  <c:v>1.260707918347026E-2</c:v>
                </c:pt>
                <c:pt idx="24">
                  <c:v>1.4247106778279894E-2</c:v>
                </c:pt>
                <c:pt idx="25">
                  <c:v>1.6016555901116503E-2</c:v>
                </c:pt>
                <c:pt idx="26">
                  <c:v>1.7919234435980425E-2</c:v>
                </c:pt>
                <c:pt idx="27">
                  <c:v>1.9958831831956125E-2</c:v>
                </c:pt>
                <c:pt idx="28">
                  <c:v>2.2138920070025492E-2</c:v>
                </c:pt>
                <c:pt idx="29">
                  <c:v>2.4462954629886013E-2</c:v>
                </c:pt>
                <c:pt idx="30">
                  <c:v>2.6934275456764301E-2</c:v>
                </c:pt>
                <c:pt idx="31">
                  <c:v>2.9556107928232489E-2</c:v>
                </c:pt>
                <c:pt idx="32">
                  <c:v>3.2331563821024867E-2</c:v>
                </c:pt>
                <c:pt idx="33">
                  <c:v>3.5263642277851837E-2</c:v>
                </c:pt>
                <c:pt idx="34">
                  <c:v>3.8355230774216542E-2</c:v>
                </c:pt>
                <c:pt idx="35">
                  <c:v>4.1609106085230385E-2</c:v>
                </c:pt>
                <c:pt idx="36">
                  <c:v>4.5027935252428763E-2</c:v>
                </c:pt>
                <c:pt idx="37">
                  <c:v>4.8614276550586366E-2</c:v>
                </c:pt>
                <c:pt idx="38">
                  <c:v>5.2370580454532689E-2</c:v>
                </c:pt>
                <c:pt idx="39">
                  <c:v>5.6299190605969329E-2</c:v>
                </c:pt>
                <c:pt idx="40">
                  <c:v>6.0402344780282835E-2</c:v>
                </c:pt>
                <c:pt idx="41">
                  <c:v>6.4682175853362667E-2</c:v>
                </c:pt>
                <c:pt idx="42">
                  <c:v>6.9140712768415602E-2</c:v>
                </c:pt>
                <c:pt idx="43">
                  <c:v>7.3779881502782585E-2</c:v>
                </c:pt>
                <c:pt idx="44">
                  <c:v>7.8601506034752688E-2</c:v>
                </c:pt>
                <c:pt idx="45">
                  <c:v>8.3607309310380629E-2</c:v>
                </c:pt>
                <c:pt idx="46">
                  <c:v>8.8798914210300062E-2</c:v>
                </c:pt>
                <c:pt idx="47">
                  <c:v>9.417784451654243E-2</c:v>
                </c:pt>
                <c:pt idx="48">
                  <c:v>9.9745525879349151E-2</c:v>
                </c:pt>
                <c:pt idx="49">
                  <c:v>0.10550328678398979</c:v>
                </c:pt>
                <c:pt idx="50">
                  <c:v>0.11145235951757715</c:v>
                </c:pt>
                <c:pt idx="51">
                  <c:v>0.11759388113588254</c:v>
                </c:pt>
                <c:pt idx="52">
                  <c:v>0.12392889443014998</c:v>
                </c:pt>
                <c:pt idx="53">
                  <c:v>0.13045834889391528</c:v>
                </c:pt>
                <c:pt idx="54">
                  <c:v>0.13718310168981973</c:v>
                </c:pt>
                <c:pt idx="55">
                  <c:v>0.14410391861642413</c:v>
                </c:pt>
                <c:pt idx="56">
                  <c:v>0.15122147507502737</c:v>
                </c:pt>
                <c:pt idx="57">
                  <c:v>0.15853635703648128</c:v>
                </c:pt>
                <c:pt idx="58">
                  <c:v>0.1660490620080044</c:v>
                </c:pt>
                <c:pt idx="59">
                  <c:v>0.17376000000000014</c:v>
                </c:pt>
                <c:pt idx="60">
                  <c:v>0.18166949449287073</c:v>
                </c:pt>
                <c:pt idx="61">
                  <c:v>0.18977778340383433</c:v>
                </c:pt>
                <c:pt idx="62">
                  <c:v>0.19808502005373851</c:v>
                </c:pt>
                <c:pt idx="63">
                  <c:v>0.20659127413387868</c:v>
                </c:pt>
                <c:pt idx="64">
                  <c:v>0.21529653267281113</c:v>
                </c:pt>
                <c:pt idx="65">
                  <c:v>0.22420070100317013</c:v>
                </c:pt>
                <c:pt idx="66">
                  <c:v>0.23330360372848391</c:v>
                </c:pt>
                <c:pt idx="67">
                  <c:v>0.24260498568998856</c:v>
                </c:pt>
                <c:pt idx="68">
                  <c:v>0.2521045129334456</c:v>
                </c:pt>
                <c:pt idx="69">
                  <c:v>0.26180177367595681</c:v>
                </c:pt>
                <c:pt idx="70">
                  <c:v>0.27169627927277951</c:v>
                </c:pt>
                <c:pt idx="71">
                  <c:v>0.28178746518414277</c:v>
                </c:pt>
                <c:pt idx="72">
                  <c:v>0.2920746919420627</c:v>
                </c:pt>
                <c:pt idx="73">
                  <c:v>0.3025572461171584</c:v>
                </c:pt>
                <c:pt idx="74">
                  <c:v>0.31323434128546812</c:v>
                </c:pt>
                <c:pt idx="75">
                  <c:v>0.32410511899526284</c:v>
                </c:pt>
                <c:pt idx="76">
                  <c:v>0.33516864973386484</c:v>
                </c:pt>
                <c:pt idx="77">
                  <c:v>0.34642393389446124</c:v>
                </c:pt>
                <c:pt idx="78">
                  <c:v>0.35786990274291952</c:v>
                </c:pt>
                <c:pt idx="79">
                  <c:v>0.36950541938460546</c:v>
                </c:pt>
                <c:pt idx="80">
                  <c:v>0.38132927973119557</c:v>
                </c:pt>
                <c:pt idx="81">
                  <c:v>0.39334021346749615</c:v>
                </c:pt>
                <c:pt idx="82">
                  <c:v>0.40553688501825569</c:v>
                </c:pt>
                <c:pt idx="83">
                  <c:v>0.41791789451498262</c:v>
                </c:pt>
                <c:pt idx="84">
                  <c:v>0.43048177876276106</c:v>
                </c:pt>
                <c:pt idx="85">
                  <c:v>0.44322701220706451</c:v>
                </c:pt>
                <c:pt idx="86">
                  <c:v>0.45615200790057364</c:v>
                </c:pt>
                <c:pt idx="87">
                  <c:v>0.46925511846999091</c:v>
                </c:pt>
                <c:pt idx="88">
                  <c:v>0.48253463708285582</c:v>
                </c:pt>
                <c:pt idx="89">
                  <c:v>0.49598879841436183</c:v>
                </c:pt>
                <c:pt idx="90">
                  <c:v>0.50961577961417148</c:v>
                </c:pt>
                <c:pt idx="91">
                  <c:v>0.52341370127323095</c:v>
                </c:pt>
                <c:pt idx="92">
                  <c:v>0.5373806283905872</c:v>
                </c:pt>
                <c:pt idx="93">
                  <c:v>0.55151457134020299</c:v>
                </c:pt>
                <c:pt idx="94">
                  <c:v>0.56581348683777233</c:v>
                </c:pt>
                <c:pt idx="95">
                  <c:v>0.58027527890753661</c:v>
                </c:pt>
                <c:pt idx="96">
                  <c:v>0.59489779984909996</c:v>
                </c:pt>
                <c:pt idx="97">
                  <c:v>0.60967885120424492</c:v>
                </c:pt>
                <c:pt idx="98">
                  <c:v>0.62461618472374814</c:v>
                </c:pt>
                <c:pt idx="99">
                  <c:v>0.6397075033341959</c:v>
                </c:pt>
                <c:pt idx="100">
                  <c:v>0.6549504621047999</c:v>
                </c:pt>
                <c:pt idx="101">
                  <c:v>0.67034266921421315</c:v>
                </c:pt>
                <c:pt idx="102">
                  <c:v>0.68588168691734475</c:v>
                </c:pt>
                <c:pt idx="103">
                  <c:v>0.70156503251217672</c:v>
                </c:pt>
                <c:pt idx="104">
                  <c:v>0.71739017930657889</c:v>
                </c:pt>
                <c:pt idx="105">
                  <c:v>0.73335455758512413</c:v>
                </c:pt>
                <c:pt idx="106">
                  <c:v>0.74945555557590582</c:v>
                </c:pt>
                <c:pt idx="107">
                  <c:v>0.76569052041735119</c:v>
                </c:pt>
                <c:pt idx="108">
                  <c:v>0.78205675912503847</c:v>
                </c:pt>
                <c:pt idx="109">
                  <c:v>0.7985515395585121</c:v>
                </c:pt>
                <c:pt idx="110">
                  <c:v>0.81517209138809821</c:v>
                </c:pt>
                <c:pt idx="111">
                  <c:v>0.83191560706172063</c:v>
                </c:pt>
                <c:pt idx="112">
                  <c:v>0.84877924277171612</c:v>
                </c:pt>
                <c:pt idx="113">
                  <c:v>0.86576011942165088</c:v>
                </c:pt>
                <c:pt idx="114">
                  <c:v>0.88285532359313479</c:v>
                </c:pt>
                <c:pt idx="115">
                  <c:v>0.90006190851263823</c:v>
                </c:pt>
                <c:pt idx="116">
                  <c:v>0.91737689501830755</c:v>
                </c:pt>
                <c:pt idx="117">
                  <c:v>0.93479727252677991</c:v>
                </c:pt>
                <c:pt idx="118">
                  <c:v>0.95232000000000017</c:v>
                </c:pt>
                <c:pt idx="119">
                  <c:v>0.96994200691203547</c:v>
                </c:pt>
                <c:pt idx="120">
                  <c:v>0.98766019421589146</c:v>
                </c:pt>
                <c:pt idx="121">
                  <c:v>1.005471435310328</c:v>
                </c:pt>
                <c:pt idx="122">
                  <c:v>1.0233725770066742</c:v>
                </c:pt>
                <c:pt idx="123">
                  <c:v>1.0413604404956449</c:v>
                </c:pt>
                <c:pt idx="124">
                  <c:v>1.0594318223141554</c:v>
                </c:pt>
                <c:pt idx="125">
                  <c:v>1.0775834953121382</c:v>
                </c:pt>
                <c:pt idx="126">
                  <c:v>1.0958122096193574</c:v>
                </c:pt>
                <c:pt idx="127">
                  <c:v>1.1141146936122257</c:v>
                </c:pt>
                <c:pt idx="128">
                  <c:v>1.1324876548806186</c:v>
                </c:pt>
                <c:pt idx="129">
                  <c:v>1.1509277811946914</c:v>
                </c:pt>
                <c:pt idx="130">
                  <c:v>1.1694317414716942</c:v>
                </c:pt>
                <c:pt idx="131">
                  <c:v>1.1879961867427871</c:v>
                </c:pt>
                <c:pt idx="132">
                  <c:v>1.206617751119857</c:v>
                </c:pt>
                <c:pt idx="133">
                  <c:v>1.225293052762332</c:v>
                </c:pt>
                <c:pt idx="134">
                  <c:v>1.244018694843998</c:v>
                </c:pt>
                <c:pt idx="135">
                  <c:v>1.262791266519814</c:v>
                </c:pt>
                <c:pt idx="136">
                  <c:v>1.2816073438927276</c:v>
                </c:pt>
                <c:pt idx="137">
                  <c:v>1.3004634909804909</c:v>
                </c:pt>
                <c:pt idx="138">
                  <c:v>1.3193562606824758</c:v>
                </c:pt>
                <c:pt idx="139">
                  <c:v>1.3382821957464901</c:v>
                </c:pt>
                <c:pt idx="140">
                  <c:v>1.3572378297355931</c:v>
                </c:pt>
                <c:pt idx="141">
                  <c:v>1.3762196879949107</c:v>
                </c:pt>
                <c:pt idx="142">
                  <c:v>1.3952242886184518</c:v>
                </c:pt>
                <c:pt idx="143">
                  <c:v>1.4142481434159231</c:v>
                </c:pt>
                <c:pt idx="144">
                  <c:v>1.4332877588795458</c:v>
                </c:pt>
                <c:pt idx="145">
                  <c:v>1.4523396371508697</c:v>
                </c:pt>
                <c:pt idx="146">
                  <c:v>1.4714002769875918</c:v>
                </c:pt>
                <c:pt idx="147">
                  <c:v>1.490466174730368</c:v>
                </c:pt>
                <c:pt idx="148">
                  <c:v>1.5095338252696318</c:v>
                </c:pt>
                <c:pt idx="149">
                  <c:v>1.5285997230124082</c:v>
                </c:pt>
                <c:pt idx="150">
                  <c:v>1.5476603628491299</c:v>
                </c:pt>
                <c:pt idx="151">
                  <c:v>1.5667122411204548</c:v>
                </c:pt>
                <c:pt idx="152">
                  <c:v>1.5857518565840771</c:v>
                </c:pt>
                <c:pt idx="153">
                  <c:v>1.6047757113815488</c:v>
                </c:pt>
                <c:pt idx="154">
                  <c:v>1.6237803120050895</c:v>
                </c:pt>
                <c:pt idx="155">
                  <c:v>1.6427621702644075</c:v>
                </c:pt>
                <c:pt idx="156">
                  <c:v>1.6617178042535101</c:v>
                </c:pt>
                <c:pt idx="157">
                  <c:v>1.6806437393175249</c:v>
                </c:pt>
                <c:pt idx="158">
                  <c:v>1.6995365090195094</c:v>
                </c:pt>
                <c:pt idx="159">
                  <c:v>1.7183926561072731</c:v>
                </c:pt>
                <c:pt idx="160">
                  <c:v>1.7372087334801862</c:v>
                </c:pt>
                <c:pt idx="161">
                  <c:v>1.7559813051560025</c:v>
                </c:pt>
                <c:pt idx="162">
                  <c:v>1.7747069472376684</c:v>
                </c:pt>
                <c:pt idx="163">
                  <c:v>1.7933822488801436</c:v>
                </c:pt>
                <c:pt idx="164">
                  <c:v>1.8120038132572132</c:v>
                </c:pt>
                <c:pt idx="165">
                  <c:v>1.8305682585283063</c:v>
                </c:pt>
                <c:pt idx="166">
                  <c:v>1.8490722188053088</c:v>
                </c:pt>
                <c:pt idx="167">
                  <c:v>1.867512345119382</c:v>
                </c:pt>
                <c:pt idx="168">
                  <c:v>1.8858853063877747</c:v>
                </c:pt>
                <c:pt idx="169">
                  <c:v>1.9041877903806432</c:v>
                </c:pt>
                <c:pt idx="170">
                  <c:v>1.9224165046878623</c:v>
                </c:pt>
                <c:pt idx="171">
                  <c:v>1.9405681776858452</c:v>
                </c:pt>
                <c:pt idx="172">
                  <c:v>1.9586395595043555</c:v>
                </c:pt>
                <c:pt idx="173">
                  <c:v>1.9766274229933263</c:v>
                </c:pt>
                <c:pt idx="174">
                  <c:v>1.9945285646896729</c:v>
                </c:pt>
                <c:pt idx="175">
                  <c:v>2.0123398057841091</c:v>
                </c:pt>
                <c:pt idx="176">
                  <c:v>2.030057993087965</c:v>
                </c:pt>
                <c:pt idx="177">
                  <c:v>2.0476799999999997</c:v>
                </c:pt>
                <c:pt idx="178">
                  <c:v>2.0652027274732205</c:v>
                </c:pt>
                <c:pt idx="179">
                  <c:v>2.0826231049816926</c:v>
                </c:pt>
                <c:pt idx="180">
                  <c:v>2.099938091487362</c:v>
                </c:pt>
                <c:pt idx="181">
                  <c:v>2.1171446764068653</c:v>
                </c:pt>
                <c:pt idx="182">
                  <c:v>2.1342398805783493</c:v>
                </c:pt>
                <c:pt idx="183">
                  <c:v>2.151220757228284</c:v>
                </c:pt>
                <c:pt idx="184">
                  <c:v>2.1680843929382796</c:v>
                </c:pt>
                <c:pt idx="185">
                  <c:v>2.1848279086119016</c:v>
                </c:pt>
                <c:pt idx="186">
                  <c:v>2.2014484604414881</c:v>
                </c:pt>
                <c:pt idx="187">
                  <c:v>2.2179432408749618</c:v>
                </c:pt>
                <c:pt idx="188">
                  <c:v>2.2343094795826492</c:v>
                </c:pt>
                <c:pt idx="189">
                  <c:v>2.2505444444240941</c:v>
                </c:pt>
                <c:pt idx="190">
                  <c:v>2.2666454424148763</c:v>
                </c:pt>
                <c:pt idx="191">
                  <c:v>2.2826098206934216</c:v>
                </c:pt>
                <c:pt idx="192">
                  <c:v>2.2984349674878239</c:v>
                </c:pt>
                <c:pt idx="193">
                  <c:v>2.3141183130826555</c:v>
                </c:pt>
                <c:pt idx="194">
                  <c:v>2.3296573307857873</c:v>
                </c:pt>
                <c:pt idx="195">
                  <c:v>2.3450495378952003</c:v>
                </c:pt>
                <c:pt idx="196">
                  <c:v>2.3602924966658048</c:v>
                </c:pt>
                <c:pt idx="197">
                  <c:v>2.3753838152762521</c:v>
                </c:pt>
                <c:pt idx="198">
                  <c:v>2.3903211487957554</c:v>
                </c:pt>
                <c:pt idx="199">
                  <c:v>2.4051022001509006</c:v>
                </c:pt>
                <c:pt idx="200">
                  <c:v>2.4197247210924639</c:v>
                </c:pt>
                <c:pt idx="201">
                  <c:v>2.4341865131622278</c:v>
                </c:pt>
                <c:pt idx="202">
                  <c:v>2.4484854286597977</c:v>
                </c:pt>
                <c:pt idx="203">
                  <c:v>2.4626193716094127</c:v>
                </c:pt>
                <c:pt idx="204">
                  <c:v>2.4765862987267697</c:v>
                </c:pt>
                <c:pt idx="205">
                  <c:v>2.4903842203858289</c:v>
                </c:pt>
                <c:pt idx="206">
                  <c:v>2.5040112015856382</c:v>
                </c:pt>
                <c:pt idx="207">
                  <c:v>2.5174653629171448</c:v>
                </c:pt>
                <c:pt idx="208">
                  <c:v>2.5307448815300098</c:v>
                </c:pt>
                <c:pt idx="209">
                  <c:v>2.5438479920994266</c:v>
                </c:pt>
                <c:pt idx="210">
                  <c:v>2.5567729877929355</c:v>
                </c:pt>
                <c:pt idx="211">
                  <c:v>2.5695182212372392</c:v>
                </c:pt>
                <c:pt idx="212">
                  <c:v>2.5820821054850174</c:v>
                </c:pt>
                <c:pt idx="213">
                  <c:v>2.5944631149817443</c:v>
                </c:pt>
                <c:pt idx="214">
                  <c:v>2.6066597865325036</c:v>
                </c:pt>
                <c:pt idx="215">
                  <c:v>2.6186707202688044</c:v>
                </c:pt>
                <c:pt idx="216">
                  <c:v>2.6304945806153945</c:v>
                </c:pt>
                <c:pt idx="217">
                  <c:v>2.6421300972570805</c:v>
                </c:pt>
                <c:pt idx="218">
                  <c:v>2.653576066105539</c:v>
                </c:pt>
                <c:pt idx="219">
                  <c:v>2.6648313502661352</c:v>
                </c:pt>
                <c:pt idx="220">
                  <c:v>2.6758948810047372</c:v>
                </c:pt>
                <c:pt idx="221">
                  <c:v>2.6867656587145321</c:v>
                </c:pt>
                <c:pt idx="222">
                  <c:v>2.6974427538828416</c:v>
                </c:pt>
                <c:pt idx="223">
                  <c:v>2.7079253080579377</c:v>
                </c:pt>
                <c:pt idx="224">
                  <c:v>2.7182125348158577</c:v>
                </c:pt>
                <c:pt idx="225">
                  <c:v>2.7283037207272205</c:v>
                </c:pt>
                <c:pt idx="226">
                  <c:v>2.7381982263240436</c:v>
                </c:pt>
                <c:pt idx="227">
                  <c:v>2.7478954870665548</c:v>
                </c:pt>
                <c:pt idx="228">
                  <c:v>2.7573950143100117</c:v>
                </c:pt>
                <c:pt idx="229">
                  <c:v>2.7666963962715165</c:v>
                </c:pt>
                <c:pt idx="230">
                  <c:v>2.7757992989968301</c:v>
                </c:pt>
                <c:pt idx="231">
                  <c:v>2.7847034673271889</c:v>
                </c:pt>
                <c:pt idx="232">
                  <c:v>2.7934087258661213</c:v>
                </c:pt>
                <c:pt idx="233">
                  <c:v>2.8019149799462619</c:v>
                </c:pt>
                <c:pt idx="234">
                  <c:v>2.8102222165961659</c:v>
                </c:pt>
                <c:pt idx="235">
                  <c:v>2.8183305055071295</c:v>
                </c:pt>
                <c:pt idx="236">
                  <c:v>2.8262400000000003</c:v>
                </c:pt>
                <c:pt idx="237">
                  <c:v>2.8339509379919958</c:v>
                </c:pt>
                <c:pt idx="238">
                  <c:v>2.8414636429635189</c:v>
                </c:pt>
                <c:pt idx="239">
                  <c:v>2.8487785249249726</c:v>
                </c:pt>
                <c:pt idx="240">
                  <c:v>2.8558960813835759</c:v>
                </c:pt>
                <c:pt idx="241">
                  <c:v>2.8628168983101805</c:v>
                </c:pt>
                <c:pt idx="242">
                  <c:v>2.8695416511060845</c:v>
                </c:pt>
                <c:pt idx="243">
                  <c:v>2.8760711055698502</c:v>
                </c:pt>
                <c:pt idx="244">
                  <c:v>2.8824061188641177</c:v>
                </c:pt>
                <c:pt idx="245">
                  <c:v>2.8885476404824226</c:v>
                </c:pt>
                <c:pt idx="246">
                  <c:v>2.89449671321601</c:v>
                </c:pt>
                <c:pt idx="247">
                  <c:v>2.9002544741206506</c:v>
                </c:pt>
                <c:pt idx="248">
                  <c:v>2.9058221554834578</c:v>
                </c:pt>
                <c:pt idx="249">
                  <c:v>2.9112010857896999</c:v>
                </c:pt>
                <c:pt idx="250">
                  <c:v>2.9163926906896194</c:v>
                </c:pt>
                <c:pt idx="251">
                  <c:v>2.9213984939652473</c:v>
                </c:pt>
                <c:pt idx="252">
                  <c:v>2.9262201184972172</c:v>
                </c:pt>
                <c:pt idx="253">
                  <c:v>2.9308592872315842</c:v>
                </c:pt>
                <c:pt idx="254">
                  <c:v>2.9353178241466376</c:v>
                </c:pt>
                <c:pt idx="255">
                  <c:v>2.9395976552197172</c:v>
                </c:pt>
                <c:pt idx="256">
                  <c:v>2.9437008093940307</c:v>
                </c:pt>
                <c:pt idx="257">
                  <c:v>2.9476294195454673</c:v>
                </c:pt>
                <c:pt idx="258">
                  <c:v>2.9513857234494139</c:v>
                </c:pt>
                <c:pt idx="259">
                  <c:v>2.9549720647475715</c:v>
                </c:pt>
                <c:pt idx="260">
                  <c:v>2.9583908939147694</c:v>
                </c:pt>
                <c:pt idx="261">
                  <c:v>2.9616447692257832</c:v>
                </c:pt>
                <c:pt idx="262">
                  <c:v>2.9647363577221482</c:v>
                </c:pt>
                <c:pt idx="263">
                  <c:v>2.9676684361789754</c:v>
                </c:pt>
                <c:pt idx="264">
                  <c:v>2.9704438920717675</c:v>
                </c:pt>
                <c:pt idx="265">
                  <c:v>2.9730657245432361</c:v>
                </c:pt>
                <c:pt idx="266">
                  <c:v>2.9755370453701144</c:v>
                </c:pt>
                <c:pt idx="267">
                  <c:v>2.9778610799299745</c:v>
                </c:pt>
                <c:pt idx="268">
                  <c:v>2.9800411681680439</c:v>
                </c:pt>
                <c:pt idx="269">
                  <c:v>2.9820807655640196</c:v>
                </c:pt>
                <c:pt idx="270">
                  <c:v>2.9839834440988833</c:v>
                </c:pt>
                <c:pt idx="271">
                  <c:v>2.9857528932217203</c:v>
                </c:pt>
                <c:pt idx="272">
                  <c:v>2.98739292081653</c:v>
                </c:pt>
                <c:pt idx="273">
                  <c:v>2.9889074541690461</c:v>
                </c:pt>
                <c:pt idx="274">
                  <c:v>2.9903005409335512</c:v>
                </c:pt>
                <c:pt idx="275">
                  <c:v>2.9915763500996908</c:v>
                </c:pt>
                <c:pt idx="276">
                  <c:v>2.9927391729592898</c:v>
                </c:pt>
                <c:pt idx="277">
                  <c:v>2.9937934240731687</c:v>
                </c:pt>
                <c:pt idx="278">
                  <c:v>2.9947436422379594</c:v>
                </c:pt>
                <c:pt idx="279">
                  <c:v>2.9955944914529198</c:v>
                </c:pt>
                <c:pt idx="280">
                  <c:v>2.9963507618867489</c:v>
                </c:pt>
                <c:pt idx="281">
                  <c:v>2.9970173708444059</c:v>
                </c:pt>
                <c:pt idx="282">
                  <c:v>2.9975993637339218</c:v>
                </c:pt>
                <c:pt idx="283">
                  <c:v>2.9981019150332164</c:v>
                </c:pt>
                <c:pt idx="284">
                  <c:v>2.9985303292569165</c:v>
                </c:pt>
                <c:pt idx="285">
                  <c:v>2.9988900419231657</c:v>
                </c:pt>
                <c:pt idx="286">
                  <c:v>2.9991866205204474</c:v>
                </c:pt>
                <c:pt idx="287">
                  <c:v>2.9994257654743945</c:v>
                </c:pt>
                <c:pt idx="288">
                  <c:v>2.9996133111146079</c:v>
                </c:pt>
                <c:pt idx="289">
                  <c:v>2.9997552266414713</c:v>
                </c:pt>
                <c:pt idx="290">
                  <c:v>2.9998576170929674</c:v>
                </c:pt>
                <c:pt idx="291">
                  <c:v>2.9999267243114929</c:v>
                </c:pt>
                <c:pt idx="292">
                  <c:v>2.9999689279106736</c:v>
                </c:pt>
                <c:pt idx="293">
                  <c:v>2.9999907462421835</c:v>
                </c:pt>
                <c:pt idx="294">
                  <c:v>2.9999988373625555</c:v>
                </c:pt>
                <c:pt idx="295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FB-4FD6-ACA7-26AB903E9EED}"/>
            </c:ext>
          </c:extLst>
        </c:ser>
        <c:ser>
          <c:idx val="0"/>
          <c:order val="1"/>
          <c:tx>
            <c:v>opti poly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[0]!optipoly.q</c:f>
              <c:numCache>
                <c:formatCode>0.00000</c:formatCode>
                <c:ptCount val="296"/>
                <c:pt idx="0">
                  <c:v>0</c:v>
                </c:pt>
                <c:pt idx="1">
                  <c:v>1.1626374445405929E-6</c:v>
                </c:pt>
                <c:pt idx="2">
                  <c:v>9.2537578164630929E-6</c:v>
                </c:pt>
                <c:pt idx="3">
                  <c:v>3.1072089326178443E-5</c:v>
                </c:pt>
                <c:pt idx="4">
                  <c:v>7.3275688507568049E-5</c:v>
                </c:pt>
                <c:pt idx="5">
                  <c:v>1.4238290703283418E-4</c:v>
                </c:pt>
                <c:pt idx="6">
                  <c:v>2.4477335852868265E-4</c:v>
                </c:pt>
                <c:pt idx="7">
                  <c:v>3.8668888539206137E-4</c:v>
                </c:pt>
                <c:pt idx="8">
                  <c:v>5.7423452560545485E-4</c:v>
                </c:pt>
                <c:pt idx="9">
                  <c:v>8.1337947955240075E-4</c:v>
                </c:pt>
                <c:pt idx="10">
                  <c:v>1.1099580768338946E-3</c:v>
                </c:pt>
                <c:pt idx="11">
                  <c:v>1.4696707430839062E-3</c:v>
                </c:pt>
                <c:pt idx="12">
                  <c:v>1.8980849667833422E-3</c:v>
                </c:pt>
                <c:pt idx="13">
                  <c:v>2.4006362660782266E-3</c:v>
                </c:pt>
                <c:pt idx="14">
                  <c:v>2.9826291555941076E-3</c:v>
                </c:pt>
                <c:pt idx="15">
                  <c:v>3.6492381132509077E-3</c:v>
                </c:pt>
                <c:pt idx="16">
                  <c:v>4.405508547080661E-3</c:v>
                </c:pt>
                <c:pt idx="17">
                  <c:v>5.2563577620403645E-3</c:v>
                </c:pt>
                <c:pt idx="18">
                  <c:v>6.2065759268310483E-3</c:v>
                </c:pt>
                <c:pt idx="19">
                  <c:v>7.2608270407101827E-3</c:v>
                </c:pt>
                <c:pt idx="20">
                  <c:v>8.4236499003091936E-3</c:v>
                </c:pt>
                <c:pt idx="21">
                  <c:v>9.6994590664485347E-3</c:v>
                </c:pt>
                <c:pt idx="22">
                  <c:v>1.109254583095387E-2</c:v>
                </c:pt>
                <c:pt idx="23">
                  <c:v>1.260707918347026E-2</c:v>
                </c:pt>
                <c:pt idx="24">
                  <c:v>1.4247106778279894E-2</c:v>
                </c:pt>
                <c:pt idx="25">
                  <c:v>1.6016555901116503E-2</c:v>
                </c:pt>
                <c:pt idx="26">
                  <c:v>1.7919234435980425E-2</c:v>
                </c:pt>
                <c:pt idx="27">
                  <c:v>1.9958831831955903E-2</c:v>
                </c:pt>
                <c:pt idx="28">
                  <c:v>2.2138920070025492E-2</c:v>
                </c:pt>
                <c:pt idx="29">
                  <c:v>2.4462954629886013E-2</c:v>
                </c:pt>
                <c:pt idx="30">
                  <c:v>2.6934275456764079E-2</c:v>
                </c:pt>
                <c:pt idx="31">
                  <c:v>2.9556107928232489E-2</c:v>
                </c:pt>
                <c:pt idx="32">
                  <c:v>3.2331563821024867E-2</c:v>
                </c:pt>
                <c:pt idx="33">
                  <c:v>3.5263642277851837E-2</c:v>
                </c:pt>
                <c:pt idx="34">
                  <c:v>3.8355230774216542E-2</c:v>
                </c:pt>
                <c:pt idx="35">
                  <c:v>4.1609106085230385E-2</c:v>
                </c:pt>
                <c:pt idx="36">
                  <c:v>4.5027935252428763E-2</c:v>
                </c:pt>
                <c:pt idx="37">
                  <c:v>4.8614276550586366E-2</c:v>
                </c:pt>
                <c:pt idx="38">
                  <c:v>5.2370580454532689E-2</c:v>
                </c:pt>
                <c:pt idx="39">
                  <c:v>5.6299190605969329E-2</c:v>
                </c:pt>
                <c:pt idx="40">
                  <c:v>6.0402344780282835E-2</c:v>
                </c:pt>
                <c:pt idx="41">
                  <c:v>6.4682175853362667E-2</c:v>
                </c:pt>
                <c:pt idx="42">
                  <c:v>6.9140712768415602E-2</c:v>
                </c:pt>
                <c:pt idx="43">
                  <c:v>7.3779881502782807E-2</c:v>
                </c:pt>
                <c:pt idx="44">
                  <c:v>7.8601506034752688E-2</c:v>
                </c:pt>
                <c:pt idx="45">
                  <c:v>8.3607309310380629E-2</c:v>
                </c:pt>
                <c:pt idx="46">
                  <c:v>8.8798914210300062E-2</c:v>
                </c:pt>
                <c:pt idx="47">
                  <c:v>9.417784451654243E-2</c:v>
                </c:pt>
                <c:pt idx="48">
                  <c:v>9.9745525879349151E-2</c:v>
                </c:pt>
                <c:pt idx="49">
                  <c:v>0.10550328678399024</c:v>
                </c:pt>
                <c:pt idx="50">
                  <c:v>0.11145235951757715</c:v>
                </c:pt>
                <c:pt idx="51">
                  <c:v>0.11759388113588232</c:v>
                </c:pt>
                <c:pt idx="52">
                  <c:v>0.12392889443014998</c:v>
                </c:pt>
                <c:pt idx="53">
                  <c:v>0.13045834889391572</c:v>
                </c:pt>
                <c:pt idx="54">
                  <c:v>0.13718310168981973</c:v>
                </c:pt>
                <c:pt idx="55">
                  <c:v>0.14410391861642413</c:v>
                </c:pt>
                <c:pt idx="56">
                  <c:v>0.15122147507502737</c:v>
                </c:pt>
                <c:pt idx="57">
                  <c:v>0.15853635703648128</c:v>
                </c:pt>
                <c:pt idx="58">
                  <c:v>0.1660490620080044</c:v>
                </c:pt>
                <c:pt idx="59">
                  <c:v>0.17376000000000014</c:v>
                </c:pt>
                <c:pt idx="60">
                  <c:v>0.18166949449287073</c:v>
                </c:pt>
                <c:pt idx="61">
                  <c:v>0.18977778340383433</c:v>
                </c:pt>
                <c:pt idx="62">
                  <c:v>0.19808502005373851</c:v>
                </c:pt>
                <c:pt idx="63">
                  <c:v>0.20659127413387868</c:v>
                </c:pt>
                <c:pt idx="64">
                  <c:v>0.21529653267281113</c:v>
                </c:pt>
                <c:pt idx="65">
                  <c:v>0.22420070100317013</c:v>
                </c:pt>
                <c:pt idx="66">
                  <c:v>0.23330360372848391</c:v>
                </c:pt>
                <c:pt idx="67">
                  <c:v>0.24260498568998856</c:v>
                </c:pt>
                <c:pt idx="68">
                  <c:v>0.2521045129334456</c:v>
                </c:pt>
                <c:pt idx="69">
                  <c:v>0.26180177367595681</c:v>
                </c:pt>
                <c:pt idx="70">
                  <c:v>0.27169627927277951</c:v>
                </c:pt>
                <c:pt idx="71">
                  <c:v>0.28178746518414277</c:v>
                </c:pt>
                <c:pt idx="72">
                  <c:v>0.2920746919420627</c:v>
                </c:pt>
                <c:pt idx="73">
                  <c:v>0.3025572461171584</c:v>
                </c:pt>
                <c:pt idx="74">
                  <c:v>0.31323434128546812</c:v>
                </c:pt>
                <c:pt idx="75">
                  <c:v>0.32410511899526284</c:v>
                </c:pt>
                <c:pt idx="76">
                  <c:v>0.33516864973386484</c:v>
                </c:pt>
                <c:pt idx="77">
                  <c:v>0.34642393389446124</c:v>
                </c:pt>
                <c:pt idx="78">
                  <c:v>0.35786990274291952</c:v>
                </c:pt>
                <c:pt idx="79">
                  <c:v>0.36950541938460546</c:v>
                </c:pt>
                <c:pt idx="80">
                  <c:v>0.38132927973119557</c:v>
                </c:pt>
                <c:pt idx="81">
                  <c:v>0.39334021346749615</c:v>
                </c:pt>
                <c:pt idx="82">
                  <c:v>0.40553688501825569</c:v>
                </c:pt>
                <c:pt idx="83">
                  <c:v>0.41791789451498262</c:v>
                </c:pt>
                <c:pt idx="84">
                  <c:v>0.43048177876276106</c:v>
                </c:pt>
                <c:pt idx="85">
                  <c:v>0.44322701220706451</c:v>
                </c:pt>
                <c:pt idx="86">
                  <c:v>0.45615200790057364</c:v>
                </c:pt>
                <c:pt idx="87">
                  <c:v>0.46925511846999091</c:v>
                </c:pt>
                <c:pt idx="88">
                  <c:v>0.48253463708285582</c:v>
                </c:pt>
                <c:pt idx="89">
                  <c:v>0.49598879841436183</c:v>
                </c:pt>
                <c:pt idx="90">
                  <c:v>0.50961577961417148</c:v>
                </c:pt>
                <c:pt idx="91">
                  <c:v>0.52341370127323095</c:v>
                </c:pt>
                <c:pt idx="92">
                  <c:v>0.5373806283905872</c:v>
                </c:pt>
                <c:pt idx="93">
                  <c:v>0.55151457134020299</c:v>
                </c:pt>
                <c:pt idx="94">
                  <c:v>0.56581348683777233</c:v>
                </c:pt>
                <c:pt idx="95">
                  <c:v>0.58027527890753661</c:v>
                </c:pt>
                <c:pt idx="96">
                  <c:v>0.59489779984909996</c:v>
                </c:pt>
                <c:pt idx="97">
                  <c:v>0.60967885120424492</c:v>
                </c:pt>
                <c:pt idx="98">
                  <c:v>0.62461618472374814</c:v>
                </c:pt>
                <c:pt idx="99">
                  <c:v>0.6397075033341959</c:v>
                </c:pt>
                <c:pt idx="100">
                  <c:v>0.6549504621047999</c:v>
                </c:pt>
                <c:pt idx="101">
                  <c:v>0.67034266921421315</c:v>
                </c:pt>
                <c:pt idx="102">
                  <c:v>0.68588168691734475</c:v>
                </c:pt>
                <c:pt idx="103">
                  <c:v>0.70156503251217672</c:v>
                </c:pt>
                <c:pt idx="104">
                  <c:v>0.71739017930657889</c:v>
                </c:pt>
                <c:pt idx="105">
                  <c:v>0.73335455758512413</c:v>
                </c:pt>
                <c:pt idx="106">
                  <c:v>0.74945555557590582</c:v>
                </c:pt>
                <c:pt idx="107">
                  <c:v>0.76569052041735119</c:v>
                </c:pt>
                <c:pt idx="108">
                  <c:v>0.78205675912503847</c:v>
                </c:pt>
                <c:pt idx="109">
                  <c:v>0.7985515395585121</c:v>
                </c:pt>
                <c:pt idx="110">
                  <c:v>0.81517209138809821</c:v>
                </c:pt>
                <c:pt idx="111">
                  <c:v>0.83191560706172063</c:v>
                </c:pt>
                <c:pt idx="112">
                  <c:v>0.84877924277171612</c:v>
                </c:pt>
                <c:pt idx="113">
                  <c:v>0.86576011942165088</c:v>
                </c:pt>
                <c:pt idx="114">
                  <c:v>0.88285532359313479</c:v>
                </c:pt>
                <c:pt idx="115">
                  <c:v>0.90006190851263823</c:v>
                </c:pt>
                <c:pt idx="116">
                  <c:v>0.91737689501830755</c:v>
                </c:pt>
                <c:pt idx="117">
                  <c:v>0.93479727252677991</c:v>
                </c:pt>
                <c:pt idx="118">
                  <c:v>0.95232000000000017</c:v>
                </c:pt>
                <c:pt idx="119">
                  <c:v>0.96994200691203547</c:v>
                </c:pt>
                <c:pt idx="120">
                  <c:v>0.98766019421589146</c:v>
                </c:pt>
                <c:pt idx="121">
                  <c:v>1.005471435310328</c:v>
                </c:pt>
                <c:pt idx="122">
                  <c:v>1.0233725770066742</c:v>
                </c:pt>
                <c:pt idx="123">
                  <c:v>1.0413604404956449</c:v>
                </c:pt>
                <c:pt idx="124">
                  <c:v>1.0594318223141554</c:v>
                </c:pt>
                <c:pt idx="125">
                  <c:v>1.0775834953121382</c:v>
                </c:pt>
                <c:pt idx="126">
                  <c:v>1.0958122096193574</c:v>
                </c:pt>
                <c:pt idx="127">
                  <c:v>1.1141146936122257</c:v>
                </c:pt>
                <c:pt idx="128">
                  <c:v>1.1324876548806186</c:v>
                </c:pt>
                <c:pt idx="129">
                  <c:v>1.1509277811946914</c:v>
                </c:pt>
                <c:pt idx="130">
                  <c:v>1.1694317414716942</c:v>
                </c:pt>
                <c:pt idx="131">
                  <c:v>1.1879961867427871</c:v>
                </c:pt>
                <c:pt idx="132">
                  <c:v>1.206617751119857</c:v>
                </c:pt>
                <c:pt idx="133">
                  <c:v>1.225293052762332</c:v>
                </c:pt>
                <c:pt idx="134">
                  <c:v>1.244018694843998</c:v>
                </c:pt>
                <c:pt idx="135">
                  <c:v>1.262791266519814</c:v>
                </c:pt>
                <c:pt idx="136">
                  <c:v>1.2816073438927276</c:v>
                </c:pt>
                <c:pt idx="137">
                  <c:v>1.3004634909804909</c:v>
                </c:pt>
                <c:pt idx="138">
                  <c:v>1.3193562606824758</c:v>
                </c:pt>
                <c:pt idx="139">
                  <c:v>1.3382821957464901</c:v>
                </c:pt>
                <c:pt idx="140">
                  <c:v>1.3572378297355931</c:v>
                </c:pt>
                <c:pt idx="141">
                  <c:v>1.3762196879949107</c:v>
                </c:pt>
                <c:pt idx="142">
                  <c:v>1.3952242886184518</c:v>
                </c:pt>
                <c:pt idx="143">
                  <c:v>1.4142481434159231</c:v>
                </c:pt>
                <c:pt idx="144">
                  <c:v>1.4332877588795458</c:v>
                </c:pt>
                <c:pt idx="145">
                  <c:v>1.4523396371508697</c:v>
                </c:pt>
                <c:pt idx="146">
                  <c:v>1.4714002769875918</c:v>
                </c:pt>
                <c:pt idx="147">
                  <c:v>1.490466174730368</c:v>
                </c:pt>
                <c:pt idx="148">
                  <c:v>1.5095338252696318</c:v>
                </c:pt>
                <c:pt idx="149">
                  <c:v>1.5285997230124082</c:v>
                </c:pt>
                <c:pt idx="150">
                  <c:v>1.5476603628491299</c:v>
                </c:pt>
                <c:pt idx="151">
                  <c:v>1.5667122411204548</c:v>
                </c:pt>
                <c:pt idx="152">
                  <c:v>1.5857518565840771</c:v>
                </c:pt>
                <c:pt idx="153">
                  <c:v>1.6047757113815488</c:v>
                </c:pt>
                <c:pt idx="154">
                  <c:v>1.6237803120050895</c:v>
                </c:pt>
                <c:pt idx="155">
                  <c:v>1.6427621702644075</c:v>
                </c:pt>
                <c:pt idx="156">
                  <c:v>1.6617178042535101</c:v>
                </c:pt>
                <c:pt idx="157">
                  <c:v>1.6806437393175249</c:v>
                </c:pt>
                <c:pt idx="158">
                  <c:v>1.6995365090195094</c:v>
                </c:pt>
                <c:pt idx="159">
                  <c:v>1.7183926561072731</c:v>
                </c:pt>
                <c:pt idx="160">
                  <c:v>1.7372087334801862</c:v>
                </c:pt>
                <c:pt idx="161">
                  <c:v>1.7559813051560025</c:v>
                </c:pt>
                <c:pt idx="162">
                  <c:v>1.7747069472376684</c:v>
                </c:pt>
                <c:pt idx="163">
                  <c:v>1.7933822488801436</c:v>
                </c:pt>
                <c:pt idx="164">
                  <c:v>1.8120038132572132</c:v>
                </c:pt>
                <c:pt idx="165">
                  <c:v>1.8305682585283063</c:v>
                </c:pt>
                <c:pt idx="166">
                  <c:v>1.8490722188053088</c:v>
                </c:pt>
                <c:pt idx="167">
                  <c:v>1.867512345119382</c:v>
                </c:pt>
                <c:pt idx="168">
                  <c:v>1.8858853063877747</c:v>
                </c:pt>
                <c:pt idx="169">
                  <c:v>1.9041877903806432</c:v>
                </c:pt>
                <c:pt idx="170">
                  <c:v>1.9224165046878623</c:v>
                </c:pt>
                <c:pt idx="171">
                  <c:v>1.9405681776858452</c:v>
                </c:pt>
                <c:pt idx="172">
                  <c:v>1.9586395595043555</c:v>
                </c:pt>
                <c:pt idx="173">
                  <c:v>1.9766274229933263</c:v>
                </c:pt>
                <c:pt idx="174">
                  <c:v>1.9945285646896729</c:v>
                </c:pt>
                <c:pt idx="175">
                  <c:v>2.0123398057841091</c:v>
                </c:pt>
                <c:pt idx="176">
                  <c:v>2.030057993087965</c:v>
                </c:pt>
                <c:pt idx="177">
                  <c:v>2.0476799999999997</c:v>
                </c:pt>
                <c:pt idx="178">
                  <c:v>2.0652027274732205</c:v>
                </c:pt>
                <c:pt idx="179">
                  <c:v>2.0826231049816926</c:v>
                </c:pt>
                <c:pt idx="180">
                  <c:v>2.099938091487362</c:v>
                </c:pt>
                <c:pt idx="181">
                  <c:v>2.1171446764068653</c:v>
                </c:pt>
                <c:pt idx="182">
                  <c:v>2.1342398805783493</c:v>
                </c:pt>
                <c:pt idx="183">
                  <c:v>2.151220757228284</c:v>
                </c:pt>
                <c:pt idx="184">
                  <c:v>2.1680843929382796</c:v>
                </c:pt>
                <c:pt idx="185">
                  <c:v>2.1848279086119016</c:v>
                </c:pt>
                <c:pt idx="186">
                  <c:v>2.2014484604414881</c:v>
                </c:pt>
                <c:pt idx="187">
                  <c:v>2.2179432408749618</c:v>
                </c:pt>
                <c:pt idx="188">
                  <c:v>2.2343094795826492</c:v>
                </c:pt>
                <c:pt idx="189">
                  <c:v>2.2505444444240941</c:v>
                </c:pt>
                <c:pt idx="190">
                  <c:v>2.2666454424148763</c:v>
                </c:pt>
                <c:pt idx="191">
                  <c:v>2.2826098206934216</c:v>
                </c:pt>
                <c:pt idx="192">
                  <c:v>2.2984349674878239</c:v>
                </c:pt>
                <c:pt idx="193">
                  <c:v>2.3141183130826555</c:v>
                </c:pt>
                <c:pt idx="194">
                  <c:v>2.3296573307857873</c:v>
                </c:pt>
                <c:pt idx="195">
                  <c:v>2.3450495378952003</c:v>
                </c:pt>
                <c:pt idx="196">
                  <c:v>2.3602924966658048</c:v>
                </c:pt>
                <c:pt idx="197">
                  <c:v>2.3753838152762521</c:v>
                </c:pt>
                <c:pt idx="198">
                  <c:v>2.3903211487957554</c:v>
                </c:pt>
                <c:pt idx="199">
                  <c:v>2.4051022001509006</c:v>
                </c:pt>
                <c:pt idx="200">
                  <c:v>2.4197247210924639</c:v>
                </c:pt>
                <c:pt idx="201">
                  <c:v>2.4341865131622278</c:v>
                </c:pt>
                <c:pt idx="202">
                  <c:v>2.4484854286597977</c:v>
                </c:pt>
                <c:pt idx="203">
                  <c:v>2.4626193716094127</c:v>
                </c:pt>
                <c:pt idx="204">
                  <c:v>2.4765862987267697</c:v>
                </c:pt>
                <c:pt idx="205">
                  <c:v>2.4903842203858289</c:v>
                </c:pt>
                <c:pt idx="206">
                  <c:v>2.5040112015856382</c:v>
                </c:pt>
                <c:pt idx="207">
                  <c:v>2.5174653629171448</c:v>
                </c:pt>
                <c:pt idx="208">
                  <c:v>2.5307448815300098</c:v>
                </c:pt>
                <c:pt idx="209">
                  <c:v>2.5438479920994266</c:v>
                </c:pt>
                <c:pt idx="210">
                  <c:v>2.5567729877929355</c:v>
                </c:pt>
                <c:pt idx="211">
                  <c:v>2.5695182212372392</c:v>
                </c:pt>
                <c:pt idx="212">
                  <c:v>2.5820821054850174</c:v>
                </c:pt>
                <c:pt idx="213">
                  <c:v>2.5944631149817443</c:v>
                </c:pt>
                <c:pt idx="214">
                  <c:v>2.6066597865325036</c:v>
                </c:pt>
                <c:pt idx="215">
                  <c:v>2.6186707202688044</c:v>
                </c:pt>
                <c:pt idx="216">
                  <c:v>2.6304945806153945</c:v>
                </c:pt>
                <c:pt idx="217">
                  <c:v>2.6421300972570805</c:v>
                </c:pt>
                <c:pt idx="218">
                  <c:v>2.653576066105539</c:v>
                </c:pt>
                <c:pt idx="219">
                  <c:v>2.6648313502661352</c:v>
                </c:pt>
                <c:pt idx="220">
                  <c:v>2.6758948810047372</c:v>
                </c:pt>
                <c:pt idx="221">
                  <c:v>2.6867656587145321</c:v>
                </c:pt>
                <c:pt idx="222">
                  <c:v>2.6974427538828416</c:v>
                </c:pt>
                <c:pt idx="223">
                  <c:v>2.7079253080579377</c:v>
                </c:pt>
                <c:pt idx="224">
                  <c:v>2.7182125348158577</c:v>
                </c:pt>
                <c:pt idx="225">
                  <c:v>2.7283037207272205</c:v>
                </c:pt>
                <c:pt idx="226">
                  <c:v>2.7381982263240436</c:v>
                </c:pt>
                <c:pt idx="227">
                  <c:v>2.7478954870665548</c:v>
                </c:pt>
                <c:pt idx="228">
                  <c:v>2.7573950143100117</c:v>
                </c:pt>
                <c:pt idx="229">
                  <c:v>2.7666963962715165</c:v>
                </c:pt>
                <c:pt idx="230">
                  <c:v>2.7757992989968301</c:v>
                </c:pt>
                <c:pt idx="231">
                  <c:v>2.7847034673271889</c:v>
                </c:pt>
                <c:pt idx="232">
                  <c:v>2.7934087258661213</c:v>
                </c:pt>
                <c:pt idx="233">
                  <c:v>2.8019149799462619</c:v>
                </c:pt>
                <c:pt idx="234">
                  <c:v>2.8102222165961659</c:v>
                </c:pt>
                <c:pt idx="235">
                  <c:v>2.8183305055071295</c:v>
                </c:pt>
                <c:pt idx="236">
                  <c:v>2.8262400000000003</c:v>
                </c:pt>
                <c:pt idx="237">
                  <c:v>2.8339509379919958</c:v>
                </c:pt>
                <c:pt idx="238">
                  <c:v>2.8414636429635189</c:v>
                </c:pt>
                <c:pt idx="239">
                  <c:v>2.8487785249249726</c:v>
                </c:pt>
                <c:pt idx="240">
                  <c:v>2.8558960813835759</c:v>
                </c:pt>
                <c:pt idx="241">
                  <c:v>2.8628168983101805</c:v>
                </c:pt>
                <c:pt idx="242">
                  <c:v>2.8695416511060845</c:v>
                </c:pt>
                <c:pt idx="243">
                  <c:v>2.8760711055698502</c:v>
                </c:pt>
                <c:pt idx="244">
                  <c:v>2.8824061188641177</c:v>
                </c:pt>
                <c:pt idx="245">
                  <c:v>2.8885476404824226</c:v>
                </c:pt>
                <c:pt idx="246">
                  <c:v>2.89449671321601</c:v>
                </c:pt>
                <c:pt idx="247">
                  <c:v>2.9002544741206506</c:v>
                </c:pt>
                <c:pt idx="248">
                  <c:v>2.9058221554834578</c:v>
                </c:pt>
                <c:pt idx="249">
                  <c:v>2.9112010857896999</c:v>
                </c:pt>
                <c:pt idx="250">
                  <c:v>2.9163926906896194</c:v>
                </c:pt>
                <c:pt idx="251">
                  <c:v>2.9213984939652473</c:v>
                </c:pt>
                <c:pt idx="252">
                  <c:v>2.9262201184972172</c:v>
                </c:pt>
                <c:pt idx="253">
                  <c:v>2.9308592872315842</c:v>
                </c:pt>
                <c:pt idx="254">
                  <c:v>2.9353178241466376</c:v>
                </c:pt>
                <c:pt idx="255">
                  <c:v>2.9395976552197172</c:v>
                </c:pt>
                <c:pt idx="256">
                  <c:v>2.9437008093940307</c:v>
                </c:pt>
                <c:pt idx="257">
                  <c:v>2.9476294195454673</c:v>
                </c:pt>
                <c:pt idx="258">
                  <c:v>2.9513857234494139</c:v>
                </c:pt>
                <c:pt idx="259">
                  <c:v>2.9549720647475715</c:v>
                </c:pt>
                <c:pt idx="260">
                  <c:v>2.9583908939147694</c:v>
                </c:pt>
                <c:pt idx="261">
                  <c:v>2.9616447692257832</c:v>
                </c:pt>
                <c:pt idx="262">
                  <c:v>2.9647363577221482</c:v>
                </c:pt>
                <c:pt idx="263">
                  <c:v>2.9676684361789754</c:v>
                </c:pt>
                <c:pt idx="264">
                  <c:v>2.9704438920717675</c:v>
                </c:pt>
                <c:pt idx="265">
                  <c:v>2.9730657245432361</c:v>
                </c:pt>
                <c:pt idx="266">
                  <c:v>2.9755370453701144</c:v>
                </c:pt>
                <c:pt idx="267">
                  <c:v>2.9778610799299745</c:v>
                </c:pt>
                <c:pt idx="268">
                  <c:v>2.9800411681680439</c:v>
                </c:pt>
                <c:pt idx="269">
                  <c:v>2.9820807655640196</c:v>
                </c:pt>
                <c:pt idx="270">
                  <c:v>2.9839834440988837</c:v>
                </c:pt>
                <c:pt idx="271">
                  <c:v>2.9857528932217199</c:v>
                </c:pt>
                <c:pt idx="272">
                  <c:v>2.98739292081653</c:v>
                </c:pt>
                <c:pt idx="273">
                  <c:v>2.9889074541690461</c:v>
                </c:pt>
                <c:pt idx="274">
                  <c:v>2.9903005409335517</c:v>
                </c:pt>
                <c:pt idx="275">
                  <c:v>2.9915763500996908</c:v>
                </c:pt>
                <c:pt idx="276">
                  <c:v>2.9927391729592898</c:v>
                </c:pt>
                <c:pt idx="277">
                  <c:v>2.9937934240731687</c:v>
                </c:pt>
                <c:pt idx="278">
                  <c:v>2.9947436422379594</c:v>
                </c:pt>
                <c:pt idx="279">
                  <c:v>2.9955944914529198</c:v>
                </c:pt>
                <c:pt idx="280">
                  <c:v>2.9963507618867489</c:v>
                </c:pt>
                <c:pt idx="281">
                  <c:v>2.9970173708444059</c:v>
                </c:pt>
                <c:pt idx="282">
                  <c:v>2.9975993637339218</c:v>
                </c:pt>
                <c:pt idx="283">
                  <c:v>2.9981019150332169</c:v>
                </c:pt>
                <c:pt idx="284">
                  <c:v>2.9985303292569165</c:v>
                </c:pt>
                <c:pt idx="285">
                  <c:v>2.9988900419231657</c:v>
                </c:pt>
                <c:pt idx="286">
                  <c:v>2.9991866205204474</c:v>
                </c:pt>
                <c:pt idx="287">
                  <c:v>2.9994257654743945</c:v>
                </c:pt>
                <c:pt idx="288">
                  <c:v>2.9996133111146079</c:v>
                </c:pt>
                <c:pt idx="289">
                  <c:v>2.9997552266414713</c:v>
                </c:pt>
                <c:pt idx="290">
                  <c:v>2.9998576170929674</c:v>
                </c:pt>
                <c:pt idx="291">
                  <c:v>2.9999267243114924</c:v>
                </c:pt>
                <c:pt idx="292">
                  <c:v>2.9999689279106736</c:v>
                </c:pt>
                <c:pt idx="293">
                  <c:v>2.9999907462421835</c:v>
                </c:pt>
                <c:pt idx="294">
                  <c:v>2.9999988373625555</c:v>
                </c:pt>
                <c:pt idx="295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FB-4FD6-ACA7-26AB903E9EED}"/>
            </c:ext>
          </c:extLst>
        </c:ser>
        <c:ser>
          <c:idx val="2"/>
          <c:order val="2"/>
          <c:tx>
            <c:v>trap (1/3)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[0]!trap.q</c:f>
              <c:numCache>
                <c:formatCode>0.00000</c:formatCode>
                <c:ptCount val="296"/>
                <c:pt idx="0">
                  <c:v>0</c:v>
                </c:pt>
                <c:pt idx="1">
                  <c:v>7.756391841424887E-5</c:v>
                </c:pt>
                <c:pt idx="2">
                  <c:v>3.1025567365699548E-4</c:v>
                </c:pt>
                <c:pt idx="3">
                  <c:v>6.980752657282398E-4</c:v>
                </c:pt>
                <c:pt idx="4">
                  <c:v>1.2410226946279819E-3</c:v>
                </c:pt>
                <c:pt idx="5">
                  <c:v>1.9390979603562217E-3</c:v>
                </c:pt>
                <c:pt idx="6">
                  <c:v>2.7923010629129592E-3</c:v>
                </c:pt>
                <c:pt idx="7">
                  <c:v>3.8006320022981946E-3</c:v>
                </c:pt>
                <c:pt idx="8">
                  <c:v>4.9640907785119277E-3</c:v>
                </c:pt>
                <c:pt idx="9">
                  <c:v>6.2826773915541584E-3</c:v>
                </c:pt>
                <c:pt idx="10">
                  <c:v>7.7563918414248869E-3</c:v>
                </c:pt>
                <c:pt idx="11">
                  <c:v>9.385234128124113E-3</c:v>
                </c:pt>
                <c:pt idx="12">
                  <c:v>1.1169204251651837E-2</c:v>
                </c:pt>
                <c:pt idx="13">
                  <c:v>1.3108302212008059E-2</c:v>
                </c:pt>
                <c:pt idx="14">
                  <c:v>1.5202528009192778E-2</c:v>
                </c:pt>
                <c:pt idx="15">
                  <c:v>1.745188164320596E-2</c:v>
                </c:pt>
                <c:pt idx="16">
                  <c:v>1.9856363114047711E-2</c:v>
                </c:pt>
                <c:pt idx="17">
                  <c:v>2.2415972421717882E-2</c:v>
                </c:pt>
                <c:pt idx="18">
                  <c:v>2.5130709566216634E-2</c:v>
                </c:pt>
                <c:pt idx="19">
                  <c:v>2.8000574547543799E-2</c:v>
                </c:pt>
                <c:pt idx="20">
                  <c:v>3.1025567365699495E-2</c:v>
                </c:pt>
                <c:pt idx="21">
                  <c:v>3.4205688020683703E-2</c:v>
                </c:pt>
                <c:pt idx="22">
                  <c:v>3.7540936512496403E-2</c:v>
                </c:pt>
                <c:pt idx="23">
                  <c:v>4.103131284113759E-2</c:v>
                </c:pt>
                <c:pt idx="24">
                  <c:v>4.4676817006607292E-2</c:v>
                </c:pt>
                <c:pt idx="25">
                  <c:v>4.8477449008905486E-2</c:v>
                </c:pt>
                <c:pt idx="26">
                  <c:v>5.2433208848032174E-2</c:v>
                </c:pt>
                <c:pt idx="27">
                  <c:v>5.6544096523987362E-2</c:v>
                </c:pt>
                <c:pt idx="28">
                  <c:v>6.0810112036771044E-2</c:v>
                </c:pt>
                <c:pt idx="29">
                  <c:v>6.5231255386383233E-2</c:v>
                </c:pt>
                <c:pt idx="30">
                  <c:v>6.9807526572823922E-2</c:v>
                </c:pt>
                <c:pt idx="31">
                  <c:v>7.4538925596093097E-2</c:v>
                </c:pt>
                <c:pt idx="32">
                  <c:v>7.9425452456190759E-2</c:v>
                </c:pt>
                <c:pt idx="33">
                  <c:v>8.4467107153116935E-2</c:v>
                </c:pt>
                <c:pt idx="34">
                  <c:v>8.9663889686871612E-2</c:v>
                </c:pt>
                <c:pt idx="35">
                  <c:v>9.5015800057454788E-2</c:v>
                </c:pt>
                <c:pt idx="36">
                  <c:v>0.10052283826486645</c:v>
                </c:pt>
                <c:pt idx="37">
                  <c:v>0.10618500430910661</c:v>
                </c:pt>
                <c:pt idx="38">
                  <c:v>0.1120022981901752</c:v>
                </c:pt>
                <c:pt idx="39">
                  <c:v>0.11797471990807244</c:v>
                </c:pt>
                <c:pt idx="40">
                  <c:v>0.12410226946279798</c:v>
                </c:pt>
                <c:pt idx="41">
                  <c:v>0.13038494685435226</c:v>
                </c:pt>
                <c:pt idx="42">
                  <c:v>0.13682275208273481</c:v>
                </c:pt>
                <c:pt idx="43">
                  <c:v>0.14341568514794606</c:v>
                </c:pt>
                <c:pt idx="44">
                  <c:v>0.15016374604998561</c:v>
                </c:pt>
                <c:pt idx="45">
                  <c:v>0.15706693478885383</c:v>
                </c:pt>
                <c:pt idx="46">
                  <c:v>0.16412525136455036</c:v>
                </c:pt>
                <c:pt idx="47">
                  <c:v>0.17133869577707564</c:v>
                </c:pt>
                <c:pt idx="48">
                  <c:v>0.17870726802642917</c:v>
                </c:pt>
                <c:pt idx="49">
                  <c:v>0.18623096811261142</c:v>
                </c:pt>
                <c:pt idx="50">
                  <c:v>0.19390979603562195</c:v>
                </c:pt>
                <c:pt idx="51">
                  <c:v>0.2017437517954612</c:v>
                </c:pt>
                <c:pt idx="52">
                  <c:v>0.2097328353921287</c:v>
                </c:pt>
                <c:pt idx="53">
                  <c:v>0.21787704682562481</c:v>
                </c:pt>
                <c:pt idx="54">
                  <c:v>0.22617638609594945</c:v>
                </c:pt>
                <c:pt idx="55">
                  <c:v>0.23463085320310256</c:v>
                </c:pt>
                <c:pt idx="56">
                  <c:v>0.24324044814708418</c:v>
                </c:pt>
                <c:pt idx="57">
                  <c:v>0.25200517092789426</c:v>
                </c:pt>
                <c:pt idx="58">
                  <c:v>0.26092502154553293</c:v>
                </c:pt>
                <c:pt idx="59">
                  <c:v>0.27000000000000007</c:v>
                </c:pt>
                <c:pt idx="60">
                  <c:v>0.27923010629129569</c:v>
                </c:pt>
                <c:pt idx="61">
                  <c:v>0.28861534041941972</c:v>
                </c:pt>
                <c:pt idx="62">
                  <c:v>0.29815570238437239</c:v>
                </c:pt>
                <c:pt idx="63">
                  <c:v>0.30785119218615348</c:v>
                </c:pt>
                <c:pt idx="64">
                  <c:v>0.31770180982476304</c:v>
                </c:pt>
                <c:pt idx="65">
                  <c:v>0.32770755530020113</c:v>
                </c:pt>
                <c:pt idx="66">
                  <c:v>0.33786842861246774</c:v>
                </c:pt>
                <c:pt idx="67">
                  <c:v>0.34818442976156283</c:v>
                </c:pt>
                <c:pt idx="68">
                  <c:v>0.35865555874748645</c:v>
                </c:pt>
                <c:pt idx="69">
                  <c:v>0.36928181557023854</c:v>
                </c:pt>
                <c:pt idx="70">
                  <c:v>0.38006320022981915</c:v>
                </c:pt>
                <c:pt idx="71">
                  <c:v>0.39099971272622824</c:v>
                </c:pt>
                <c:pt idx="72">
                  <c:v>0.40209135305946581</c:v>
                </c:pt>
                <c:pt idx="73">
                  <c:v>0.41333812122953167</c:v>
                </c:pt>
                <c:pt idx="74">
                  <c:v>0.42474001723642624</c:v>
                </c:pt>
                <c:pt idx="75">
                  <c:v>0.43629704108014933</c:v>
                </c:pt>
                <c:pt idx="76">
                  <c:v>0.44800919276070095</c:v>
                </c:pt>
                <c:pt idx="77">
                  <c:v>0.45987647227808098</c:v>
                </c:pt>
                <c:pt idx="78">
                  <c:v>0.4718988796322896</c:v>
                </c:pt>
                <c:pt idx="79">
                  <c:v>0.48407641482332664</c:v>
                </c:pt>
                <c:pt idx="80">
                  <c:v>0.4964090778511922</c:v>
                </c:pt>
                <c:pt idx="81">
                  <c:v>0.50889686871588624</c:v>
                </c:pt>
                <c:pt idx="82">
                  <c:v>0.52153978741740881</c:v>
                </c:pt>
                <c:pt idx="83">
                  <c:v>0.53433783395575984</c:v>
                </c:pt>
                <c:pt idx="84">
                  <c:v>0.54729100833093947</c:v>
                </c:pt>
                <c:pt idx="85">
                  <c:v>0.56039931054294745</c:v>
                </c:pt>
                <c:pt idx="86">
                  <c:v>0.57366274059178402</c:v>
                </c:pt>
                <c:pt idx="87">
                  <c:v>0.58708129847744928</c:v>
                </c:pt>
                <c:pt idx="88">
                  <c:v>0.60065498419994257</c:v>
                </c:pt>
                <c:pt idx="89">
                  <c:v>0.61438379775926466</c:v>
                </c:pt>
                <c:pt idx="90">
                  <c:v>0.62826773915541523</c:v>
                </c:pt>
                <c:pt idx="91">
                  <c:v>0.64230680838839427</c:v>
                </c:pt>
                <c:pt idx="92">
                  <c:v>0.65650100545820178</c:v>
                </c:pt>
                <c:pt idx="93">
                  <c:v>0.67085033036483788</c:v>
                </c:pt>
                <c:pt idx="94">
                  <c:v>0.68535478310830233</c:v>
                </c:pt>
                <c:pt idx="95">
                  <c:v>0.70001436368859538</c:v>
                </c:pt>
                <c:pt idx="96">
                  <c:v>0.71482907210571689</c:v>
                </c:pt>
                <c:pt idx="97">
                  <c:v>0.72979890835966699</c:v>
                </c:pt>
                <c:pt idx="98">
                  <c:v>0.74492387245044545</c:v>
                </c:pt>
                <c:pt idx="99">
                  <c:v>0.7601694915254239</c:v>
                </c:pt>
                <c:pt idx="100">
                  <c:v>0.77542372881355948</c:v>
                </c:pt>
                <c:pt idx="101">
                  <c:v>0.79067796610169516</c:v>
                </c:pt>
                <c:pt idx="102">
                  <c:v>0.80593220338983074</c:v>
                </c:pt>
                <c:pt idx="103">
                  <c:v>0.82118644067796631</c:v>
                </c:pt>
                <c:pt idx="104">
                  <c:v>0.83644067796610189</c:v>
                </c:pt>
                <c:pt idx="105">
                  <c:v>0.85169491525423724</c:v>
                </c:pt>
                <c:pt idx="106">
                  <c:v>0.86694915254237293</c:v>
                </c:pt>
                <c:pt idx="107">
                  <c:v>0.8822033898305085</c:v>
                </c:pt>
                <c:pt idx="108">
                  <c:v>0.89745762711864407</c:v>
                </c:pt>
                <c:pt idx="109">
                  <c:v>0.91271186440677965</c:v>
                </c:pt>
                <c:pt idx="110">
                  <c:v>0.92796610169491522</c:v>
                </c:pt>
                <c:pt idx="111">
                  <c:v>0.94322033898305091</c:v>
                </c:pt>
                <c:pt idx="112">
                  <c:v>0.95847457627118648</c:v>
                </c:pt>
                <c:pt idx="113">
                  <c:v>0.97372881355932206</c:v>
                </c:pt>
                <c:pt idx="114">
                  <c:v>0.98898305084745775</c:v>
                </c:pt>
                <c:pt idx="115">
                  <c:v>1.0042372881355934</c:v>
                </c:pt>
                <c:pt idx="116">
                  <c:v>1.0194915254237289</c:v>
                </c:pt>
                <c:pt idx="117">
                  <c:v>1.0347457627118644</c:v>
                </c:pt>
                <c:pt idx="118">
                  <c:v>1.05</c:v>
                </c:pt>
                <c:pt idx="119">
                  <c:v>1.0652542372881357</c:v>
                </c:pt>
                <c:pt idx="120">
                  <c:v>1.0805084745762712</c:v>
                </c:pt>
                <c:pt idx="121">
                  <c:v>1.0957627118644069</c:v>
                </c:pt>
                <c:pt idx="122">
                  <c:v>1.1110169491525426</c:v>
                </c:pt>
                <c:pt idx="123">
                  <c:v>1.126271186440678</c:v>
                </c:pt>
                <c:pt idx="124">
                  <c:v>1.1415254237288137</c:v>
                </c:pt>
                <c:pt idx="125">
                  <c:v>1.1567796610169494</c:v>
                </c:pt>
                <c:pt idx="126">
                  <c:v>1.1720338983050849</c:v>
                </c:pt>
                <c:pt idx="127">
                  <c:v>1.1872881355932206</c:v>
                </c:pt>
                <c:pt idx="128">
                  <c:v>1.2025423728813562</c:v>
                </c:pt>
                <c:pt idx="129">
                  <c:v>1.2177966101694917</c:v>
                </c:pt>
                <c:pt idx="130">
                  <c:v>1.2330508474576274</c:v>
                </c:pt>
                <c:pt idx="131">
                  <c:v>1.2483050847457631</c:v>
                </c:pt>
                <c:pt idx="132">
                  <c:v>1.2635593220338985</c:v>
                </c:pt>
                <c:pt idx="133">
                  <c:v>1.2788135593220342</c:v>
                </c:pt>
                <c:pt idx="134">
                  <c:v>1.2940677966101697</c:v>
                </c:pt>
                <c:pt idx="135">
                  <c:v>1.3093220338983054</c:v>
                </c:pt>
                <c:pt idx="136">
                  <c:v>1.3245762711864408</c:v>
                </c:pt>
                <c:pt idx="137">
                  <c:v>1.3398305084745765</c:v>
                </c:pt>
                <c:pt idx="138">
                  <c:v>1.3550847457627122</c:v>
                </c:pt>
                <c:pt idx="139">
                  <c:v>1.3703389830508477</c:v>
                </c:pt>
                <c:pt idx="140">
                  <c:v>1.3855932203389834</c:v>
                </c:pt>
                <c:pt idx="141">
                  <c:v>1.400847457627119</c:v>
                </c:pt>
                <c:pt idx="142">
                  <c:v>1.4161016949152545</c:v>
                </c:pt>
                <c:pt idx="143">
                  <c:v>1.4313559322033902</c:v>
                </c:pt>
                <c:pt idx="144">
                  <c:v>1.4466101694915259</c:v>
                </c:pt>
                <c:pt idx="145">
                  <c:v>1.4618644067796609</c:v>
                </c:pt>
                <c:pt idx="146">
                  <c:v>1.4771186440677964</c:v>
                </c:pt>
                <c:pt idx="147">
                  <c:v>1.492372881355932</c:v>
                </c:pt>
                <c:pt idx="148">
                  <c:v>1.5076271186440677</c:v>
                </c:pt>
                <c:pt idx="149">
                  <c:v>1.5228813559322036</c:v>
                </c:pt>
                <c:pt idx="150">
                  <c:v>1.5381355932203389</c:v>
                </c:pt>
                <c:pt idx="151">
                  <c:v>1.5533898305084748</c:v>
                </c:pt>
                <c:pt idx="152">
                  <c:v>1.56864406779661</c:v>
                </c:pt>
                <c:pt idx="153">
                  <c:v>1.5838983050847459</c:v>
                </c:pt>
                <c:pt idx="154">
                  <c:v>1.5991525423728814</c:v>
                </c:pt>
                <c:pt idx="155">
                  <c:v>1.6144067796610171</c:v>
                </c:pt>
                <c:pt idx="156">
                  <c:v>1.6296610169491526</c:v>
                </c:pt>
                <c:pt idx="157">
                  <c:v>1.6449152542372882</c:v>
                </c:pt>
                <c:pt idx="158">
                  <c:v>1.6601694915254237</c:v>
                </c:pt>
                <c:pt idx="159">
                  <c:v>1.6754237288135596</c:v>
                </c:pt>
                <c:pt idx="160">
                  <c:v>1.6906779661016949</c:v>
                </c:pt>
                <c:pt idx="161">
                  <c:v>1.7059322033898308</c:v>
                </c:pt>
                <c:pt idx="162">
                  <c:v>1.721186440677966</c:v>
                </c:pt>
                <c:pt idx="163">
                  <c:v>1.7364406779661019</c:v>
                </c:pt>
                <c:pt idx="164">
                  <c:v>1.7516949152542374</c:v>
                </c:pt>
                <c:pt idx="165">
                  <c:v>1.7669491525423733</c:v>
                </c:pt>
                <c:pt idx="166">
                  <c:v>1.7822033898305085</c:v>
                </c:pt>
                <c:pt idx="167">
                  <c:v>1.7974576271186444</c:v>
                </c:pt>
                <c:pt idx="168">
                  <c:v>1.8127118644067797</c:v>
                </c:pt>
                <c:pt idx="169">
                  <c:v>1.8279661016949156</c:v>
                </c:pt>
                <c:pt idx="170">
                  <c:v>1.843220338983051</c:v>
                </c:pt>
                <c:pt idx="171">
                  <c:v>1.8584745762711867</c:v>
                </c:pt>
                <c:pt idx="172">
                  <c:v>1.8737288135593222</c:v>
                </c:pt>
                <c:pt idx="173">
                  <c:v>1.8889830508474579</c:v>
                </c:pt>
                <c:pt idx="174">
                  <c:v>1.9042372881355938</c:v>
                </c:pt>
                <c:pt idx="175">
                  <c:v>1.9194915254237293</c:v>
                </c:pt>
                <c:pt idx="176">
                  <c:v>1.9347457627118645</c:v>
                </c:pt>
                <c:pt idx="177">
                  <c:v>1.95</c:v>
                </c:pt>
                <c:pt idx="178">
                  <c:v>1.9652542372881356</c:v>
                </c:pt>
                <c:pt idx="179">
                  <c:v>1.9805084745762711</c:v>
                </c:pt>
                <c:pt idx="180">
                  <c:v>1.995762711864407</c:v>
                </c:pt>
                <c:pt idx="181">
                  <c:v>2.011016949152542</c:v>
                </c:pt>
                <c:pt idx="182">
                  <c:v>2.0262711864406784</c:v>
                </c:pt>
                <c:pt idx="183">
                  <c:v>2.0415254237288134</c:v>
                </c:pt>
                <c:pt idx="184">
                  <c:v>2.0567796610169493</c:v>
                </c:pt>
                <c:pt idx="185">
                  <c:v>2.0720338983050848</c:v>
                </c:pt>
                <c:pt idx="186">
                  <c:v>2.0872881355932207</c:v>
                </c:pt>
                <c:pt idx="187">
                  <c:v>2.1025423728813557</c:v>
                </c:pt>
                <c:pt idx="188">
                  <c:v>2.1177966101694921</c:v>
                </c:pt>
                <c:pt idx="189">
                  <c:v>2.1330508474576271</c:v>
                </c:pt>
                <c:pt idx="190">
                  <c:v>2.148305084745763</c:v>
                </c:pt>
                <c:pt idx="191">
                  <c:v>2.1635593220338984</c:v>
                </c:pt>
                <c:pt idx="192">
                  <c:v>2.1788135593220339</c:v>
                </c:pt>
                <c:pt idx="193">
                  <c:v>2.1940677966101694</c:v>
                </c:pt>
                <c:pt idx="194">
                  <c:v>2.2093220338983053</c:v>
                </c:pt>
                <c:pt idx="195">
                  <c:v>2.2245762711864407</c:v>
                </c:pt>
                <c:pt idx="196">
                  <c:v>2.2398305084745767</c:v>
                </c:pt>
                <c:pt idx="197">
                  <c:v>2.2550761275495548</c:v>
                </c:pt>
                <c:pt idx="198">
                  <c:v>2.2702010916403337</c:v>
                </c:pt>
                <c:pt idx="199">
                  <c:v>2.2851709278942831</c:v>
                </c:pt>
                <c:pt idx="200">
                  <c:v>2.2999856363114053</c:v>
                </c:pt>
                <c:pt idx="201">
                  <c:v>2.314645216891698</c:v>
                </c:pt>
                <c:pt idx="202">
                  <c:v>2.3291496696351626</c:v>
                </c:pt>
                <c:pt idx="203">
                  <c:v>2.3434989945417986</c:v>
                </c:pt>
                <c:pt idx="204">
                  <c:v>2.357693191611606</c:v>
                </c:pt>
                <c:pt idx="205">
                  <c:v>2.3717322608445852</c:v>
                </c:pt>
                <c:pt idx="206">
                  <c:v>2.3856162022407359</c:v>
                </c:pt>
                <c:pt idx="207">
                  <c:v>2.399345015800058</c:v>
                </c:pt>
                <c:pt idx="208">
                  <c:v>2.4129187015225515</c:v>
                </c:pt>
                <c:pt idx="209">
                  <c:v>2.426337259408216</c:v>
                </c:pt>
                <c:pt idx="210">
                  <c:v>2.4396006894570528</c:v>
                </c:pt>
                <c:pt idx="211">
                  <c:v>2.452708991669061</c:v>
                </c:pt>
                <c:pt idx="212">
                  <c:v>2.4656621660442402</c:v>
                </c:pt>
                <c:pt idx="213">
                  <c:v>2.4784602125825916</c:v>
                </c:pt>
                <c:pt idx="214">
                  <c:v>2.4911031312841136</c:v>
                </c:pt>
                <c:pt idx="215">
                  <c:v>2.503590922148808</c:v>
                </c:pt>
                <c:pt idx="216">
                  <c:v>2.5159235851766732</c:v>
                </c:pt>
                <c:pt idx="217">
                  <c:v>2.5281011203677108</c:v>
                </c:pt>
                <c:pt idx="218">
                  <c:v>2.540123527721919</c:v>
                </c:pt>
                <c:pt idx="219">
                  <c:v>2.5519908072392994</c:v>
                </c:pt>
                <c:pt idx="220">
                  <c:v>2.5637029589198508</c:v>
                </c:pt>
                <c:pt idx="221">
                  <c:v>2.575259982763574</c:v>
                </c:pt>
                <c:pt idx="222">
                  <c:v>2.5866618787704683</c:v>
                </c:pt>
                <c:pt idx="223">
                  <c:v>2.5979086469405344</c:v>
                </c:pt>
                <c:pt idx="224">
                  <c:v>2.6090002872737719</c:v>
                </c:pt>
                <c:pt idx="225">
                  <c:v>2.6199367997701812</c:v>
                </c:pt>
                <c:pt idx="226">
                  <c:v>2.6307181844297616</c:v>
                </c:pt>
                <c:pt idx="227">
                  <c:v>2.6413444412525138</c:v>
                </c:pt>
                <c:pt idx="228">
                  <c:v>2.6518155702384374</c:v>
                </c:pt>
                <c:pt idx="229">
                  <c:v>2.6621315713875324</c:v>
                </c:pt>
                <c:pt idx="230">
                  <c:v>2.6722924446997989</c:v>
                </c:pt>
                <c:pt idx="231">
                  <c:v>2.6822981901752372</c:v>
                </c:pt>
                <c:pt idx="232">
                  <c:v>2.6921488078138465</c:v>
                </c:pt>
                <c:pt idx="233">
                  <c:v>2.7018442976156281</c:v>
                </c:pt>
                <c:pt idx="234">
                  <c:v>2.7113846595805802</c:v>
                </c:pt>
                <c:pt idx="235">
                  <c:v>2.7207698937087046</c:v>
                </c:pt>
                <c:pt idx="236">
                  <c:v>2.73</c:v>
                </c:pt>
                <c:pt idx="237">
                  <c:v>2.7390749784544672</c:v>
                </c:pt>
                <c:pt idx="238">
                  <c:v>2.7479948290721059</c:v>
                </c:pt>
                <c:pt idx="239">
                  <c:v>2.756759551852916</c:v>
                </c:pt>
                <c:pt idx="240">
                  <c:v>2.7653691467968975</c:v>
                </c:pt>
                <c:pt idx="241">
                  <c:v>2.7738236139040504</c:v>
                </c:pt>
                <c:pt idx="242">
                  <c:v>2.7821229531743752</c:v>
                </c:pt>
                <c:pt idx="243">
                  <c:v>2.7902671646078714</c:v>
                </c:pt>
                <c:pt idx="244">
                  <c:v>2.798256248204539</c:v>
                </c:pt>
                <c:pt idx="245">
                  <c:v>2.806090203964378</c:v>
                </c:pt>
                <c:pt idx="246">
                  <c:v>2.8137690318873889</c:v>
                </c:pt>
                <c:pt idx="247">
                  <c:v>2.8212927319735708</c:v>
                </c:pt>
                <c:pt idx="248">
                  <c:v>2.8286613042229245</c:v>
                </c:pt>
                <c:pt idx="249">
                  <c:v>2.8358747486354496</c:v>
                </c:pt>
                <c:pt idx="250">
                  <c:v>2.8429330652111462</c:v>
                </c:pt>
                <c:pt idx="251">
                  <c:v>2.8498362539500146</c:v>
                </c:pt>
                <c:pt idx="252">
                  <c:v>2.856584314852054</c:v>
                </c:pt>
                <c:pt idx="253">
                  <c:v>2.8631772479172652</c:v>
                </c:pt>
                <c:pt idx="254">
                  <c:v>2.8696150531456479</c:v>
                </c:pt>
                <c:pt idx="255">
                  <c:v>2.875897730537202</c:v>
                </c:pt>
                <c:pt idx="256">
                  <c:v>2.8820252800919279</c:v>
                </c:pt>
                <c:pt idx="257">
                  <c:v>2.8879977018098248</c:v>
                </c:pt>
                <c:pt idx="258">
                  <c:v>2.8938149956908936</c:v>
                </c:pt>
                <c:pt idx="259">
                  <c:v>2.8994771617351338</c:v>
                </c:pt>
                <c:pt idx="260">
                  <c:v>2.9049841999425454</c:v>
                </c:pt>
                <c:pt idx="261">
                  <c:v>2.9103361103131284</c:v>
                </c:pt>
                <c:pt idx="262">
                  <c:v>2.9155328928468833</c:v>
                </c:pt>
                <c:pt idx="263">
                  <c:v>2.9205745475438092</c:v>
                </c:pt>
                <c:pt idx="264">
                  <c:v>2.9254610744039069</c:v>
                </c:pt>
                <c:pt idx="265">
                  <c:v>2.930192473427176</c:v>
                </c:pt>
                <c:pt idx="266">
                  <c:v>2.934768744613617</c:v>
                </c:pt>
                <c:pt idx="267">
                  <c:v>2.939189887963229</c:v>
                </c:pt>
                <c:pt idx="268">
                  <c:v>2.9434559034760128</c:v>
                </c:pt>
                <c:pt idx="269">
                  <c:v>2.9475667911519681</c:v>
                </c:pt>
                <c:pt idx="270">
                  <c:v>2.9515225509910947</c:v>
                </c:pt>
                <c:pt idx="271">
                  <c:v>2.9553231829933928</c:v>
                </c:pt>
                <c:pt idx="272">
                  <c:v>2.9589686871588627</c:v>
                </c:pt>
                <c:pt idx="273">
                  <c:v>2.9624590634875037</c:v>
                </c:pt>
                <c:pt idx="274">
                  <c:v>2.9657943119793164</c:v>
                </c:pt>
                <c:pt idx="275">
                  <c:v>2.9689744326343006</c:v>
                </c:pt>
                <c:pt idx="276">
                  <c:v>2.9719994254524562</c:v>
                </c:pt>
                <c:pt idx="277">
                  <c:v>2.9748692904337837</c:v>
                </c:pt>
                <c:pt idx="278">
                  <c:v>2.9775840275782821</c:v>
                </c:pt>
                <c:pt idx="279">
                  <c:v>2.9801436368859524</c:v>
                </c:pt>
                <c:pt idx="280">
                  <c:v>2.9825481183567941</c:v>
                </c:pt>
                <c:pt idx="281">
                  <c:v>2.9847974719908072</c:v>
                </c:pt>
                <c:pt idx="282">
                  <c:v>2.9868916977879922</c:v>
                </c:pt>
                <c:pt idx="283">
                  <c:v>2.9888307957483482</c:v>
                </c:pt>
                <c:pt idx="284">
                  <c:v>2.990614765871876</c:v>
                </c:pt>
                <c:pt idx="285">
                  <c:v>2.9922436081585753</c:v>
                </c:pt>
                <c:pt idx="286">
                  <c:v>2.9937173226084459</c:v>
                </c:pt>
                <c:pt idx="287">
                  <c:v>2.995035909221488</c:v>
                </c:pt>
                <c:pt idx="288">
                  <c:v>2.9961993679977019</c:v>
                </c:pt>
                <c:pt idx="289">
                  <c:v>2.9972076989370868</c:v>
                </c:pt>
                <c:pt idx="290">
                  <c:v>2.9980609020396436</c:v>
                </c:pt>
                <c:pt idx="291">
                  <c:v>2.9987589773053722</c:v>
                </c:pt>
                <c:pt idx="292">
                  <c:v>2.9993019247342718</c:v>
                </c:pt>
                <c:pt idx="293">
                  <c:v>2.9996897443263428</c:v>
                </c:pt>
                <c:pt idx="294">
                  <c:v>2.9999224360815857</c:v>
                </c:pt>
                <c:pt idx="295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FB-4FD6-ACA7-26AB903E9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62767"/>
        <c:axId val="1570608351"/>
      </c:scatterChart>
      <c:valAx>
        <c:axId val="10693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[s] </a:t>
                </a:r>
              </a:p>
            </c:rich>
          </c:tx>
          <c:layout>
            <c:manualLayout>
              <c:xMode val="edge"/>
              <c:yMode val="edge"/>
              <c:x val="0.47130208333333334"/>
              <c:y val="0.90049908925318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351"/>
        <c:crosses val="autoZero"/>
        <c:crossBetween val="midCat"/>
      </c:valAx>
      <c:valAx>
        <c:axId val="15706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0"/>
                  <a:t>θ [</a:t>
                </a:r>
                <a:r>
                  <a:rPr lang="en-GB" b="0"/>
                  <a:t>rad]</a:t>
                </a:r>
              </a:p>
            </c:rich>
          </c:tx>
          <c:layout>
            <c:manualLayout>
              <c:xMode val="edge"/>
              <c:yMode val="edge"/>
              <c:x val="7.131994014766844E-3"/>
              <c:y val="0.3721496158890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627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legend>
      <c:legendPos val="l"/>
      <c:layout>
        <c:manualLayout>
          <c:xMode val="edge"/>
          <c:yMode val="edge"/>
          <c:x val="0.18691588785046728"/>
          <c:y val="0.13398492974454079"/>
          <c:w val="0.32164051494597301"/>
          <c:h val="0.264446976271660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</a:p>
        </c:rich>
      </c:tx>
      <c:layout>
        <c:manualLayout>
          <c:xMode val="edge"/>
          <c:yMode val="edge"/>
          <c:x val="0.4226642361111110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49652777777779"/>
          <c:y val="0.12723132969034609"/>
          <c:w val="0.73588333333333333"/>
          <c:h val="0.68537249544626588"/>
        </c:manualLayout>
      </c:layout>
      <c:scatterChart>
        <c:scatterStyle val="smoothMarker"/>
        <c:varyColors val="0"/>
        <c:ser>
          <c:idx val="1"/>
          <c:order val="0"/>
          <c:tx>
            <c:v>ref poly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[0]!refpoly.qd1</c:f>
              <c:numCache>
                <c:formatCode>0.00000</c:formatCode>
                <c:ptCount val="296"/>
                <c:pt idx="0">
                  <c:v>0</c:v>
                </c:pt>
                <c:pt idx="1">
                  <c:v>1.392794623700459E-2</c:v>
                </c:pt>
                <c:pt idx="2">
                  <c:v>5.53334377574363E-2</c:v>
                </c:pt>
                <c:pt idx="3">
                  <c:v>0.12365185422240671</c:v>
                </c:pt>
                <c:pt idx="4">
                  <c:v>0.21832244255555716</c:v>
                </c:pt>
                <c:pt idx="5">
                  <c:v>0.33878831694319134</c:v>
                </c:pt>
                <c:pt idx="6">
                  <c:v>0.48449645883417874</c:v>
                </c:pt>
                <c:pt idx="7">
                  <c:v>0.65489771693996701</c:v>
                </c:pt>
                <c:pt idx="8">
                  <c:v>0.84944680723461763</c:v>
                </c:pt>
                <c:pt idx="9">
                  <c:v>1.0676023129548184</c:v>
                </c:pt>
                <c:pt idx="10">
                  <c:v>1.3088266845997991</c:v>
                </c:pt>
                <c:pt idx="11">
                  <c:v>1.5725862399314035</c:v>
                </c:pt>
                <c:pt idx="12">
                  <c:v>1.8583511639740649</c:v>
                </c:pt>
                <c:pt idx="13">
                  <c:v>2.1655955090148673</c:v>
                </c:pt>
                <c:pt idx="14">
                  <c:v>2.4937971946034008</c:v>
                </c:pt>
                <c:pt idx="15">
                  <c:v>2.8424380075518934</c:v>
                </c:pt>
                <c:pt idx="16">
                  <c:v>3.21100360193521</c:v>
                </c:pt>
                <c:pt idx="17">
                  <c:v>3.5989834990907235</c:v>
                </c:pt>
                <c:pt idx="18">
                  <c:v>4.0058710876184671</c:v>
                </c:pt>
                <c:pt idx="19">
                  <c:v>4.4311636233810416</c:v>
                </c:pt>
                <c:pt idx="20">
                  <c:v>4.874362229503685</c:v>
                </c:pt>
                <c:pt idx="21">
                  <c:v>5.3349718963741637</c:v>
                </c:pt>
                <c:pt idx="22">
                  <c:v>5.8125014816428857</c:v>
                </c:pt>
                <c:pt idx="23">
                  <c:v>6.3064637102228343</c:v>
                </c:pt>
                <c:pt idx="24">
                  <c:v>6.8163751742896075</c:v>
                </c:pt>
                <c:pt idx="25">
                  <c:v>7.3417563332813822</c:v>
                </c:pt>
                <c:pt idx="26">
                  <c:v>7.8821315138989361</c:v>
                </c:pt>
                <c:pt idx="27">
                  <c:v>8.4370289101056244</c:v>
                </c:pt>
                <c:pt idx="28">
                  <c:v>9.0059805831274424</c:v>
                </c:pt>
                <c:pt idx="29">
                  <c:v>9.5885224614529516</c:v>
                </c:pt>
                <c:pt idx="30">
                  <c:v>10.184194340833276</c:v>
                </c:pt>
                <c:pt idx="31">
                  <c:v>10.792539884282217</c:v>
                </c:pt>
                <c:pt idx="32">
                  <c:v>11.41310662207608</c:v>
                </c:pt>
                <c:pt idx="33">
                  <c:v>12.045445951753836</c:v>
                </c:pt>
                <c:pt idx="34">
                  <c:v>12.689113138117028</c:v>
                </c:pt>
                <c:pt idx="35">
                  <c:v>13.34366731322976</c:v>
                </c:pt>
                <c:pt idx="36">
                  <c:v>14.008671476418792</c:v>
                </c:pt>
                <c:pt idx="37">
                  <c:v>14.683692494273441</c:v>
                </c:pt>
                <c:pt idx="38">
                  <c:v>15.368301100645613</c:v>
                </c:pt>
                <c:pt idx="39">
                  <c:v>16.062071896649854</c:v>
                </c:pt>
                <c:pt idx="40">
                  <c:v>16.764583350663251</c:v>
                </c:pt>
                <c:pt idx="41">
                  <c:v>17.475417798325541</c:v>
                </c:pt>
                <c:pt idx="42">
                  <c:v>18.194161442538963</c:v>
                </c:pt>
                <c:pt idx="43">
                  <c:v>18.920404353468495</c:v>
                </c:pt>
                <c:pt idx="44">
                  <c:v>19.65374046854155</c:v>
                </c:pt>
                <c:pt idx="45">
                  <c:v>20.393767592448285</c:v>
                </c:pt>
                <c:pt idx="46">
                  <c:v>21.140087397141325</c:v>
                </c:pt>
                <c:pt idx="47">
                  <c:v>21.892305421836006</c:v>
                </c:pt>
                <c:pt idx="48">
                  <c:v>22.650031073010155</c:v>
                </c:pt>
                <c:pt idx="49">
                  <c:v>23.41287762440427</c:v>
                </c:pt>
                <c:pt idx="50">
                  <c:v>24.180462217021393</c:v>
                </c:pt>
                <c:pt idx="51">
                  <c:v>24.952405859127204</c:v>
                </c:pt>
                <c:pt idx="52">
                  <c:v>25.728333426249939</c:v>
                </c:pt>
                <c:pt idx="53">
                  <c:v>26.507873661180454</c:v>
                </c:pt>
                <c:pt idx="54">
                  <c:v>27.290659173972205</c:v>
                </c:pt>
                <c:pt idx="55">
                  <c:v>28.07632644194123</c:v>
                </c:pt>
                <c:pt idx="56">
                  <c:v>28.864515809666166</c:v>
                </c:pt>
                <c:pt idx="57">
                  <c:v>29.654871488988235</c:v>
                </c:pt>
                <c:pt idx="58">
                  <c:v>30.447041559011272</c:v>
                </c:pt>
                <c:pt idx="59">
                  <c:v>31.2406779661017</c:v>
                </c:pt>
                <c:pt idx="60">
                  <c:v>32.035436523888535</c:v>
                </c:pt>
                <c:pt idx="61">
                  <c:v>32.830976913263378</c:v>
                </c:pt>
                <c:pt idx="62">
                  <c:v>33.626962682380451</c:v>
                </c:pt>
                <c:pt idx="63">
                  <c:v>34.423061246656552</c:v>
                </c:pt>
                <c:pt idx="64">
                  <c:v>35.218943888771086</c:v>
                </c:pt>
                <c:pt idx="65">
                  <c:v>36.014285758666041</c:v>
                </c:pt>
                <c:pt idx="66">
                  <c:v>36.808765873546008</c:v>
                </c:pt>
                <c:pt idx="67">
                  <c:v>37.602067117878178</c:v>
                </c:pt>
                <c:pt idx="68">
                  <c:v>38.393876243392327</c:v>
                </c:pt>
                <c:pt idx="69">
                  <c:v>39.183883869080809</c:v>
                </c:pt>
                <c:pt idx="70">
                  <c:v>39.971784481198625</c:v>
                </c:pt>
                <c:pt idx="71">
                  <c:v>40.757276433263335</c:v>
                </c:pt>
                <c:pt idx="72">
                  <c:v>41.540061946055083</c:v>
                </c:pt>
                <c:pt idx="73">
                  <c:v>42.319847107616638</c:v>
                </c:pt>
                <c:pt idx="74">
                  <c:v>43.096341873253351</c:v>
                </c:pt>
                <c:pt idx="75">
                  <c:v>43.869260065533176</c:v>
                </c:pt>
                <c:pt idx="76">
                  <c:v>44.638319374286645</c:v>
                </c:pt>
                <c:pt idx="77">
                  <c:v>45.403241356606905</c:v>
                </c:pt>
                <c:pt idx="78">
                  <c:v>46.16375143684968</c:v>
                </c:pt>
                <c:pt idx="79">
                  <c:v>46.919578906633305</c:v>
                </c:pt>
                <c:pt idx="80">
                  <c:v>47.670456924838696</c:v>
                </c:pt>
                <c:pt idx="81">
                  <c:v>48.416122517609381</c:v>
                </c:pt>
                <c:pt idx="82">
                  <c:v>49.156316578351465</c:v>
                </c:pt>
                <c:pt idx="83">
                  <c:v>49.890783867733667</c:v>
                </c:pt>
                <c:pt idx="84">
                  <c:v>50.619273013687284</c:v>
                </c:pt>
                <c:pt idx="85">
                  <c:v>51.341536511406233</c:v>
                </c:pt>
                <c:pt idx="86">
                  <c:v>52.057330723346986</c:v>
                </c:pt>
                <c:pt idx="87">
                  <c:v>52.766415879228653</c:v>
                </c:pt>
                <c:pt idx="88">
                  <c:v>53.468556076032897</c:v>
                </c:pt>
                <c:pt idx="89">
                  <c:v>54.16351927800401</c:v>
                </c:pt>
                <c:pt idx="90">
                  <c:v>54.851077316648883</c:v>
                </c:pt>
                <c:pt idx="91">
                  <c:v>55.531005890736978</c:v>
                </c:pt>
                <c:pt idx="92">
                  <c:v>56.203084566300362</c:v>
                </c:pt>
                <c:pt idx="93">
                  <c:v>56.867096776633694</c:v>
                </c:pt>
                <c:pt idx="94">
                  <c:v>57.522829822294241</c:v>
                </c:pt>
                <c:pt idx="95">
                  <c:v>58.170074871101853</c:v>
                </c:pt>
                <c:pt idx="96">
                  <c:v>58.808626958138973</c:v>
                </c:pt>
                <c:pt idx="97">
                  <c:v>59.438284985750656</c:v>
                </c:pt>
                <c:pt idx="98">
                  <c:v>60.058851723544514</c:v>
                </c:pt>
                <c:pt idx="99">
                  <c:v>60.670133808390823</c:v>
                </c:pt>
                <c:pt idx="100">
                  <c:v>61.271941744422378</c:v>
                </c:pt>
                <c:pt idx="101">
                  <c:v>61.864089903034625</c:v>
                </c:pt>
                <c:pt idx="102">
                  <c:v>62.446396522885578</c:v>
                </c:pt>
                <c:pt idx="103">
                  <c:v>63.018683709895846</c:v>
                </c:pt>
                <c:pt idx="104">
                  <c:v>63.580777437248656</c:v>
                </c:pt>
                <c:pt idx="105">
                  <c:v>64.132507545389785</c:v>
                </c:pt>
                <c:pt idx="106">
                  <c:v>64.673707742027673</c:v>
                </c:pt>
                <c:pt idx="107">
                  <c:v>65.204215602133289</c:v>
                </c:pt>
                <c:pt idx="108">
                  <c:v>65.723872567940234</c:v>
                </c:pt>
                <c:pt idx="109">
                  <c:v>66.232523948944703</c:v>
                </c:pt>
                <c:pt idx="110">
                  <c:v>66.730018921905469</c:v>
                </c:pt>
                <c:pt idx="111">
                  <c:v>67.21621053084391</c:v>
                </c:pt>
                <c:pt idx="112">
                  <c:v>67.69095568704401</c:v>
                </c:pt>
                <c:pt idx="113">
                  <c:v>68.154115169052332</c:v>
                </c:pt>
                <c:pt idx="114">
                  <c:v>68.60555362267803</c:v>
                </c:pt>
                <c:pt idx="115">
                  <c:v>69.04513956099288</c:v>
                </c:pt>
                <c:pt idx="116">
                  <c:v>69.472745364331232</c:v>
                </c:pt>
                <c:pt idx="117">
                  <c:v>69.888247280290031</c:v>
                </c:pt>
                <c:pt idx="118">
                  <c:v>70.291525423728814</c:v>
                </c:pt>
                <c:pt idx="119">
                  <c:v>70.682463776769751</c:v>
                </c:pt>
                <c:pt idx="120">
                  <c:v>71.060950188797548</c:v>
                </c:pt>
                <c:pt idx="121">
                  <c:v>71.42687637645956</c:v>
                </c:pt>
                <c:pt idx="122">
                  <c:v>71.780137923665677</c:v>
                </c:pt>
                <c:pt idx="123">
                  <c:v>72.120634281588465</c:v>
                </c:pt>
                <c:pt idx="124">
                  <c:v>72.448268768663027</c:v>
                </c:pt>
                <c:pt idx="125">
                  <c:v>72.762948570587056</c:v>
                </c:pt>
                <c:pt idx="126">
                  <c:v>73.064584740320882</c:v>
                </c:pt>
                <c:pt idx="127">
                  <c:v>73.35309219808741</c:v>
                </c:pt>
                <c:pt idx="128">
                  <c:v>73.62838973137211</c:v>
                </c:pt>
                <c:pt idx="129">
                  <c:v>73.890399994923115</c:v>
                </c:pt>
                <c:pt idx="130">
                  <c:v>74.139049510751079</c:v>
                </c:pt>
                <c:pt idx="131">
                  <c:v>74.374268668129304</c:v>
                </c:pt>
                <c:pt idx="132">
                  <c:v>74.59599172359367</c:v>
                </c:pt>
                <c:pt idx="133">
                  <c:v>74.80415680094265</c:v>
                </c:pt>
                <c:pt idx="134">
                  <c:v>74.998705891237307</c:v>
                </c:pt>
                <c:pt idx="135">
                  <c:v>75.179584852801327</c:v>
                </c:pt>
                <c:pt idx="136">
                  <c:v>75.346743411220956</c:v>
                </c:pt>
                <c:pt idx="137">
                  <c:v>75.500135159345035</c:v>
                </c:pt>
                <c:pt idx="138">
                  <c:v>75.639717557285053</c:v>
                </c:pt>
                <c:pt idx="139">
                  <c:v>75.765451932415019</c:v>
                </c:pt>
                <c:pt idx="140">
                  <c:v>75.877303479371605</c:v>
                </c:pt>
                <c:pt idx="141">
                  <c:v>75.97524126005402</c:v>
                </c:pt>
                <c:pt idx="142">
                  <c:v>76.059238203624133</c:v>
                </c:pt>
                <c:pt idx="143">
                  <c:v>76.129271106506337</c:v>
                </c:pt>
                <c:pt idx="144">
                  <c:v>76.185320632387686</c:v>
                </c:pt>
                <c:pt idx="145">
                  <c:v>76.22737131221777</c:v>
                </c:pt>
                <c:pt idx="146">
                  <c:v>76.255411544208826</c:v>
                </c:pt>
                <c:pt idx="147">
                  <c:v>76.269433593835657</c:v>
                </c:pt>
                <c:pt idx="148">
                  <c:v>76.269433593835657</c:v>
                </c:pt>
                <c:pt idx="149">
                  <c:v>76.255411544208826</c:v>
                </c:pt>
                <c:pt idx="150">
                  <c:v>76.22737131221777</c:v>
                </c:pt>
                <c:pt idx="151">
                  <c:v>76.185320632387686</c:v>
                </c:pt>
                <c:pt idx="152">
                  <c:v>76.129271106506337</c:v>
                </c:pt>
                <c:pt idx="153">
                  <c:v>76.059238203624133</c:v>
                </c:pt>
                <c:pt idx="154">
                  <c:v>75.97524126005402</c:v>
                </c:pt>
                <c:pt idx="155">
                  <c:v>75.877303479371605</c:v>
                </c:pt>
                <c:pt idx="156">
                  <c:v>75.765451932415019</c:v>
                </c:pt>
                <c:pt idx="157">
                  <c:v>75.639717557285039</c:v>
                </c:pt>
                <c:pt idx="158">
                  <c:v>75.500135159345035</c:v>
                </c:pt>
                <c:pt idx="159">
                  <c:v>75.346743411220942</c:v>
                </c:pt>
                <c:pt idx="160">
                  <c:v>75.179584852801327</c:v>
                </c:pt>
                <c:pt idx="161">
                  <c:v>74.998705891237307</c:v>
                </c:pt>
                <c:pt idx="162">
                  <c:v>74.80415680094265</c:v>
                </c:pt>
                <c:pt idx="163">
                  <c:v>74.59599172359367</c:v>
                </c:pt>
                <c:pt idx="164">
                  <c:v>74.374268668129304</c:v>
                </c:pt>
                <c:pt idx="165">
                  <c:v>74.139049510751065</c:v>
                </c:pt>
                <c:pt idx="166">
                  <c:v>73.890399994923101</c:v>
                </c:pt>
                <c:pt idx="167">
                  <c:v>73.628389731372096</c:v>
                </c:pt>
                <c:pt idx="168">
                  <c:v>73.353092198087396</c:v>
                </c:pt>
                <c:pt idx="169">
                  <c:v>73.064584740320882</c:v>
                </c:pt>
                <c:pt idx="170">
                  <c:v>72.762948570587056</c:v>
                </c:pt>
                <c:pt idx="171">
                  <c:v>72.448268768663013</c:v>
                </c:pt>
                <c:pt idx="172">
                  <c:v>72.120634281588465</c:v>
                </c:pt>
                <c:pt idx="173">
                  <c:v>71.780137923665677</c:v>
                </c:pt>
                <c:pt idx="174">
                  <c:v>71.426876376459532</c:v>
                </c:pt>
                <c:pt idx="175">
                  <c:v>71.060950188797534</c:v>
                </c:pt>
                <c:pt idx="176">
                  <c:v>70.682463776769737</c:v>
                </c:pt>
                <c:pt idx="177">
                  <c:v>70.291525423728814</c:v>
                </c:pt>
                <c:pt idx="178">
                  <c:v>69.888247280290017</c:v>
                </c:pt>
                <c:pt idx="179">
                  <c:v>69.472745364331232</c:v>
                </c:pt>
                <c:pt idx="180">
                  <c:v>69.04513956099288</c:v>
                </c:pt>
                <c:pt idx="181">
                  <c:v>68.60555362267803</c:v>
                </c:pt>
                <c:pt idx="182">
                  <c:v>68.154115169052332</c:v>
                </c:pt>
                <c:pt idx="183">
                  <c:v>67.69095568704401</c:v>
                </c:pt>
                <c:pt idx="184">
                  <c:v>67.21621053084391</c:v>
                </c:pt>
                <c:pt idx="185">
                  <c:v>66.730018921905469</c:v>
                </c:pt>
                <c:pt idx="186">
                  <c:v>66.232523948944689</c:v>
                </c:pt>
                <c:pt idx="187">
                  <c:v>65.723872567940234</c:v>
                </c:pt>
                <c:pt idx="188">
                  <c:v>65.204215602133289</c:v>
                </c:pt>
                <c:pt idx="189">
                  <c:v>64.673707742027673</c:v>
                </c:pt>
                <c:pt idx="190">
                  <c:v>64.132507545389771</c:v>
                </c:pt>
                <c:pt idx="191">
                  <c:v>63.580777437248642</c:v>
                </c:pt>
                <c:pt idx="192">
                  <c:v>63.018683709895832</c:v>
                </c:pt>
                <c:pt idx="193">
                  <c:v>62.446396522885564</c:v>
                </c:pt>
                <c:pt idx="194">
                  <c:v>61.864089903034603</c:v>
                </c:pt>
                <c:pt idx="195">
                  <c:v>61.271941744422364</c:v>
                </c:pt>
                <c:pt idx="196">
                  <c:v>60.670133808390801</c:v>
                </c:pt>
                <c:pt idx="197">
                  <c:v>60.058851723544507</c:v>
                </c:pt>
                <c:pt idx="198">
                  <c:v>59.438284985750627</c:v>
                </c:pt>
                <c:pt idx="199">
                  <c:v>58.808626958138966</c:v>
                </c:pt>
                <c:pt idx="200">
                  <c:v>58.170074871101825</c:v>
                </c:pt>
                <c:pt idx="201">
                  <c:v>57.522829822294227</c:v>
                </c:pt>
                <c:pt idx="202">
                  <c:v>56.867096776633673</c:v>
                </c:pt>
                <c:pt idx="203">
                  <c:v>56.203084566300355</c:v>
                </c:pt>
                <c:pt idx="204">
                  <c:v>55.531005890736957</c:v>
                </c:pt>
                <c:pt idx="205">
                  <c:v>54.851077316648876</c:v>
                </c:pt>
                <c:pt idx="206">
                  <c:v>54.163519278003989</c:v>
                </c:pt>
                <c:pt idx="207">
                  <c:v>53.468556076032861</c:v>
                </c:pt>
                <c:pt idx="208">
                  <c:v>52.766415879228624</c:v>
                </c:pt>
                <c:pt idx="209">
                  <c:v>52.057330723346972</c:v>
                </c:pt>
                <c:pt idx="210">
                  <c:v>51.341536511406233</c:v>
                </c:pt>
                <c:pt idx="211">
                  <c:v>50.619273013687277</c:v>
                </c:pt>
                <c:pt idx="212">
                  <c:v>49.890783867733667</c:v>
                </c:pt>
                <c:pt idx="213">
                  <c:v>49.156316578351458</c:v>
                </c:pt>
                <c:pt idx="214">
                  <c:v>48.416122517609381</c:v>
                </c:pt>
                <c:pt idx="215">
                  <c:v>47.670456924838689</c:v>
                </c:pt>
                <c:pt idx="216">
                  <c:v>46.919578906633305</c:v>
                </c:pt>
                <c:pt idx="217">
                  <c:v>46.163751436849665</c:v>
                </c:pt>
                <c:pt idx="218">
                  <c:v>45.403241356606905</c:v>
                </c:pt>
                <c:pt idx="219">
                  <c:v>44.638319374286631</c:v>
                </c:pt>
                <c:pt idx="220">
                  <c:v>43.869260065533176</c:v>
                </c:pt>
                <c:pt idx="221">
                  <c:v>43.096341873253344</c:v>
                </c:pt>
                <c:pt idx="222">
                  <c:v>42.319847107616638</c:v>
                </c:pt>
                <c:pt idx="223">
                  <c:v>41.540061946055054</c:v>
                </c:pt>
                <c:pt idx="224">
                  <c:v>40.757276433263321</c:v>
                </c:pt>
                <c:pt idx="225">
                  <c:v>39.971784481198597</c:v>
                </c:pt>
                <c:pt idx="226">
                  <c:v>39.183883869080795</c:v>
                </c:pt>
                <c:pt idx="227">
                  <c:v>38.393876243392292</c:v>
                </c:pt>
                <c:pt idx="228">
                  <c:v>37.602067117878164</c:v>
                </c:pt>
                <c:pt idx="229">
                  <c:v>36.808765873545987</c:v>
                </c:pt>
                <c:pt idx="230">
                  <c:v>36.014285758666034</c:v>
                </c:pt>
                <c:pt idx="231">
                  <c:v>35.218943888771058</c:v>
                </c:pt>
                <c:pt idx="232">
                  <c:v>34.423061246656545</c:v>
                </c:pt>
                <c:pt idx="233">
                  <c:v>33.626962682380437</c:v>
                </c:pt>
                <c:pt idx="234">
                  <c:v>32.830976913263363</c:v>
                </c:pt>
                <c:pt idx="235">
                  <c:v>32.035436523888499</c:v>
                </c:pt>
                <c:pt idx="236">
                  <c:v>31.240677966101689</c:v>
                </c:pt>
                <c:pt idx="237">
                  <c:v>30.44704155901125</c:v>
                </c:pt>
                <c:pt idx="238">
                  <c:v>29.654871488988221</c:v>
                </c:pt>
                <c:pt idx="239">
                  <c:v>28.864515809666141</c:v>
                </c:pt>
                <c:pt idx="240">
                  <c:v>28.07632644194123</c:v>
                </c:pt>
                <c:pt idx="241">
                  <c:v>27.290659173972205</c:v>
                </c:pt>
                <c:pt idx="242">
                  <c:v>26.507873661180444</c:v>
                </c:pt>
                <c:pt idx="243">
                  <c:v>25.728333426249939</c:v>
                </c:pt>
                <c:pt idx="244">
                  <c:v>24.952405859127175</c:v>
                </c:pt>
                <c:pt idx="245">
                  <c:v>24.180462217021393</c:v>
                </c:pt>
                <c:pt idx="246">
                  <c:v>23.412877624404238</c:v>
                </c:pt>
                <c:pt idx="247">
                  <c:v>22.650031073010155</c:v>
                </c:pt>
                <c:pt idx="248">
                  <c:v>21.892305421835982</c:v>
                </c:pt>
                <c:pt idx="249">
                  <c:v>21.140087397141325</c:v>
                </c:pt>
                <c:pt idx="250">
                  <c:v>20.393767592448249</c:v>
                </c:pt>
                <c:pt idx="251">
                  <c:v>19.65374046854155</c:v>
                </c:pt>
                <c:pt idx="252">
                  <c:v>18.920404353468459</c:v>
                </c:pt>
                <c:pt idx="253">
                  <c:v>18.194161442538963</c:v>
                </c:pt>
                <c:pt idx="254">
                  <c:v>17.475417798325502</c:v>
                </c:pt>
                <c:pt idx="255">
                  <c:v>16.764583350663251</c:v>
                </c:pt>
                <c:pt idx="256">
                  <c:v>16.062071896649829</c:v>
                </c:pt>
                <c:pt idx="257">
                  <c:v>15.368301100645613</c:v>
                </c:pt>
                <c:pt idx="258">
                  <c:v>14.683692494273417</c:v>
                </c:pt>
                <c:pt idx="259">
                  <c:v>14.00867147641878</c:v>
                </c:pt>
                <c:pt idx="260">
                  <c:v>13.343667313229748</c:v>
                </c:pt>
                <c:pt idx="261">
                  <c:v>12.689113138117017</c:v>
                </c:pt>
                <c:pt idx="262">
                  <c:v>12.045445951753823</c:v>
                </c:pt>
                <c:pt idx="263">
                  <c:v>11.41310662207608</c:v>
                </c:pt>
                <c:pt idx="264">
                  <c:v>10.792539884282192</c:v>
                </c:pt>
                <c:pt idx="265">
                  <c:v>10.184194340833276</c:v>
                </c:pt>
                <c:pt idx="266">
                  <c:v>9.5885224614529267</c:v>
                </c:pt>
                <c:pt idx="267">
                  <c:v>9.0059805831274424</c:v>
                </c:pt>
                <c:pt idx="268">
                  <c:v>8.437028910105612</c:v>
                </c:pt>
                <c:pt idx="269">
                  <c:v>7.8821315138989236</c:v>
                </c:pt>
                <c:pt idx="270">
                  <c:v>7.3417563332813582</c:v>
                </c:pt>
                <c:pt idx="271">
                  <c:v>6.8163751742895959</c:v>
                </c:pt>
                <c:pt idx="272">
                  <c:v>6.3064637102228227</c:v>
                </c:pt>
                <c:pt idx="273">
                  <c:v>5.8125014816428857</c:v>
                </c:pt>
                <c:pt idx="274">
                  <c:v>5.3349718963741397</c:v>
                </c:pt>
                <c:pt idx="275">
                  <c:v>4.874362229503685</c:v>
                </c:pt>
                <c:pt idx="276">
                  <c:v>4.4311636233810416</c:v>
                </c:pt>
                <c:pt idx="277">
                  <c:v>4.0058710876184431</c:v>
                </c:pt>
                <c:pt idx="278">
                  <c:v>3.5989834990906995</c:v>
                </c:pt>
                <c:pt idx="279">
                  <c:v>3.211003601935186</c:v>
                </c:pt>
                <c:pt idx="280">
                  <c:v>2.8424380075518814</c:v>
                </c:pt>
                <c:pt idx="281">
                  <c:v>2.4937971946033768</c:v>
                </c:pt>
                <c:pt idx="282">
                  <c:v>2.1655955090148553</c:v>
                </c:pt>
                <c:pt idx="283">
                  <c:v>1.8583511639740649</c:v>
                </c:pt>
                <c:pt idx="284">
                  <c:v>1.5725862399313912</c:v>
                </c:pt>
                <c:pt idx="285">
                  <c:v>1.3088266845997751</c:v>
                </c:pt>
                <c:pt idx="286">
                  <c:v>1.0676023129548065</c:v>
                </c:pt>
                <c:pt idx="287">
                  <c:v>0.84944680723460564</c:v>
                </c:pt>
                <c:pt idx="288">
                  <c:v>0.65489771693994292</c:v>
                </c:pt>
                <c:pt idx="289">
                  <c:v>0.48449645883417874</c:v>
                </c:pt>
                <c:pt idx="290">
                  <c:v>0.33878831694317929</c:v>
                </c:pt>
                <c:pt idx="291">
                  <c:v>0.21832244255555716</c:v>
                </c:pt>
                <c:pt idx="292">
                  <c:v>0.12365185422240671</c:v>
                </c:pt>
                <c:pt idx="293">
                  <c:v>5.53334377574363E-2</c:v>
                </c:pt>
                <c:pt idx="294">
                  <c:v>1.392794623700459E-2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16-4EA1-894A-C1E025F489A4}"/>
            </c:ext>
          </c:extLst>
        </c:ser>
        <c:ser>
          <c:idx val="0"/>
          <c:order val="1"/>
          <c:tx>
            <c:v>opti poly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[0]!optipoly.qd1</c:f>
              <c:numCache>
                <c:formatCode>0.00000</c:formatCode>
                <c:ptCount val="296"/>
                <c:pt idx="0">
                  <c:v>0</c:v>
                </c:pt>
                <c:pt idx="1">
                  <c:v>1.392794623700459E-2</c:v>
                </c:pt>
                <c:pt idx="2">
                  <c:v>5.5333437757448346E-2</c:v>
                </c:pt>
                <c:pt idx="3">
                  <c:v>0.12365185422240671</c:v>
                </c:pt>
                <c:pt idx="4">
                  <c:v>0.21832244255555716</c:v>
                </c:pt>
                <c:pt idx="5">
                  <c:v>0.33878831694320338</c:v>
                </c:pt>
                <c:pt idx="6">
                  <c:v>0.48449645883417874</c:v>
                </c:pt>
                <c:pt idx="7">
                  <c:v>0.65489771693995491</c:v>
                </c:pt>
                <c:pt idx="8">
                  <c:v>0.84944680723462973</c:v>
                </c:pt>
                <c:pt idx="9">
                  <c:v>1.0676023129548184</c:v>
                </c:pt>
                <c:pt idx="10">
                  <c:v>1.3088266845997871</c:v>
                </c:pt>
                <c:pt idx="11">
                  <c:v>1.5725862399313912</c:v>
                </c:pt>
                <c:pt idx="12">
                  <c:v>1.8583511639740768</c:v>
                </c:pt>
                <c:pt idx="13">
                  <c:v>2.1655955090148673</c:v>
                </c:pt>
                <c:pt idx="14">
                  <c:v>2.4937971946034008</c:v>
                </c:pt>
                <c:pt idx="15">
                  <c:v>2.8424380075519053</c:v>
                </c:pt>
                <c:pt idx="16">
                  <c:v>3.21100360193521</c:v>
                </c:pt>
                <c:pt idx="17">
                  <c:v>3.5989834990907235</c:v>
                </c:pt>
                <c:pt idx="18">
                  <c:v>4.0058710876184795</c:v>
                </c:pt>
                <c:pt idx="19">
                  <c:v>4.4311636233810541</c:v>
                </c:pt>
                <c:pt idx="20">
                  <c:v>4.874362229503685</c:v>
                </c:pt>
                <c:pt idx="21">
                  <c:v>5.3349718963741637</c:v>
                </c:pt>
                <c:pt idx="22">
                  <c:v>5.8125014816428742</c:v>
                </c:pt>
                <c:pt idx="23">
                  <c:v>6.3064637102228343</c:v>
                </c:pt>
                <c:pt idx="24">
                  <c:v>6.8163751742896075</c:v>
                </c:pt>
                <c:pt idx="25">
                  <c:v>7.3417563332813698</c:v>
                </c:pt>
                <c:pt idx="26">
                  <c:v>7.8821315138989361</c:v>
                </c:pt>
                <c:pt idx="27">
                  <c:v>8.4370289101056368</c:v>
                </c:pt>
                <c:pt idx="28">
                  <c:v>9.0059805831274424</c:v>
                </c:pt>
                <c:pt idx="29">
                  <c:v>9.5885224614529516</c:v>
                </c:pt>
                <c:pt idx="30">
                  <c:v>10.184194340833287</c:v>
                </c:pt>
                <c:pt idx="31">
                  <c:v>10.792539884282217</c:v>
                </c:pt>
                <c:pt idx="32">
                  <c:v>11.41310662207608</c:v>
                </c:pt>
                <c:pt idx="33">
                  <c:v>12.045445951753836</c:v>
                </c:pt>
                <c:pt idx="34">
                  <c:v>12.689113138117028</c:v>
                </c:pt>
                <c:pt idx="35">
                  <c:v>13.343667313229771</c:v>
                </c:pt>
                <c:pt idx="36">
                  <c:v>14.008671476418792</c:v>
                </c:pt>
                <c:pt idx="37">
                  <c:v>14.683692494273441</c:v>
                </c:pt>
                <c:pt idx="38">
                  <c:v>15.368301100645626</c:v>
                </c:pt>
                <c:pt idx="39">
                  <c:v>16.062071896649869</c:v>
                </c:pt>
                <c:pt idx="40">
                  <c:v>16.764583350663251</c:v>
                </c:pt>
                <c:pt idx="41">
                  <c:v>17.475417798325527</c:v>
                </c:pt>
                <c:pt idx="42">
                  <c:v>18.194161442538963</c:v>
                </c:pt>
                <c:pt idx="43">
                  <c:v>18.920404353468484</c:v>
                </c:pt>
                <c:pt idx="44">
                  <c:v>19.653740468541539</c:v>
                </c:pt>
                <c:pt idx="45">
                  <c:v>20.393767592448285</c:v>
                </c:pt>
                <c:pt idx="46">
                  <c:v>21.140087397141325</c:v>
                </c:pt>
                <c:pt idx="47">
                  <c:v>21.892305421836017</c:v>
                </c:pt>
                <c:pt idx="48">
                  <c:v>22.650031073010155</c:v>
                </c:pt>
                <c:pt idx="49">
                  <c:v>23.412877624404263</c:v>
                </c:pt>
                <c:pt idx="50">
                  <c:v>24.180462217021393</c:v>
                </c:pt>
                <c:pt idx="51">
                  <c:v>24.952405859127211</c:v>
                </c:pt>
                <c:pt idx="52">
                  <c:v>25.728333426249932</c:v>
                </c:pt>
                <c:pt idx="53">
                  <c:v>26.507873661180454</c:v>
                </c:pt>
                <c:pt idx="54">
                  <c:v>27.290659173972209</c:v>
                </c:pt>
                <c:pt idx="55">
                  <c:v>28.07632644194123</c:v>
                </c:pt>
                <c:pt idx="56">
                  <c:v>28.864515809666166</c:v>
                </c:pt>
                <c:pt idx="57">
                  <c:v>29.654871488988235</c:v>
                </c:pt>
                <c:pt idx="58">
                  <c:v>30.447041559011272</c:v>
                </c:pt>
                <c:pt idx="59">
                  <c:v>31.240677966101707</c:v>
                </c:pt>
                <c:pt idx="60">
                  <c:v>32.035436523888535</c:v>
                </c:pt>
                <c:pt idx="61">
                  <c:v>32.830976913263378</c:v>
                </c:pt>
                <c:pt idx="62">
                  <c:v>33.626962682380451</c:v>
                </c:pt>
                <c:pt idx="63">
                  <c:v>34.423061246656559</c:v>
                </c:pt>
                <c:pt idx="64">
                  <c:v>35.218943888771086</c:v>
                </c:pt>
                <c:pt idx="65">
                  <c:v>36.014285758666034</c:v>
                </c:pt>
                <c:pt idx="66">
                  <c:v>36.808765873546015</c:v>
                </c:pt>
                <c:pt idx="67">
                  <c:v>37.602067117878171</c:v>
                </c:pt>
                <c:pt idx="68">
                  <c:v>38.393876243392327</c:v>
                </c:pt>
                <c:pt idx="69">
                  <c:v>39.183883869080816</c:v>
                </c:pt>
                <c:pt idx="70">
                  <c:v>39.971784481198618</c:v>
                </c:pt>
                <c:pt idx="71">
                  <c:v>40.757276433263335</c:v>
                </c:pt>
                <c:pt idx="72">
                  <c:v>41.540061946055083</c:v>
                </c:pt>
                <c:pt idx="73">
                  <c:v>42.319847107616638</c:v>
                </c:pt>
                <c:pt idx="74">
                  <c:v>43.096341873253351</c:v>
                </c:pt>
                <c:pt idx="75">
                  <c:v>43.869260065533169</c:v>
                </c:pt>
                <c:pt idx="76">
                  <c:v>44.638319374286652</c:v>
                </c:pt>
                <c:pt idx="77">
                  <c:v>45.403241356606905</c:v>
                </c:pt>
                <c:pt idx="78">
                  <c:v>46.16375143684968</c:v>
                </c:pt>
                <c:pt idx="79">
                  <c:v>46.919578906633305</c:v>
                </c:pt>
                <c:pt idx="80">
                  <c:v>47.670456924838696</c:v>
                </c:pt>
                <c:pt idx="81">
                  <c:v>48.416122517609381</c:v>
                </c:pt>
                <c:pt idx="82">
                  <c:v>49.156316578351465</c:v>
                </c:pt>
                <c:pt idx="83">
                  <c:v>49.890783867733667</c:v>
                </c:pt>
                <c:pt idx="84">
                  <c:v>50.619273013687284</c:v>
                </c:pt>
                <c:pt idx="85">
                  <c:v>51.341536511406233</c:v>
                </c:pt>
                <c:pt idx="86">
                  <c:v>52.057330723346979</c:v>
                </c:pt>
                <c:pt idx="87">
                  <c:v>52.76641587922866</c:v>
                </c:pt>
                <c:pt idx="88">
                  <c:v>53.468556076032897</c:v>
                </c:pt>
                <c:pt idx="89">
                  <c:v>54.16351927800401</c:v>
                </c:pt>
                <c:pt idx="90">
                  <c:v>54.851077316648883</c:v>
                </c:pt>
                <c:pt idx="91">
                  <c:v>55.531005890736978</c:v>
                </c:pt>
                <c:pt idx="92">
                  <c:v>56.203084566300362</c:v>
                </c:pt>
                <c:pt idx="93">
                  <c:v>56.867096776633694</c:v>
                </c:pt>
                <c:pt idx="94">
                  <c:v>57.522829822294241</c:v>
                </c:pt>
                <c:pt idx="95">
                  <c:v>58.170074871101853</c:v>
                </c:pt>
                <c:pt idx="96">
                  <c:v>58.808626958138973</c:v>
                </c:pt>
                <c:pt idx="97">
                  <c:v>59.438284985750656</c:v>
                </c:pt>
                <c:pt idx="98">
                  <c:v>60.058851723544514</c:v>
                </c:pt>
                <c:pt idx="99">
                  <c:v>60.670133808390823</c:v>
                </c:pt>
                <c:pt idx="100">
                  <c:v>61.271941744422378</c:v>
                </c:pt>
                <c:pt idx="101">
                  <c:v>61.864089903034625</c:v>
                </c:pt>
                <c:pt idx="102">
                  <c:v>62.446396522885578</c:v>
                </c:pt>
                <c:pt idx="103">
                  <c:v>63.018683709895846</c:v>
                </c:pt>
                <c:pt idx="104">
                  <c:v>63.580777437248656</c:v>
                </c:pt>
                <c:pt idx="105">
                  <c:v>64.132507545389785</c:v>
                </c:pt>
                <c:pt idx="106">
                  <c:v>64.673707742027673</c:v>
                </c:pt>
                <c:pt idx="107">
                  <c:v>65.204215602133289</c:v>
                </c:pt>
                <c:pt idx="108">
                  <c:v>65.723872567940234</c:v>
                </c:pt>
                <c:pt idx="109">
                  <c:v>66.232523948944703</c:v>
                </c:pt>
                <c:pt idx="110">
                  <c:v>66.730018921905469</c:v>
                </c:pt>
                <c:pt idx="111">
                  <c:v>67.21621053084391</c:v>
                </c:pt>
                <c:pt idx="112">
                  <c:v>67.69095568704401</c:v>
                </c:pt>
                <c:pt idx="113">
                  <c:v>68.154115169052332</c:v>
                </c:pt>
                <c:pt idx="114">
                  <c:v>68.60555362267803</c:v>
                </c:pt>
                <c:pt idx="115">
                  <c:v>69.04513956099288</c:v>
                </c:pt>
                <c:pt idx="116">
                  <c:v>69.472745364331232</c:v>
                </c:pt>
                <c:pt idx="117">
                  <c:v>69.888247280290031</c:v>
                </c:pt>
                <c:pt idx="118">
                  <c:v>70.291525423728814</c:v>
                </c:pt>
                <c:pt idx="119">
                  <c:v>70.682463776769751</c:v>
                </c:pt>
                <c:pt idx="120">
                  <c:v>71.060950188797548</c:v>
                </c:pt>
                <c:pt idx="121">
                  <c:v>71.42687637645956</c:v>
                </c:pt>
                <c:pt idx="122">
                  <c:v>71.780137923665677</c:v>
                </c:pt>
                <c:pt idx="123">
                  <c:v>72.120634281588465</c:v>
                </c:pt>
                <c:pt idx="124">
                  <c:v>72.448268768663027</c:v>
                </c:pt>
                <c:pt idx="125">
                  <c:v>72.762948570587056</c:v>
                </c:pt>
                <c:pt idx="126">
                  <c:v>73.064584740320882</c:v>
                </c:pt>
                <c:pt idx="127">
                  <c:v>73.35309219808741</c:v>
                </c:pt>
                <c:pt idx="128">
                  <c:v>73.62838973137211</c:v>
                </c:pt>
                <c:pt idx="129">
                  <c:v>73.890399994923115</c:v>
                </c:pt>
                <c:pt idx="130">
                  <c:v>74.139049510751079</c:v>
                </c:pt>
                <c:pt idx="131">
                  <c:v>74.374268668129304</c:v>
                </c:pt>
                <c:pt idx="132">
                  <c:v>74.59599172359367</c:v>
                </c:pt>
                <c:pt idx="133">
                  <c:v>74.80415680094265</c:v>
                </c:pt>
                <c:pt idx="134">
                  <c:v>74.998705891237307</c:v>
                </c:pt>
                <c:pt idx="135">
                  <c:v>75.179584852801327</c:v>
                </c:pt>
                <c:pt idx="136">
                  <c:v>75.346743411220956</c:v>
                </c:pt>
                <c:pt idx="137">
                  <c:v>75.500135159345035</c:v>
                </c:pt>
                <c:pt idx="138">
                  <c:v>75.639717557285053</c:v>
                </c:pt>
                <c:pt idx="139">
                  <c:v>75.765451932415019</c:v>
                </c:pt>
                <c:pt idx="140">
                  <c:v>75.877303479371605</c:v>
                </c:pt>
                <c:pt idx="141">
                  <c:v>75.97524126005402</c:v>
                </c:pt>
                <c:pt idx="142">
                  <c:v>76.059238203624133</c:v>
                </c:pt>
                <c:pt idx="143">
                  <c:v>76.129271106506337</c:v>
                </c:pt>
                <c:pt idx="144">
                  <c:v>76.185320632387686</c:v>
                </c:pt>
                <c:pt idx="145">
                  <c:v>76.22737131221777</c:v>
                </c:pt>
                <c:pt idx="146">
                  <c:v>76.255411544208826</c:v>
                </c:pt>
                <c:pt idx="147">
                  <c:v>76.269433593835657</c:v>
                </c:pt>
                <c:pt idx="148">
                  <c:v>76.269433593835657</c:v>
                </c:pt>
                <c:pt idx="149">
                  <c:v>76.255411544208826</c:v>
                </c:pt>
                <c:pt idx="150">
                  <c:v>76.22737131221777</c:v>
                </c:pt>
                <c:pt idx="151">
                  <c:v>76.185320632387686</c:v>
                </c:pt>
                <c:pt idx="152">
                  <c:v>76.129271106506337</c:v>
                </c:pt>
                <c:pt idx="153">
                  <c:v>76.059238203624133</c:v>
                </c:pt>
                <c:pt idx="154">
                  <c:v>75.97524126005402</c:v>
                </c:pt>
                <c:pt idx="155">
                  <c:v>75.877303479371605</c:v>
                </c:pt>
                <c:pt idx="156">
                  <c:v>75.765451932415019</c:v>
                </c:pt>
                <c:pt idx="157">
                  <c:v>75.639717557285039</c:v>
                </c:pt>
                <c:pt idx="158">
                  <c:v>75.500135159345035</c:v>
                </c:pt>
                <c:pt idx="159">
                  <c:v>75.346743411220942</c:v>
                </c:pt>
                <c:pt idx="160">
                  <c:v>75.179584852801327</c:v>
                </c:pt>
                <c:pt idx="161">
                  <c:v>74.998705891237307</c:v>
                </c:pt>
                <c:pt idx="162">
                  <c:v>74.80415680094265</c:v>
                </c:pt>
                <c:pt idx="163">
                  <c:v>74.59599172359367</c:v>
                </c:pt>
                <c:pt idx="164">
                  <c:v>74.374268668129304</c:v>
                </c:pt>
                <c:pt idx="165">
                  <c:v>74.139049510751065</c:v>
                </c:pt>
                <c:pt idx="166">
                  <c:v>73.890399994923101</c:v>
                </c:pt>
                <c:pt idx="167">
                  <c:v>73.628389731372096</c:v>
                </c:pt>
                <c:pt idx="168">
                  <c:v>73.353092198087396</c:v>
                </c:pt>
                <c:pt idx="169">
                  <c:v>73.064584740320882</c:v>
                </c:pt>
                <c:pt idx="170">
                  <c:v>72.762948570587056</c:v>
                </c:pt>
                <c:pt idx="171">
                  <c:v>72.448268768663013</c:v>
                </c:pt>
                <c:pt idx="172">
                  <c:v>72.120634281588465</c:v>
                </c:pt>
                <c:pt idx="173">
                  <c:v>71.780137923665677</c:v>
                </c:pt>
                <c:pt idx="174">
                  <c:v>71.426876376459532</c:v>
                </c:pt>
                <c:pt idx="175">
                  <c:v>71.060950188797534</c:v>
                </c:pt>
                <c:pt idx="176">
                  <c:v>70.682463776769737</c:v>
                </c:pt>
                <c:pt idx="177">
                  <c:v>70.291525423728814</c:v>
                </c:pt>
                <c:pt idx="178">
                  <c:v>69.888247280290017</c:v>
                </c:pt>
                <c:pt idx="179">
                  <c:v>69.472745364331232</c:v>
                </c:pt>
                <c:pt idx="180">
                  <c:v>69.04513956099288</c:v>
                </c:pt>
                <c:pt idx="181">
                  <c:v>68.60555362267803</c:v>
                </c:pt>
                <c:pt idx="182">
                  <c:v>68.154115169052332</c:v>
                </c:pt>
                <c:pt idx="183">
                  <c:v>67.69095568704401</c:v>
                </c:pt>
                <c:pt idx="184">
                  <c:v>67.21621053084391</c:v>
                </c:pt>
                <c:pt idx="185">
                  <c:v>66.730018921905469</c:v>
                </c:pt>
                <c:pt idx="186">
                  <c:v>66.232523948944689</c:v>
                </c:pt>
                <c:pt idx="187">
                  <c:v>65.723872567940234</c:v>
                </c:pt>
                <c:pt idx="188">
                  <c:v>65.204215602133289</c:v>
                </c:pt>
                <c:pt idx="189">
                  <c:v>64.673707742027673</c:v>
                </c:pt>
                <c:pt idx="190">
                  <c:v>64.132507545389771</c:v>
                </c:pt>
                <c:pt idx="191">
                  <c:v>63.580777437248642</c:v>
                </c:pt>
                <c:pt idx="192">
                  <c:v>63.018683709895832</c:v>
                </c:pt>
                <c:pt idx="193">
                  <c:v>62.446396522885564</c:v>
                </c:pt>
                <c:pt idx="194">
                  <c:v>61.864089903034603</c:v>
                </c:pt>
                <c:pt idx="195">
                  <c:v>61.271941744422364</c:v>
                </c:pt>
                <c:pt idx="196">
                  <c:v>60.670133808390801</c:v>
                </c:pt>
                <c:pt idx="197">
                  <c:v>60.058851723544507</c:v>
                </c:pt>
                <c:pt idx="198">
                  <c:v>59.438284985750627</c:v>
                </c:pt>
                <c:pt idx="199">
                  <c:v>58.808626958138966</c:v>
                </c:pt>
                <c:pt idx="200">
                  <c:v>58.170074871101825</c:v>
                </c:pt>
                <c:pt idx="201">
                  <c:v>57.522829822294241</c:v>
                </c:pt>
                <c:pt idx="202">
                  <c:v>56.867096776633673</c:v>
                </c:pt>
                <c:pt idx="203">
                  <c:v>56.203084566300355</c:v>
                </c:pt>
                <c:pt idx="204">
                  <c:v>55.531005890736957</c:v>
                </c:pt>
                <c:pt idx="205">
                  <c:v>54.851077316648876</c:v>
                </c:pt>
                <c:pt idx="206">
                  <c:v>54.163519278003989</c:v>
                </c:pt>
                <c:pt idx="207">
                  <c:v>53.468556076032861</c:v>
                </c:pt>
                <c:pt idx="208">
                  <c:v>52.766415879228617</c:v>
                </c:pt>
                <c:pt idx="209">
                  <c:v>52.057330723346965</c:v>
                </c:pt>
                <c:pt idx="210">
                  <c:v>51.341536511406233</c:v>
                </c:pt>
                <c:pt idx="211">
                  <c:v>50.619273013687277</c:v>
                </c:pt>
                <c:pt idx="212">
                  <c:v>49.890783867733667</c:v>
                </c:pt>
                <c:pt idx="213">
                  <c:v>49.156316578351458</c:v>
                </c:pt>
                <c:pt idx="214">
                  <c:v>48.416122517609381</c:v>
                </c:pt>
                <c:pt idx="215">
                  <c:v>47.670456924838689</c:v>
                </c:pt>
                <c:pt idx="216">
                  <c:v>46.919578906633305</c:v>
                </c:pt>
                <c:pt idx="217">
                  <c:v>46.163751436849665</c:v>
                </c:pt>
                <c:pt idx="218">
                  <c:v>45.403241356606905</c:v>
                </c:pt>
                <c:pt idx="219">
                  <c:v>44.638319374286631</c:v>
                </c:pt>
                <c:pt idx="220">
                  <c:v>43.869260065533169</c:v>
                </c:pt>
                <c:pt idx="221">
                  <c:v>43.096341873253344</c:v>
                </c:pt>
                <c:pt idx="222">
                  <c:v>42.319847107616638</c:v>
                </c:pt>
                <c:pt idx="223">
                  <c:v>41.540061946055062</c:v>
                </c:pt>
                <c:pt idx="224">
                  <c:v>40.757276433263321</c:v>
                </c:pt>
                <c:pt idx="225">
                  <c:v>39.971784481198597</c:v>
                </c:pt>
                <c:pt idx="226">
                  <c:v>39.183883869080788</c:v>
                </c:pt>
                <c:pt idx="227">
                  <c:v>38.393876243392292</c:v>
                </c:pt>
                <c:pt idx="228">
                  <c:v>37.602067117878164</c:v>
                </c:pt>
                <c:pt idx="229">
                  <c:v>36.808765873545987</c:v>
                </c:pt>
                <c:pt idx="230">
                  <c:v>36.014285758666034</c:v>
                </c:pt>
                <c:pt idx="231">
                  <c:v>35.218943888771065</c:v>
                </c:pt>
                <c:pt idx="232">
                  <c:v>34.423061246656545</c:v>
                </c:pt>
                <c:pt idx="233">
                  <c:v>33.62696268238043</c:v>
                </c:pt>
                <c:pt idx="234">
                  <c:v>32.830976913263363</c:v>
                </c:pt>
                <c:pt idx="235">
                  <c:v>32.035436523888499</c:v>
                </c:pt>
                <c:pt idx="236">
                  <c:v>31.240677966101682</c:v>
                </c:pt>
                <c:pt idx="237">
                  <c:v>30.44704155901125</c:v>
                </c:pt>
                <c:pt idx="238">
                  <c:v>29.654871488988228</c:v>
                </c:pt>
                <c:pt idx="239">
                  <c:v>28.864515809666141</c:v>
                </c:pt>
                <c:pt idx="240">
                  <c:v>28.076326441941227</c:v>
                </c:pt>
                <c:pt idx="241">
                  <c:v>27.290659173972209</c:v>
                </c:pt>
                <c:pt idx="242">
                  <c:v>26.507873661180447</c:v>
                </c:pt>
                <c:pt idx="243">
                  <c:v>25.728333426249932</c:v>
                </c:pt>
                <c:pt idx="244">
                  <c:v>24.952405859127168</c:v>
                </c:pt>
                <c:pt idx="245">
                  <c:v>24.180462217021393</c:v>
                </c:pt>
                <c:pt idx="246">
                  <c:v>23.412877624404238</c:v>
                </c:pt>
                <c:pt idx="247">
                  <c:v>22.650031073010155</c:v>
                </c:pt>
                <c:pt idx="248">
                  <c:v>21.892305421835982</c:v>
                </c:pt>
                <c:pt idx="249">
                  <c:v>21.140087397141325</c:v>
                </c:pt>
                <c:pt idx="250">
                  <c:v>20.39376759244826</c:v>
                </c:pt>
                <c:pt idx="251">
                  <c:v>19.653740468541539</c:v>
                </c:pt>
                <c:pt idx="252">
                  <c:v>18.920404353468459</c:v>
                </c:pt>
                <c:pt idx="253">
                  <c:v>18.194161442538963</c:v>
                </c:pt>
                <c:pt idx="254">
                  <c:v>17.475417798325502</c:v>
                </c:pt>
                <c:pt idx="255">
                  <c:v>16.764583350663251</c:v>
                </c:pt>
                <c:pt idx="256">
                  <c:v>16.062071896649829</c:v>
                </c:pt>
                <c:pt idx="257">
                  <c:v>15.368301100645626</c:v>
                </c:pt>
                <c:pt idx="258">
                  <c:v>14.683692494273417</c:v>
                </c:pt>
                <c:pt idx="259">
                  <c:v>14.00867147641878</c:v>
                </c:pt>
                <c:pt idx="260">
                  <c:v>13.343667313229735</c:v>
                </c:pt>
                <c:pt idx="261">
                  <c:v>12.689113138117005</c:v>
                </c:pt>
                <c:pt idx="262">
                  <c:v>12.045445951753836</c:v>
                </c:pt>
                <c:pt idx="263">
                  <c:v>11.413106622076068</c:v>
                </c:pt>
                <c:pt idx="264">
                  <c:v>10.792539884282192</c:v>
                </c:pt>
                <c:pt idx="265">
                  <c:v>10.184194340833276</c:v>
                </c:pt>
                <c:pt idx="266">
                  <c:v>9.5885224614529267</c:v>
                </c:pt>
                <c:pt idx="267">
                  <c:v>9.00598058312743</c:v>
                </c:pt>
                <c:pt idx="268">
                  <c:v>8.4370289101055995</c:v>
                </c:pt>
                <c:pt idx="269">
                  <c:v>7.8821315138989112</c:v>
                </c:pt>
                <c:pt idx="270">
                  <c:v>7.3417563332813582</c:v>
                </c:pt>
                <c:pt idx="271">
                  <c:v>6.8163751742895959</c:v>
                </c:pt>
                <c:pt idx="272">
                  <c:v>6.3064637102228227</c:v>
                </c:pt>
                <c:pt idx="273">
                  <c:v>5.8125014816428742</c:v>
                </c:pt>
                <c:pt idx="274">
                  <c:v>5.3349718963741397</c:v>
                </c:pt>
                <c:pt idx="275">
                  <c:v>4.874362229503685</c:v>
                </c:pt>
                <c:pt idx="276">
                  <c:v>4.4311636233810416</c:v>
                </c:pt>
                <c:pt idx="277">
                  <c:v>4.0058710876184556</c:v>
                </c:pt>
                <c:pt idx="278">
                  <c:v>3.5989834990906995</c:v>
                </c:pt>
                <c:pt idx="279">
                  <c:v>3.211003601935186</c:v>
                </c:pt>
                <c:pt idx="280">
                  <c:v>2.8424380075518934</c:v>
                </c:pt>
                <c:pt idx="281">
                  <c:v>2.4937971946033768</c:v>
                </c:pt>
                <c:pt idx="282">
                  <c:v>2.1655955090148553</c:v>
                </c:pt>
                <c:pt idx="283">
                  <c:v>1.8583511639740529</c:v>
                </c:pt>
                <c:pt idx="284">
                  <c:v>1.5725862399313792</c:v>
                </c:pt>
                <c:pt idx="285">
                  <c:v>1.3088266845997751</c:v>
                </c:pt>
                <c:pt idx="286">
                  <c:v>1.0676023129548065</c:v>
                </c:pt>
                <c:pt idx="287">
                  <c:v>0.84944680723460564</c:v>
                </c:pt>
                <c:pt idx="288">
                  <c:v>0.65489771693995491</c:v>
                </c:pt>
                <c:pt idx="289">
                  <c:v>0.48449645883417874</c:v>
                </c:pt>
                <c:pt idx="290">
                  <c:v>0.33878831694319134</c:v>
                </c:pt>
                <c:pt idx="291">
                  <c:v>0.21832244255555716</c:v>
                </c:pt>
                <c:pt idx="292">
                  <c:v>0.12365185422239466</c:v>
                </c:pt>
                <c:pt idx="293">
                  <c:v>5.5333437757448346E-2</c:v>
                </c:pt>
                <c:pt idx="294">
                  <c:v>1.392794623700459E-2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16-4EA1-894A-C1E025F489A4}"/>
            </c:ext>
          </c:extLst>
        </c:ser>
        <c:ser>
          <c:idx val="2"/>
          <c:order val="2"/>
          <c:tx>
            <c:v>trap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[0]!trap.qd1</c:f>
              <c:numCache>
                <c:formatCode>0.00000</c:formatCode>
                <c:ptCount val="296"/>
                <c:pt idx="0">
                  <c:v>0</c:v>
                </c:pt>
                <c:pt idx="1">
                  <c:v>0.6205113473139906</c:v>
                </c:pt>
                <c:pt idx="2">
                  <c:v>1.2410226946279812</c:v>
                </c:pt>
                <c:pt idx="3">
                  <c:v>1.8615340419419719</c:v>
                </c:pt>
                <c:pt idx="4">
                  <c:v>2.4820453892559624</c:v>
                </c:pt>
                <c:pt idx="5">
                  <c:v>3.1025567365699533</c:v>
                </c:pt>
                <c:pt idx="6">
                  <c:v>3.7230680838839438</c:v>
                </c:pt>
                <c:pt idx="7">
                  <c:v>4.3435794311979343</c:v>
                </c:pt>
                <c:pt idx="8">
                  <c:v>4.9640907785119248</c:v>
                </c:pt>
                <c:pt idx="9">
                  <c:v>5.5846021258259162</c:v>
                </c:pt>
                <c:pt idx="10">
                  <c:v>6.2051134731399067</c:v>
                </c:pt>
                <c:pt idx="11">
                  <c:v>6.8256248204538963</c:v>
                </c:pt>
                <c:pt idx="12">
                  <c:v>7.4461361677678877</c:v>
                </c:pt>
                <c:pt idx="13">
                  <c:v>8.066647515081879</c:v>
                </c:pt>
                <c:pt idx="14">
                  <c:v>8.6871588623958687</c:v>
                </c:pt>
                <c:pt idx="15">
                  <c:v>9.3076702097098494</c:v>
                </c:pt>
                <c:pt idx="16">
                  <c:v>9.9281815570238496</c:v>
                </c:pt>
                <c:pt idx="17">
                  <c:v>10.54869290433783</c:v>
                </c:pt>
                <c:pt idx="18">
                  <c:v>11.169204251651832</c:v>
                </c:pt>
                <c:pt idx="19">
                  <c:v>11.789715598965811</c:v>
                </c:pt>
                <c:pt idx="20">
                  <c:v>12.410226946279803</c:v>
                </c:pt>
                <c:pt idx="21">
                  <c:v>13.030738293593794</c:v>
                </c:pt>
                <c:pt idx="22">
                  <c:v>13.651249640907784</c:v>
                </c:pt>
                <c:pt idx="23">
                  <c:v>14.271760988221775</c:v>
                </c:pt>
                <c:pt idx="24">
                  <c:v>14.892272335535766</c:v>
                </c:pt>
                <c:pt idx="25">
                  <c:v>15.512783682849758</c:v>
                </c:pt>
                <c:pt idx="26">
                  <c:v>16.133295030163744</c:v>
                </c:pt>
                <c:pt idx="27">
                  <c:v>16.753806377477737</c:v>
                </c:pt>
                <c:pt idx="28">
                  <c:v>17.374317724791727</c:v>
                </c:pt>
                <c:pt idx="29">
                  <c:v>17.99482907210572</c:v>
                </c:pt>
                <c:pt idx="30">
                  <c:v>18.615340419419709</c:v>
                </c:pt>
                <c:pt idx="31">
                  <c:v>19.235851766733699</c:v>
                </c:pt>
                <c:pt idx="32">
                  <c:v>19.856363114047692</c:v>
                </c:pt>
                <c:pt idx="33">
                  <c:v>20.476874461361678</c:v>
                </c:pt>
                <c:pt idx="34">
                  <c:v>21.097385808675671</c:v>
                </c:pt>
                <c:pt idx="35">
                  <c:v>21.717897155989661</c:v>
                </c:pt>
                <c:pt idx="36">
                  <c:v>22.338408503303654</c:v>
                </c:pt>
                <c:pt idx="37">
                  <c:v>22.958919850617644</c:v>
                </c:pt>
                <c:pt idx="38">
                  <c:v>23.579431197931623</c:v>
                </c:pt>
                <c:pt idx="39">
                  <c:v>24.199942545245626</c:v>
                </c:pt>
                <c:pt idx="40">
                  <c:v>24.820453892559605</c:v>
                </c:pt>
                <c:pt idx="41">
                  <c:v>25.440965239873609</c:v>
                </c:pt>
                <c:pt idx="42">
                  <c:v>26.061476587187588</c:v>
                </c:pt>
                <c:pt idx="43">
                  <c:v>26.681987934501588</c:v>
                </c:pt>
                <c:pt idx="44">
                  <c:v>27.302499281815567</c:v>
                </c:pt>
                <c:pt idx="45">
                  <c:v>27.923010629129564</c:v>
                </c:pt>
                <c:pt idx="46">
                  <c:v>28.54352197644355</c:v>
                </c:pt>
                <c:pt idx="47">
                  <c:v>29.164033323757547</c:v>
                </c:pt>
                <c:pt idx="48">
                  <c:v>29.784544671071533</c:v>
                </c:pt>
                <c:pt idx="49">
                  <c:v>30.40505601838553</c:v>
                </c:pt>
                <c:pt idx="50">
                  <c:v>31.025567365699516</c:v>
                </c:pt>
                <c:pt idx="51">
                  <c:v>31.646078713013512</c:v>
                </c:pt>
                <c:pt idx="52">
                  <c:v>32.266590060327488</c:v>
                </c:pt>
                <c:pt idx="53">
                  <c:v>32.887101407641481</c:v>
                </c:pt>
                <c:pt idx="54">
                  <c:v>33.507612754955474</c:v>
                </c:pt>
                <c:pt idx="55">
                  <c:v>34.128124102269467</c:v>
                </c:pt>
                <c:pt idx="56">
                  <c:v>34.748635449583453</c:v>
                </c:pt>
                <c:pt idx="57">
                  <c:v>35.369146796897446</c:v>
                </c:pt>
                <c:pt idx="58">
                  <c:v>35.98965814421144</c:v>
                </c:pt>
                <c:pt idx="59">
                  <c:v>36.610169491525426</c:v>
                </c:pt>
                <c:pt idx="60">
                  <c:v>37.230680838839419</c:v>
                </c:pt>
                <c:pt idx="61">
                  <c:v>37.851192186153412</c:v>
                </c:pt>
                <c:pt idx="62">
                  <c:v>38.471703533467398</c:v>
                </c:pt>
                <c:pt idx="63">
                  <c:v>39.092214880781391</c:v>
                </c:pt>
                <c:pt idx="64">
                  <c:v>39.712726228095384</c:v>
                </c:pt>
                <c:pt idx="65">
                  <c:v>40.333237575409377</c:v>
                </c:pt>
                <c:pt idx="66">
                  <c:v>40.953748922723356</c:v>
                </c:pt>
                <c:pt idx="67">
                  <c:v>41.57426027003735</c:v>
                </c:pt>
                <c:pt idx="68">
                  <c:v>42.194771617351343</c:v>
                </c:pt>
                <c:pt idx="69">
                  <c:v>42.815282964665329</c:v>
                </c:pt>
                <c:pt idx="70">
                  <c:v>43.435794311979322</c:v>
                </c:pt>
                <c:pt idx="71">
                  <c:v>44.056305659293315</c:v>
                </c:pt>
                <c:pt idx="72">
                  <c:v>44.676817006607308</c:v>
                </c:pt>
                <c:pt idx="73">
                  <c:v>45.297328353921287</c:v>
                </c:pt>
                <c:pt idx="74">
                  <c:v>45.917839701235273</c:v>
                </c:pt>
                <c:pt idx="75">
                  <c:v>46.538351048549266</c:v>
                </c:pt>
                <c:pt idx="76">
                  <c:v>47.15886239586326</c:v>
                </c:pt>
                <c:pt idx="77">
                  <c:v>47.779373743177246</c:v>
                </c:pt>
                <c:pt idx="78">
                  <c:v>48.399885090491239</c:v>
                </c:pt>
                <c:pt idx="79">
                  <c:v>49.020396437805232</c:v>
                </c:pt>
                <c:pt idx="80">
                  <c:v>49.640907785119218</c:v>
                </c:pt>
                <c:pt idx="81">
                  <c:v>50.261419132433211</c:v>
                </c:pt>
                <c:pt idx="82">
                  <c:v>50.881930479747204</c:v>
                </c:pt>
                <c:pt idx="83">
                  <c:v>51.502441827061197</c:v>
                </c:pt>
                <c:pt idx="84">
                  <c:v>52.122953174375183</c:v>
                </c:pt>
                <c:pt idx="85">
                  <c:v>52.743464521689177</c:v>
                </c:pt>
                <c:pt idx="86">
                  <c:v>53.36397586900317</c:v>
                </c:pt>
                <c:pt idx="87">
                  <c:v>53.984487216317163</c:v>
                </c:pt>
                <c:pt idx="88">
                  <c:v>54.604998563631149</c:v>
                </c:pt>
                <c:pt idx="89">
                  <c:v>55.225509910945135</c:v>
                </c:pt>
                <c:pt idx="90">
                  <c:v>55.846021258259128</c:v>
                </c:pt>
                <c:pt idx="91">
                  <c:v>56.466532605573114</c:v>
                </c:pt>
                <c:pt idx="92">
                  <c:v>57.087043952887115</c:v>
                </c:pt>
                <c:pt idx="93">
                  <c:v>57.707555300201101</c:v>
                </c:pt>
                <c:pt idx="94">
                  <c:v>58.328066647515094</c:v>
                </c:pt>
                <c:pt idx="95">
                  <c:v>58.94857799482908</c:v>
                </c:pt>
                <c:pt idx="96">
                  <c:v>59.569089342143066</c:v>
                </c:pt>
                <c:pt idx="97">
                  <c:v>60.189600689457066</c:v>
                </c:pt>
                <c:pt idx="98">
                  <c:v>60.810112036771045</c:v>
                </c:pt>
                <c:pt idx="99">
                  <c:v>61.016949152542374</c:v>
                </c:pt>
                <c:pt idx="100">
                  <c:v>61.016949152542374</c:v>
                </c:pt>
                <c:pt idx="101">
                  <c:v>61.016949152542374</c:v>
                </c:pt>
                <c:pt idx="102">
                  <c:v>61.016949152542374</c:v>
                </c:pt>
                <c:pt idx="103">
                  <c:v>61.016949152542374</c:v>
                </c:pt>
                <c:pt idx="104">
                  <c:v>61.016949152542374</c:v>
                </c:pt>
                <c:pt idx="105">
                  <c:v>61.016949152542374</c:v>
                </c:pt>
                <c:pt idx="106">
                  <c:v>61.016949152542374</c:v>
                </c:pt>
                <c:pt idx="107">
                  <c:v>61.016949152542374</c:v>
                </c:pt>
                <c:pt idx="108">
                  <c:v>61.016949152542374</c:v>
                </c:pt>
                <c:pt idx="109">
                  <c:v>61.016949152542374</c:v>
                </c:pt>
                <c:pt idx="110">
                  <c:v>61.016949152542374</c:v>
                </c:pt>
                <c:pt idx="111">
                  <c:v>61.016949152542374</c:v>
                </c:pt>
                <c:pt idx="112">
                  <c:v>61.016949152542374</c:v>
                </c:pt>
                <c:pt idx="113">
                  <c:v>61.016949152542374</c:v>
                </c:pt>
                <c:pt idx="114">
                  <c:v>61.016949152542374</c:v>
                </c:pt>
                <c:pt idx="115">
                  <c:v>61.016949152542374</c:v>
                </c:pt>
                <c:pt idx="116">
                  <c:v>61.016949152542374</c:v>
                </c:pt>
                <c:pt idx="117">
                  <c:v>61.016949152542374</c:v>
                </c:pt>
                <c:pt idx="118">
                  <c:v>61.016949152542374</c:v>
                </c:pt>
                <c:pt idx="119">
                  <c:v>61.016949152542374</c:v>
                </c:pt>
                <c:pt idx="120">
                  <c:v>61.016949152542374</c:v>
                </c:pt>
                <c:pt idx="121">
                  <c:v>61.016949152542374</c:v>
                </c:pt>
                <c:pt idx="122">
                  <c:v>61.016949152542374</c:v>
                </c:pt>
                <c:pt idx="123">
                  <c:v>61.016949152542374</c:v>
                </c:pt>
                <c:pt idx="124">
                  <c:v>61.016949152542374</c:v>
                </c:pt>
                <c:pt idx="125">
                  <c:v>61.016949152542374</c:v>
                </c:pt>
                <c:pt idx="126">
                  <c:v>61.016949152542374</c:v>
                </c:pt>
                <c:pt idx="127">
                  <c:v>61.016949152542374</c:v>
                </c:pt>
                <c:pt idx="128">
                  <c:v>61.016949152542374</c:v>
                </c:pt>
                <c:pt idx="129">
                  <c:v>61.016949152542374</c:v>
                </c:pt>
                <c:pt idx="130">
                  <c:v>61.016949152542374</c:v>
                </c:pt>
                <c:pt idx="131">
                  <c:v>61.016949152542374</c:v>
                </c:pt>
                <c:pt idx="132">
                  <c:v>61.016949152542374</c:v>
                </c:pt>
                <c:pt idx="133">
                  <c:v>61.016949152542374</c:v>
                </c:pt>
                <c:pt idx="134">
                  <c:v>61.016949152542374</c:v>
                </c:pt>
                <c:pt idx="135">
                  <c:v>61.016949152542374</c:v>
                </c:pt>
                <c:pt idx="136">
                  <c:v>61.016949152542374</c:v>
                </c:pt>
                <c:pt idx="137">
                  <c:v>61.016949152542374</c:v>
                </c:pt>
                <c:pt idx="138">
                  <c:v>61.016949152542374</c:v>
                </c:pt>
                <c:pt idx="139">
                  <c:v>61.016949152542374</c:v>
                </c:pt>
                <c:pt idx="140">
                  <c:v>61.016949152542374</c:v>
                </c:pt>
                <c:pt idx="141">
                  <c:v>61.016949152542374</c:v>
                </c:pt>
                <c:pt idx="142">
                  <c:v>61.016949152542374</c:v>
                </c:pt>
                <c:pt idx="143">
                  <c:v>61.016949152542374</c:v>
                </c:pt>
                <c:pt idx="144">
                  <c:v>61.016949152542374</c:v>
                </c:pt>
                <c:pt idx="145">
                  <c:v>61.016949152542374</c:v>
                </c:pt>
                <c:pt idx="146">
                  <c:v>61.016949152542374</c:v>
                </c:pt>
                <c:pt idx="147">
                  <c:v>61.016949152542374</c:v>
                </c:pt>
                <c:pt idx="148">
                  <c:v>61.016949152542374</c:v>
                </c:pt>
                <c:pt idx="149">
                  <c:v>61.016949152542374</c:v>
                </c:pt>
                <c:pt idx="150">
                  <c:v>61.016949152542374</c:v>
                </c:pt>
                <c:pt idx="151">
                  <c:v>61.016949152542374</c:v>
                </c:pt>
                <c:pt idx="152">
                  <c:v>61.016949152542374</c:v>
                </c:pt>
                <c:pt idx="153">
                  <c:v>61.016949152542374</c:v>
                </c:pt>
                <c:pt idx="154">
                  <c:v>61.016949152542374</c:v>
                </c:pt>
                <c:pt idx="155">
                  <c:v>61.016949152542374</c:v>
                </c:pt>
                <c:pt idx="156">
                  <c:v>61.016949152542374</c:v>
                </c:pt>
                <c:pt idx="157">
                  <c:v>61.016949152542374</c:v>
                </c:pt>
                <c:pt idx="158">
                  <c:v>61.016949152542374</c:v>
                </c:pt>
                <c:pt idx="159">
                  <c:v>61.016949152542374</c:v>
                </c:pt>
                <c:pt idx="160">
                  <c:v>61.016949152542374</c:v>
                </c:pt>
                <c:pt idx="161">
                  <c:v>61.016949152542374</c:v>
                </c:pt>
                <c:pt idx="162">
                  <c:v>61.016949152542374</c:v>
                </c:pt>
                <c:pt idx="163">
                  <c:v>61.016949152542374</c:v>
                </c:pt>
                <c:pt idx="164">
                  <c:v>61.016949152542374</c:v>
                </c:pt>
                <c:pt idx="165">
                  <c:v>61.016949152542374</c:v>
                </c:pt>
                <c:pt idx="166">
                  <c:v>61.016949152542374</c:v>
                </c:pt>
                <c:pt idx="167">
                  <c:v>61.016949152542374</c:v>
                </c:pt>
                <c:pt idx="168">
                  <c:v>61.016949152542374</c:v>
                </c:pt>
                <c:pt idx="169">
                  <c:v>61.016949152542374</c:v>
                </c:pt>
                <c:pt idx="170">
                  <c:v>61.016949152542374</c:v>
                </c:pt>
                <c:pt idx="171">
                  <c:v>61.016949152542374</c:v>
                </c:pt>
                <c:pt idx="172">
                  <c:v>61.016949152542374</c:v>
                </c:pt>
                <c:pt idx="173">
                  <c:v>61.016949152542374</c:v>
                </c:pt>
                <c:pt idx="174">
                  <c:v>61.016949152542374</c:v>
                </c:pt>
                <c:pt idx="175">
                  <c:v>61.016949152542374</c:v>
                </c:pt>
                <c:pt idx="176">
                  <c:v>61.016949152542374</c:v>
                </c:pt>
                <c:pt idx="177">
                  <c:v>61.016949152542374</c:v>
                </c:pt>
                <c:pt idx="178">
                  <c:v>61.016949152542374</c:v>
                </c:pt>
                <c:pt idx="179">
                  <c:v>61.016949152542374</c:v>
                </c:pt>
                <c:pt idx="180">
                  <c:v>61.016949152542374</c:v>
                </c:pt>
                <c:pt idx="181">
                  <c:v>61.016949152542374</c:v>
                </c:pt>
                <c:pt idx="182">
                  <c:v>61.016949152542374</c:v>
                </c:pt>
                <c:pt idx="183">
                  <c:v>61.016949152542374</c:v>
                </c:pt>
                <c:pt idx="184">
                  <c:v>61.016949152542374</c:v>
                </c:pt>
                <c:pt idx="185">
                  <c:v>61.016949152542374</c:v>
                </c:pt>
                <c:pt idx="186">
                  <c:v>61.016949152542374</c:v>
                </c:pt>
                <c:pt idx="187">
                  <c:v>61.016949152542374</c:v>
                </c:pt>
                <c:pt idx="188">
                  <c:v>61.016949152542374</c:v>
                </c:pt>
                <c:pt idx="189">
                  <c:v>61.016949152542374</c:v>
                </c:pt>
                <c:pt idx="190">
                  <c:v>61.016949152542374</c:v>
                </c:pt>
                <c:pt idx="191">
                  <c:v>61.016949152542374</c:v>
                </c:pt>
                <c:pt idx="192">
                  <c:v>61.016949152542374</c:v>
                </c:pt>
                <c:pt idx="193">
                  <c:v>61.016949152542374</c:v>
                </c:pt>
                <c:pt idx="194">
                  <c:v>61.016949152542374</c:v>
                </c:pt>
                <c:pt idx="195">
                  <c:v>61.016949152542374</c:v>
                </c:pt>
                <c:pt idx="196">
                  <c:v>61.016949152542374</c:v>
                </c:pt>
                <c:pt idx="197">
                  <c:v>60.810112036771045</c:v>
                </c:pt>
                <c:pt idx="198">
                  <c:v>60.189600689457038</c:v>
                </c:pt>
                <c:pt idx="199">
                  <c:v>59.569089342143066</c:v>
                </c:pt>
                <c:pt idx="200">
                  <c:v>58.948577994829058</c:v>
                </c:pt>
                <c:pt idx="201">
                  <c:v>58.328066647515087</c:v>
                </c:pt>
                <c:pt idx="202">
                  <c:v>57.707555300201072</c:v>
                </c:pt>
                <c:pt idx="203">
                  <c:v>57.0870439528871</c:v>
                </c:pt>
                <c:pt idx="204">
                  <c:v>56.466532605573093</c:v>
                </c:pt>
                <c:pt idx="205">
                  <c:v>55.846021258259121</c:v>
                </c:pt>
                <c:pt idx="206">
                  <c:v>55.225509910945114</c:v>
                </c:pt>
                <c:pt idx="207">
                  <c:v>54.604998563631113</c:v>
                </c:pt>
                <c:pt idx="208">
                  <c:v>53.984487216317135</c:v>
                </c:pt>
                <c:pt idx="209">
                  <c:v>53.363975869003156</c:v>
                </c:pt>
                <c:pt idx="210">
                  <c:v>52.743464521689177</c:v>
                </c:pt>
                <c:pt idx="211">
                  <c:v>52.122953174375176</c:v>
                </c:pt>
                <c:pt idx="212">
                  <c:v>51.502441827061197</c:v>
                </c:pt>
                <c:pt idx="213">
                  <c:v>50.88193047974719</c:v>
                </c:pt>
                <c:pt idx="214">
                  <c:v>50.261419132433211</c:v>
                </c:pt>
                <c:pt idx="215">
                  <c:v>49.640907785119211</c:v>
                </c:pt>
                <c:pt idx="216">
                  <c:v>49.020396437805232</c:v>
                </c:pt>
                <c:pt idx="217">
                  <c:v>48.399885090491225</c:v>
                </c:pt>
                <c:pt idx="218">
                  <c:v>47.779373743177246</c:v>
                </c:pt>
                <c:pt idx="219">
                  <c:v>47.158862395863245</c:v>
                </c:pt>
                <c:pt idx="220">
                  <c:v>46.538351048549266</c:v>
                </c:pt>
                <c:pt idx="221">
                  <c:v>45.917839701235266</c:v>
                </c:pt>
                <c:pt idx="222">
                  <c:v>45.297328353921287</c:v>
                </c:pt>
                <c:pt idx="223">
                  <c:v>44.676817006607287</c:v>
                </c:pt>
                <c:pt idx="224">
                  <c:v>44.056305659293308</c:v>
                </c:pt>
                <c:pt idx="225">
                  <c:v>43.435794311979308</c:v>
                </c:pt>
                <c:pt idx="226">
                  <c:v>42.815282964665329</c:v>
                </c:pt>
                <c:pt idx="227">
                  <c:v>42.194771617351321</c:v>
                </c:pt>
                <c:pt idx="228">
                  <c:v>41.574260270037342</c:v>
                </c:pt>
                <c:pt idx="229">
                  <c:v>40.953748922723342</c:v>
                </c:pt>
                <c:pt idx="230">
                  <c:v>40.333237575409363</c:v>
                </c:pt>
                <c:pt idx="231">
                  <c:v>39.712726228095356</c:v>
                </c:pt>
                <c:pt idx="232">
                  <c:v>39.092214880781377</c:v>
                </c:pt>
                <c:pt idx="233">
                  <c:v>38.471703533467377</c:v>
                </c:pt>
                <c:pt idx="234">
                  <c:v>37.851192186153398</c:v>
                </c:pt>
                <c:pt idx="235">
                  <c:v>37.230680838839397</c:v>
                </c:pt>
                <c:pt idx="236">
                  <c:v>36.610169491525419</c:v>
                </c:pt>
                <c:pt idx="237">
                  <c:v>35.989658144211418</c:v>
                </c:pt>
                <c:pt idx="238">
                  <c:v>35.369146796897432</c:v>
                </c:pt>
                <c:pt idx="239">
                  <c:v>34.748635449583439</c:v>
                </c:pt>
                <c:pt idx="240">
                  <c:v>34.128124102269453</c:v>
                </c:pt>
                <c:pt idx="241">
                  <c:v>33.507612754955474</c:v>
                </c:pt>
                <c:pt idx="242">
                  <c:v>32.887101407641474</c:v>
                </c:pt>
                <c:pt idx="243">
                  <c:v>32.266590060327488</c:v>
                </c:pt>
                <c:pt idx="244">
                  <c:v>31.646078713013495</c:v>
                </c:pt>
                <c:pt idx="245">
                  <c:v>31.025567365699516</c:v>
                </c:pt>
                <c:pt idx="246">
                  <c:v>30.405056018385512</c:v>
                </c:pt>
                <c:pt idx="247">
                  <c:v>29.784544671071533</c:v>
                </c:pt>
                <c:pt idx="248">
                  <c:v>29.164033323757529</c:v>
                </c:pt>
                <c:pt idx="249">
                  <c:v>28.54352197644355</c:v>
                </c:pt>
                <c:pt idx="250">
                  <c:v>27.923010629129546</c:v>
                </c:pt>
                <c:pt idx="251">
                  <c:v>27.302499281815567</c:v>
                </c:pt>
                <c:pt idx="252">
                  <c:v>26.681987934501567</c:v>
                </c:pt>
                <c:pt idx="253">
                  <c:v>26.061476587187588</c:v>
                </c:pt>
                <c:pt idx="254">
                  <c:v>25.440965239873588</c:v>
                </c:pt>
                <c:pt idx="255">
                  <c:v>24.820453892559605</c:v>
                </c:pt>
                <c:pt idx="256">
                  <c:v>24.199942545245605</c:v>
                </c:pt>
                <c:pt idx="257">
                  <c:v>23.579431197931623</c:v>
                </c:pt>
                <c:pt idx="258">
                  <c:v>22.958919850617622</c:v>
                </c:pt>
                <c:pt idx="259">
                  <c:v>22.338408503303643</c:v>
                </c:pt>
                <c:pt idx="260">
                  <c:v>21.717897155989643</c:v>
                </c:pt>
                <c:pt idx="261">
                  <c:v>21.097385808675661</c:v>
                </c:pt>
                <c:pt idx="262">
                  <c:v>20.47687446136166</c:v>
                </c:pt>
                <c:pt idx="263">
                  <c:v>19.856363114047678</c:v>
                </c:pt>
                <c:pt idx="264">
                  <c:v>19.235851766733681</c:v>
                </c:pt>
                <c:pt idx="265">
                  <c:v>18.615340419419699</c:v>
                </c:pt>
                <c:pt idx="266">
                  <c:v>17.994829072105698</c:v>
                </c:pt>
                <c:pt idx="267">
                  <c:v>17.37431772479172</c:v>
                </c:pt>
                <c:pt idx="268">
                  <c:v>16.753806377477716</c:v>
                </c:pt>
                <c:pt idx="269">
                  <c:v>16.133295030163737</c:v>
                </c:pt>
                <c:pt idx="270">
                  <c:v>15.512783682849737</c:v>
                </c:pt>
                <c:pt idx="271">
                  <c:v>14.892272335535754</c:v>
                </c:pt>
                <c:pt idx="272">
                  <c:v>14.271760988221754</c:v>
                </c:pt>
                <c:pt idx="273">
                  <c:v>13.651249640907773</c:v>
                </c:pt>
                <c:pt idx="274">
                  <c:v>13.030738293593773</c:v>
                </c:pt>
                <c:pt idx="275">
                  <c:v>12.410226946279794</c:v>
                </c:pt>
                <c:pt idx="276">
                  <c:v>11.789715598965792</c:v>
                </c:pt>
                <c:pt idx="277">
                  <c:v>11.16920425165179</c:v>
                </c:pt>
                <c:pt idx="278">
                  <c:v>10.548692904337811</c:v>
                </c:pt>
                <c:pt idx="279">
                  <c:v>9.9281815570238088</c:v>
                </c:pt>
                <c:pt idx="280">
                  <c:v>9.3076702097098298</c:v>
                </c:pt>
                <c:pt idx="281">
                  <c:v>8.6871588623958296</c:v>
                </c:pt>
                <c:pt idx="282">
                  <c:v>8.0666475150818471</c:v>
                </c:pt>
                <c:pt idx="283">
                  <c:v>7.4461361677678468</c:v>
                </c:pt>
                <c:pt idx="284">
                  <c:v>6.825624820453867</c:v>
                </c:pt>
                <c:pt idx="285">
                  <c:v>6.2051134731398658</c:v>
                </c:pt>
                <c:pt idx="286">
                  <c:v>5.5846021258258851</c:v>
                </c:pt>
                <c:pt idx="287">
                  <c:v>4.9640907785118848</c:v>
                </c:pt>
                <c:pt idx="288">
                  <c:v>4.3435794311979041</c:v>
                </c:pt>
                <c:pt idx="289">
                  <c:v>3.7230680838839438</c:v>
                </c:pt>
                <c:pt idx="290">
                  <c:v>3.1025567365699636</c:v>
                </c:pt>
                <c:pt idx="291">
                  <c:v>2.4820453892559624</c:v>
                </c:pt>
                <c:pt idx="292">
                  <c:v>1.8615340419419821</c:v>
                </c:pt>
                <c:pt idx="293">
                  <c:v>1.2410226946279812</c:v>
                </c:pt>
                <c:pt idx="294">
                  <c:v>0.62051134731400082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16-4EA1-894A-C1E025F48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62767"/>
        <c:axId val="1570608351"/>
      </c:scatterChart>
      <c:valAx>
        <c:axId val="10693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[s] </a:t>
                </a:r>
              </a:p>
            </c:rich>
          </c:tx>
          <c:layout>
            <c:manualLayout>
              <c:xMode val="edge"/>
              <c:yMode val="edge"/>
              <c:x val="0.47130208333333334"/>
              <c:y val="0.90049908925318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351"/>
        <c:crosses val="autoZero"/>
        <c:crossBetween val="midCat"/>
      </c:valAx>
      <c:valAx>
        <c:axId val="15706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0"/>
                  <a:t>ω [</a:t>
                </a:r>
                <a:r>
                  <a:rPr lang="en-GB" b="0"/>
                  <a:t>rad/s]</a:t>
                </a:r>
              </a:p>
            </c:rich>
          </c:tx>
          <c:layout>
            <c:manualLayout>
              <c:xMode val="edge"/>
              <c:yMode val="edge"/>
              <c:x val="1.6860702614379084E-2"/>
              <c:y val="0.36802432702517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627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Acceleration</a:t>
            </a:r>
          </a:p>
        </c:rich>
      </c:tx>
      <c:layout>
        <c:manualLayout>
          <c:xMode val="edge"/>
          <c:yMode val="edge"/>
          <c:x val="0.365723958333333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30433006535948"/>
          <c:y val="0.13301457194899818"/>
          <c:w val="0.67907557189542489"/>
          <c:h val="0.67958925318761387"/>
        </c:manualLayout>
      </c:layout>
      <c:scatterChart>
        <c:scatterStyle val="smoothMarker"/>
        <c:varyColors val="0"/>
        <c:ser>
          <c:idx val="1"/>
          <c:order val="0"/>
          <c:tx>
            <c:v>ref poly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[0]!refpoly.qd2</c:f>
              <c:numCache>
                <c:formatCode>0.00000</c:formatCode>
                <c:ptCount val="296"/>
                <c:pt idx="0">
                  <c:v>0</c:v>
                </c:pt>
                <c:pt idx="1">
                  <c:v>111.04457816169487</c:v>
                </c:pt>
                <c:pt idx="2">
                  <c:v>219.822940442538</c:v>
                </c:pt>
                <c:pt idx="3">
                  <c:v>326.35055589291062</c:v>
                </c:pt>
                <c:pt idx="4">
                  <c:v>430.64289356319779</c:v>
                </c:pt>
                <c:pt idx="5">
                  <c:v>532.71542250377433</c:v>
                </c:pt>
                <c:pt idx="6">
                  <c:v>632.58361176502672</c:v>
                </c:pt>
                <c:pt idx="7">
                  <c:v>730.26293039733343</c:v>
                </c:pt>
                <c:pt idx="8">
                  <c:v>825.76884745107964</c:v>
                </c:pt>
                <c:pt idx="9">
                  <c:v>919.11683197664036</c:v>
                </c:pt>
                <c:pt idx="10">
                  <c:v>1010.3223530244003</c:v>
                </c:pt>
                <c:pt idx="11">
                  <c:v>1099.4008796447411</c:v>
                </c:pt>
                <c:pt idx="12">
                  <c:v>1186.3678808880447</c:v>
                </c:pt>
                <c:pt idx="13">
                  <c:v>1271.2388258046892</c:v>
                </c:pt>
                <c:pt idx="14">
                  <c:v>1354.0291834450593</c:v>
                </c:pt>
                <c:pt idx="15">
                  <c:v>1434.7544228595314</c:v>
                </c:pt>
                <c:pt idx="16">
                  <c:v>1513.4300130984923</c:v>
                </c:pt>
                <c:pt idx="17">
                  <c:v>1590.0714232123194</c:v>
                </c:pt>
                <c:pt idx="18">
                  <c:v>1664.6941222513972</c:v>
                </c:pt>
                <c:pt idx="19">
                  <c:v>1737.3135792661042</c:v>
                </c:pt>
                <c:pt idx="20">
                  <c:v>1807.9452633068224</c:v>
                </c:pt>
                <c:pt idx="21">
                  <c:v>1876.6046434239336</c:v>
                </c:pt>
                <c:pt idx="22">
                  <c:v>1943.3071886678179</c:v>
                </c:pt>
                <c:pt idx="23">
                  <c:v>2008.0683680888565</c:v>
                </c:pt>
                <c:pt idx="24">
                  <c:v>2070.9036507374331</c:v>
                </c:pt>
                <c:pt idx="25">
                  <c:v>2131.828505663927</c:v>
                </c:pt>
                <c:pt idx="26">
                  <c:v>2190.8584019187183</c:v>
                </c:pt>
                <c:pt idx="27">
                  <c:v>2248.0088085521907</c:v>
                </c:pt>
                <c:pt idx="28">
                  <c:v>2303.2951946147241</c:v>
                </c:pt>
                <c:pt idx="29">
                  <c:v>2356.7330291566996</c:v>
                </c:pt>
                <c:pt idx="30">
                  <c:v>2408.3377812284998</c:v>
                </c:pt>
                <c:pt idx="31">
                  <c:v>2458.1249198805044</c:v>
                </c:pt>
                <c:pt idx="32">
                  <c:v>2506.1099141630943</c:v>
                </c:pt>
                <c:pt idx="33">
                  <c:v>2552.3082331266519</c:v>
                </c:pt>
                <c:pt idx="34">
                  <c:v>2596.7353458215584</c:v>
                </c:pt>
                <c:pt idx="35">
                  <c:v>2639.4067212981945</c:v>
                </c:pt>
                <c:pt idx="36">
                  <c:v>2680.3378286069424</c:v>
                </c:pt>
                <c:pt idx="37">
                  <c:v>2719.5441367981821</c:v>
                </c:pt>
                <c:pt idx="38">
                  <c:v>2757.0411149222941</c:v>
                </c:pt>
                <c:pt idx="39">
                  <c:v>2792.8442320296635</c:v>
                </c:pt>
                <c:pt idx="40">
                  <c:v>2826.9689571706667</c:v>
                </c:pt>
                <c:pt idx="41">
                  <c:v>2859.4307593956883</c:v>
                </c:pt>
                <c:pt idx="42">
                  <c:v>2890.2451077551073</c:v>
                </c:pt>
                <c:pt idx="43">
                  <c:v>2919.4274712993079</c:v>
                </c:pt>
                <c:pt idx="44">
                  <c:v>2946.9933190786674</c:v>
                </c:pt>
                <c:pt idx="45">
                  <c:v>2972.9581201435717</c:v>
                </c:pt>
                <c:pt idx="46">
                  <c:v>2997.3373435443968</c:v>
                </c:pt>
                <c:pt idx="47">
                  <c:v>3020.1464583315283</c:v>
                </c:pt>
                <c:pt idx="48">
                  <c:v>3041.4009335553442</c:v>
                </c:pt>
                <c:pt idx="49">
                  <c:v>3061.1162382662287</c:v>
                </c:pt>
                <c:pt idx="50">
                  <c:v>3079.3078415145601</c:v>
                </c:pt>
                <c:pt idx="51">
                  <c:v>3095.9912123507224</c:v>
                </c:pt>
                <c:pt idx="52">
                  <c:v>3111.1818198250949</c:v>
                </c:pt>
                <c:pt idx="53">
                  <c:v>3124.8951329880597</c:v>
                </c:pt>
                <c:pt idx="54">
                  <c:v>3137.1466208899974</c:v>
                </c:pt>
                <c:pt idx="55">
                  <c:v>3147.9517525812903</c:v>
                </c:pt>
                <c:pt idx="56">
                  <c:v>3157.3259971123189</c:v>
                </c:pt>
                <c:pt idx="57">
                  <c:v>3165.2848235334641</c:v>
                </c:pt>
                <c:pt idx="58">
                  <c:v>3171.8437008951073</c:v>
                </c:pt>
                <c:pt idx="59">
                  <c:v>3177.0180982476304</c:v>
                </c:pt>
                <c:pt idx="60">
                  <c:v>3180.8234846414143</c:v>
                </c:pt>
                <c:pt idx="61">
                  <c:v>3183.2753291268405</c:v>
                </c:pt>
                <c:pt idx="62">
                  <c:v>3184.3891007542884</c:v>
                </c:pt>
                <c:pt idx="63">
                  <c:v>3184.1802685741418</c:v>
                </c:pt>
                <c:pt idx="64">
                  <c:v>3182.6643016367807</c:v>
                </c:pt>
                <c:pt idx="65">
                  <c:v>3179.8566689925865</c:v>
                </c:pt>
                <c:pt idx="66">
                  <c:v>3175.7728396919406</c:v>
                </c:pt>
                <c:pt idx="67">
                  <c:v>3170.4282827852244</c:v>
                </c:pt>
                <c:pt idx="68">
                  <c:v>3163.8384673228179</c:v>
                </c:pt>
                <c:pt idx="69">
                  <c:v>3156.0188623551039</c:v>
                </c:pt>
                <c:pt idx="70">
                  <c:v>3146.9849369324625</c:v>
                </c:pt>
                <c:pt idx="71">
                  <c:v>3136.7521601052767</c:v>
                </c:pt>
                <c:pt idx="72">
                  <c:v>3125.3360009239245</c:v>
                </c:pt>
                <c:pt idx="73">
                  <c:v>3112.7519284387904</c:v>
                </c:pt>
                <c:pt idx="74">
                  <c:v>3099.0154117002539</c:v>
                </c:pt>
                <c:pt idx="75">
                  <c:v>3084.1419197586965</c:v>
                </c:pt>
                <c:pt idx="76">
                  <c:v>3068.1469216644996</c:v>
                </c:pt>
                <c:pt idx="77">
                  <c:v>3051.0458864680445</c:v>
                </c:pt>
                <c:pt idx="78">
                  <c:v>3032.8542832197118</c:v>
                </c:pt>
                <c:pt idx="79">
                  <c:v>3013.5875809698837</c:v>
                </c:pt>
                <c:pt idx="80">
                  <c:v>2993.2612487689421</c:v>
                </c:pt>
                <c:pt idx="81">
                  <c:v>2971.8907556672661</c:v>
                </c:pt>
                <c:pt idx="82">
                  <c:v>2949.4915707152381</c:v>
                </c:pt>
                <c:pt idx="83">
                  <c:v>2926.0791629632386</c:v>
                </c:pt>
                <c:pt idx="84">
                  <c:v>2901.6690014616502</c:v>
                </c:pt>
                <c:pt idx="85">
                  <c:v>2876.276555260853</c:v>
                </c:pt>
                <c:pt idx="86">
                  <c:v>2849.9172934112289</c:v>
                </c:pt>
                <c:pt idx="87">
                  <c:v>2822.6066849631579</c:v>
                </c:pt>
                <c:pt idx="88">
                  <c:v>2794.3601989670242</c:v>
                </c:pt>
                <c:pt idx="89">
                  <c:v>2765.1933044732054</c:v>
                </c:pt>
                <c:pt idx="90">
                  <c:v>2735.1214705320849</c:v>
                </c:pt>
                <c:pt idx="91">
                  <c:v>2704.1601661940431</c:v>
                </c:pt>
                <c:pt idx="92">
                  <c:v>2672.3248605094623</c:v>
                </c:pt>
                <c:pt idx="93">
                  <c:v>2639.6310225287225</c:v>
                </c:pt>
                <c:pt idx="94">
                  <c:v>2606.0941213022047</c:v>
                </c:pt>
                <c:pt idx="95">
                  <c:v>2571.7296258802921</c:v>
                </c:pt>
                <c:pt idx="96">
                  <c:v>2536.5530053133643</c:v>
                </c:pt>
                <c:pt idx="97">
                  <c:v>2500.5797286518023</c:v>
                </c:pt>
                <c:pt idx="98">
                  <c:v>2463.8252649459882</c:v>
                </c:pt>
                <c:pt idx="99">
                  <c:v>2426.3050832463027</c:v>
                </c:pt>
                <c:pt idx="100">
                  <c:v>2388.0346526031285</c:v>
                </c:pt>
                <c:pt idx="101">
                  <c:v>2349.0294420668447</c:v>
                </c:pt>
                <c:pt idx="102">
                  <c:v>2309.3049206878336</c:v>
                </c:pt>
                <c:pt idx="103">
                  <c:v>2268.8765575164757</c:v>
                </c:pt>
                <c:pt idx="104">
                  <c:v>2227.7598216031538</c:v>
                </c:pt>
                <c:pt idx="105">
                  <c:v>2185.9701819982483</c:v>
                </c:pt>
                <c:pt idx="106">
                  <c:v>2143.5231077521398</c:v>
                </c:pt>
                <c:pt idx="107">
                  <c:v>2100.4340679152101</c:v>
                </c:pt>
                <c:pt idx="108">
                  <c:v>2056.7185315378406</c:v>
                </c:pt>
                <c:pt idx="109">
                  <c:v>2012.391967670412</c:v>
                </c:pt>
                <c:pt idx="110">
                  <c:v>1967.4698453633059</c:v>
                </c:pt>
                <c:pt idx="111">
                  <c:v>1921.9676336669038</c:v>
                </c:pt>
                <c:pt idx="112">
                  <c:v>1875.9008016315868</c:v>
                </c:pt>
                <c:pt idx="113">
                  <c:v>1829.2848183077353</c:v>
                </c:pt>
                <c:pt idx="114">
                  <c:v>1782.1351527457314</c:v>
                </c:pt>
                <c:pt idx="115">
                  <c:v>1734.4672739959565</c:v>
                </c:pt>
                <c:pt idx="116">
                  <c:v>1686.2966511087909</c:v>
                </c:pt>
                <c:pt idx="117">
                  <c:v>1637.6387531346165</c:v>
                </c:pt>
                <c:pt idx="118">
                  <c:v>1588.509049123815</c:v>
                </c:pt>
                <c:pt idx="119">
                  <c:v>1538.9230081267665</c:v>
                </c:pt>
                <c:pt idx="120">
                  <c:v>1488.8960991938529</c:v>
                </c:pt>
                <c:pt idx="121">
                  <c:v>1438.4437913754557</c:v>
                </c:pt>
                <c:pt idx="122">
                  <c:v>1387.5815537219555</c:v>
                </c:pt>
                <c:pt idx="123">
                  <c:v>1336.3248552837335</c:v>
                </c:pt>
                <c:pt idx="124">
                  <c:v>1284.6891651111716</c:v>
                </c:pt>
                <c:pt idx="125">
                  <c:v>1232.6899522546507</c:v>
                </c:pt>
                <c:pt idx="126">
                  <c:v>1180.342685764552</c:v>
                </c:pt>
                <c:pt idx="127">
                  <c:v>1127.6628346912566</c:v>
                </c:pt>
                <c:pt idx="128">
                  <c:v>1074.6658680851463</c:v>
                </c:pt>
                <c:pt idx="129">
                  <c:v>1021.3672549966016</c:v>
                </c:pt>
                <c:pt idx="130">
                  <c:v>967.78246447600407</c:v>
                </c:pt>
                <c:pt idx="131">
                  <c:v>913.92696557373495</c:v>
                </c:pt>
                <c:pt idx="132">
                  <c:v>859.81622734017526</c:v>
                </c:pt>
                <c:pt idx="133">
                  <c:v>805.46571882570663</c:v>
                </c:pt>
                <c:pt idx="134">
                  <c:v>750.89090908071023</c:v>
                </c:pt>
                <c:pt idx="135">
                  <c:v>696.10726715556689</c:v>
                </c:pt>
                <c:pt idx="136">
                  <c:v>641.13026210065823</c:v>
                </c:pt>
                <c:pt idx="137">
                  <c:v>585.97536296636531</c:v>
                </c:pt>
                <c:pt idx="138">
                  <c:v>530.65803880306953</c:v>
                </c:pt>
                <c:pt idx="139">
                  <c:v>475.193758661152</c:v>
                </c:pt>
                <c:pt idx="140">
                  <c:v>419.59799159099396</c:v>
                </c:pt>
                <c:pt idx="141">
                  <c:v>363.88620664297662</c:v>
                </c:pt>
                <c:pt idx="142">
                  <c:v>308.07387286748127</c:v>
                </c:pt>
                <c:pt idx="143">
                  <c:v>252.17645931488914</c:v>
                </c:pt>
                <c:pt idx="144">
                  <c:v>196.20943503558146</c:v>
                </c:pt>
                <c:pt idx="145">
                  <c:v>140.18826907994128</c:v>
                </c:pt>
                <c:pt idx="146">
                  <c:v>84.128430498346191</c:v>
                </c:pt>
                <c:pt idx="147">
                  <c:v>28.045388341179244</c:v>
                </c:pt>
                <c:pt idx="148">
                  <c:v>-28.045388341178324</c:v>
                </c:pt>
                <c:pt idx="149">
                  <c:v>-84.128430498346191</c:v>
                </c:pt>
                <c:pt idx="150">
                  <c:v>-140.18826907994037</c:v>
                </c:pt>
                <c:pt idx="151">
                  <c:v>-196.20943503558331</c:v>
                </c:pt>
                <c:pt idx="152">
                  <c:v>-252.17645931489008</c:v>
                </c:pt>
                <c:pt idx="153">
                  <c:v>-308.07387286748309</c:v>
                </c:pt>
                <c:pt idx="154">
                  <c:v>-363.88620664297753</c:v>
                </c:pt>
                <c:pt idx="155">
                  <c:v>-419.59799159099578</c:v>
                </c:pt>
                <c:pt idx="156">
                  <c:v>-475.19375866115291</c:v>
                </c:pt>
                <c:pt idx="157">
                  <c:v>-530.65803880307146</c:v>
                </c:pt>
                <c:pt idx="158">
                  <c:v>-585.97536296636622</c:v>
                </c:pt>
                <c:pt idx="159">
                  <c:v>-641.13026210065993</c:v>
                </c:pt>
                <c:pt idx="160">
                  <c:v>-696.1072671555678</c:v>
                </c:pt>
                <c:pt idx="161">
                  <c:v>-750.89090908071194</c:v>
                </c:pt>
                <c:pt idx="162">
                  <c:v>-805.46571882570754</c:v>
                </c:pt>
                <c:pt idx="163">
                  <c:v>-859.81622734017708</c:v>
                </c:pt>
                <c:pt idx="164">
                  <c:v>-913.92696557373563</c:v>
                </c:pt>
                <c:pt idx="165">
                  <c:v>-967.78246447600566</c:v>
                </c:pt>
                <c:pt idx="166">
                  <c:v>-1021.3672549966022</c:v>
                </c:pt>
                <c:pt idx="167">
                  <c:v>-1074.6658680851481</c:v>
                </c:pt>
                <c:pt idx="168">
                  <c:v>-1127.6628346912578</c:v>
                </c:pt>
                <c:pt idx="169">
                  <c:v>-1180.3426857645536</c:v>
                </c:pt>
                <c:pt idx="170">
                  <c:v>-1232.6899522546516</c:v>
                </c:pt>
                <c:pt idx="171">
                  <c:v>-1284.6891651111735</c:v>
                </c:pt>
                <c:pt idx="172">
                  <c:v>-1336.3248552837345</c:v>
                </c:pt>
                <c:pt idx="173">
                  <c:v>-1387.5815537219571</c:v>
                </c:pt>
                <c:pt idx="174">
                  <c:v>-1438.4437913754582</c:v>
                </c:pt>
                <c:pt idx="175">
                  <c:v>-1488.8960991938548</c:v>
                </c:pt>
                <c:pt idx="176">
                  <c:v>-1538.9230081267672</c:v>
                </c:pt>
                <c:pt idx="177">
                  <c:v>-1588.509049123815</c:v>
                </c:pt>
                <c:pt idx="178">
                  <c:v>-1637.6387531346177</c:v>
                </c:pt>
                <c:pt idx="179">
                  <c:v>-1686.2966511087909</c:v>
                </c:pt>
                <c:pt idx="180">
                  <c:v>-1734.4672739959569</c:v>
                </c:pt>
                <c:pt idx="181">
                  <c:v>-1782.1351527457314</c:v>
                </c:pt>
                <c:pt idx="182">
                  <c:v>-1829.284818307736</c:v>
                </c:pt>
                <c:pt idx="183">
                  <c:v>-1875.9008016315868</c:v>
                </c:pt>
                <c:pt idx="184">
                  <c:v>-1921.9676336669047</c:v>
                </c:pt>
                <c:pt idx="185">
                  <c:v>-1967.4698453633059</c:v>
                </c:pt>
                <c:pt idx="186">
                  <c:v>-2012.3919676704131</c:v>
                </c:pt>
                <c:pt idx="187">
                  <c:v>-2056.7185315378406</c:v>
                </c:pt>
                <c:pt idx="188">
                  <c:v>-2100.434067915211</c:v>
                </c:pt>
                <c:pt idx="189">
                  <c:v>-2143.5231077521398</c:v>
                </c:pt>
                <c:pt idx="190">
                  <c:v>-2185.9701819982492</c:v>
                </c:pt>
                <c:pt idx="191">
                  <c:v>-2227.7598216031547</c:v>
                </c:pt>
                <c:pt idx="192">
                  <c:v>-2268.8765575164771</c:v>
                </c:pt>
                <c:pt idx="193">
                  <c:v>-2309.3049206878341</c:v>
                </c:pt>
                <c:pt idx="194">
                  <c:v>-2349.0294420668456</c:v>
                </c:pt>
                <c:pt idx="195">
                  <c:v>-2388.0346526031285</c:v>
                </c:pt>
                <c:pt idx="196">
                  <c:v>-2426.3050832463041</c:v>
                </c:pt>
                <c:pt idx="197">
                  <c:v>-2463.8252649459891</c:v>
                </c:pt>
                <c:pt idx="198">
                  <c:v>-2500.5797286518032</c:v>
                </c:pt>
                <c:pt idx="199">
                  <c:v>-2536.5530053133643</c:v>
                </c:pt>
                <c:pt idx="200">
                  <c:v>-2571.729625880293</c:v>
                </c:pt>
                <c:pt idx="201">
                  <c:v>-2606.0941213022056</c:v>
                </c:pt>
                <c:pt idx="202">
                  <c:v>-2639.6310225287234</c:v>
                </c:pt>
                <c:pt idx="203">
                  <c:v>-2672.3248605094623</c:v>
                </c:pt>
                <c:pt idx="204">
                  <c:v>-2704.1601661940449</c:v>
                </c:pt>
                <c:pt idx="205">
                  <c:v>-2735.1214705320854</c:v>
                </c:pt>
                <c:pt idx="206">
                  <c:v>-2765.1933044732068</c:v>
                </c:pt>
                <c:pt idx="207">
                  <c:v>-2794.3601989670256</c:v>
                </c:pt>
                <c:pt idx="208">
                  <c:v>-2822.6066849631598</c:v>
                </c:pt>
                <c:pt idx="209">
                  <c:v>-2849.9172934112289</c:v>
                </c:pt>
                <c:pt idx="210">
                  <c:v>-2876.276555260853</c:v>
                </c:pt>
                <c:pt idx="211">
                  <c:v>-2901.6690014616506</c:v>
                </c:pt>
                <c:pt idx="212">
                  <c:v>-2926.0791629632386</c:v>
                </c:pt>
                <c:pt idx="213">
                  <c:v>-2949.4915707152381</c:v>
                </c:pt>
                <c:pt idx="214">
                  <c:v>-2971.8907556672661</c:v>
                </c:pt>
                <c:pt idx="215">
                  <c:v>-2993.2612487689421</c:v>
                </c:pt>
                <c:pt idx="216">
                  <c:v>-3013.5875809698837</c:v>
                </c:pt>
                <c:pt idx="217">
                  <c:v>-3032.8542832197127</c:v>
                </c:pt>
                <c:pt idx="218">
                  <c:v>-3051.0458864680445</c:v>
                </c:pt>
                <c:pt idx="219">
                  <c:v>-3068.1469216644996</c:v>
                </c:pt>
                <c:pt idx="220">
                  <c:v>-3084.1419197586965</c:v>
                </c:pt>
                <c:pt idx="221">
                  <c:v>-3099.0154117002544</c:v>
                </c:pt>
                <c:pt idx="222">
                  <c:v>-3112.7519284387904</c:v>
                </c:pt>
                <c:pt idx="223">
                  <c:v>-3125.336000923925</c:v>
                </c:pt>
                <c:pt idx="224">
                  <c:v>-3136.7521601052767</c:v>
                </c:pt>
                <c:pt idx="225">
                  <c:v>-3146.9849369324625</c:v>
                </c:pt>
                <c:pt idx="226">
                  <c:v>-3156.0188623551039</c:v>
                </c:pt>
                <c:pt idx="227">
                  <c:v>-3163.8384673228188</c:v>
                </c:pt>
                <c:pt idx="228">
                  <c:v>-3170.4282827852244</c:v>
                </c:pt>
                <c:pt idx="229">
                  <c:v>-3175.7728396919415</c:v>
                </c:pt>
                <c:pt idx="230">
                  <c:v>-3179.8566689925874</c:v>
                </c:pt>
                <c:pt idx="231">
                  <c:v>-3182.6643016367807</c:v>
                </c:pt>
                <c:pt idx="232">
                  <c:v>-3184.1802685741418</c:v>
                </c:pt>
                <c:pt idx="233">
                  <c:v>-3184.3891007542888</c:v>
                </c:pt>
                <c:pt idx="234">
                  <c:v>-3183.2753291268396</c:v>
                </c:pt>
                <c:pt idx="235">
                  <c:v>-3180.8234846414143</c:v>
                </c:pt>
                <c:pt idx="236">
                  <c:v>-3177.0180982476304</c:v>
                </c:pt>
                <c:pt idx="237">
                  <c:v>-3171.8437008951068</c:v>
                </c:pt>
                <c:pt idx="238">
                  <c:v>-3165.2848235334632</c:v>
                </c:pt>
                <c:pt idx="239">
                  <c:v>-3157.3259971123184</c:v>
                </c:pt>
                <c:pt idx="240">
                  <c:v>-3147.9517525812903</c:v>
                </c:pt>
                <c:pt idx="241">
                  <c:v>-3137.1466208899974</c:v>
                </c:pt>
                <c:pt idx="242">
                  <c:v>-3124.8951329880592</c:v>
                </c:pt>
                <c:pt idx="243">
                  <c:v>-3111.1818198250949</c:v>
                </c:pt>
                <c:pt idx="244">
                  <c:v>-3095.9912123507215</c:v>
                </c:pt>
                <c:pt idx="245">
                  <c:v>-3079.3078415145601</c:v>
                </c:pt>
                <c:pt idx="246">
                  <c:v>-3061.1162382662278</c:v>
                </c:pt>
                <c:pt idx="247">
                  <c:v>-3041.4009335553442</c:v>
                </c:pt>
                <c:pt idx="248">
                  <c:v>-3020.1464583315274</c:v>
                </c:pt>
                <c:pt idx="249">
                  <c:v>-2997.3373435443968</c:v>
                </c:pt>
                <c:pt idx="250">
                  <c:v>-2972.9581201435708</c:v>
                </c:pt>
                <c:pt idx="251">
                  <c:v>-2946.9933190786674</c:v>
                </c:pt>
                <c:pt idx="252">
                  <c:v>-2919.4274712993069</c:v>
                </c:pt>
                <c:pt idx="253">
                  <c:v>-2890.2451077551073</c:v>
                </c:pt>
                <c:pt idx="254">
                  <c:v>-2859.4307593956878</c:v>
                </c:pt>
                <c:pt idx="255">
                  <c:v>-2826.9689571706667</c:v>
                </c:pt>
                <c:pt idx="256">
                  <c:v>-2792.8442320296622</c:v>
                </c:pt>
                <c:pt idx="257">
                  <c:v>-2757.0411149222941</c:v>
                </c:pt>
                <c:pt idx="258">
                  <c:v>-2719.5441367981803</c:v>
                </c:pt>
                <c:pt idx="259">
                  <c:v>-2680.3378286069419</c:v>
                </c:pt>
                <c:pt idx="260">
                  <c:v>-2639.4067212981936</c:v>
                </c:pt>
                <c:pt idx="261">
                  <c:v>-2596.735345821558</c:v>
                </c:pt>
                <c:pt idx="262">
                  <c:v>-2552.3082331266505</c:v>
                </c:pt>
                <c:pt idx="263">
                  <c:v>-2506.109914163093</c:v>
                </c:pt>
                <c:pt idx="264">
                  <c:v>-2458.1249198805017</c:v>
                </c:pt>
                <c:pt idx="265">
                  <c:v>-2408.3377812284984</c:v>
                </c:pt>
                <c:pt idx="266">
                  <c:v>-2356.7330291566977</c:v>
                </c:pt>
                <c:pt idx="267">
                  <c:v>-2303.2951946147232</c:v>
                </c:pt>
                <c:pt idx="268">
                  <c:v>-2248.0088085521888</c:v>
                </c:pt>
                <c:pt idx="269">
                  <c:v>-2190.8584019187174</c:v>
                </c:pt>
                <c:pt idx="270">
                  <c:v>-2131.8285056639238</c:v>
                </c:pt>
                <c:pt idx="271">
                  <c:v>-2070.9036507374321</c:v>
                </c:pt>
                <c:pt idx="272">
                  <c:v>-2008.0683680888546</c:v>
                </c:pt>
                <c:pt idx="273">
                  <c:v>-1943.3071886678158</c:v>
                </c:pt>
                <c:pt idx="274">
                  <c:v>-1876.6046434239306</c:v>
                </c:pt>
                <c:pt idx="275">
                  <c:v>-1807.9452633068202</c:v>
                </c:pt>
                <c:pt idx="276">
                  <c:v>-1737.3135792661012</c:v>
                </c:pt>
                <c:pt idx="277">
                  <c:v>-1664.6941222513924</c:v>
                </c:pt>
                <c:pt idx="278">
                  <c:v>-1590.0714232123173</c:v>
                </c:pt>
                <c:pt idx="279">
                  <c:v>-1513.4300130984871</c:v>
                </c:pt>
                <c:pt idx="280">
                  <c:v>-1434.7544228595279</c:v>
                </c:pt>
                <c:pt idx="281">
                  <c:v>-1354.0291834450527</c:v>
                </c:pt>
                <c:pt idx="282">
                  <c:v>-1271.2388258046849</c:v>
                </c:pt>
                <c:pt idx="283">
                  <c:v>-1186.3678808880381</c:v>
                </c:pt>
                <c:pt idx="284">
                  <c:v>-1099.4008796447379</c:v>
                </c:pt>
                <c:pt idx="285">
                  <c:v>-1010.3223530243947</c:v>
                </c:pt>
                <c:pt idx="286">
                  <c:v>-919.11683197663581</c:v>
                </c:pt>
                <c:pt idx="287">
                  <c:v>-825.7688474510727</c:v>
                </c:pt>
                <c:pt idx="288">
                  <c:v>-730.26293039733002</c:v>
                </c:pt>
                <c:pt idx="289">
                  <c:v>-632.58361176502672</c:v>
                </c:pt>
                <c:pt idx="290">
                  <c:v>-532.71542250377809</c:v>
                </c:pt>
                <c:pt idx="291">
                  <c:v>-430.64289356319779</c:v>
                </c:pt>
                <c:pt idx="292">
                  <c:v>-326.35055589291312</c:v>
                </c:pt>
                <c:pt idx="293">
                  <c:v>-219.822940442538</c:v>
                </c:pt>
                <c:pt idx="294">
                  <c:v>-111.04457816169617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5D-4EC5-8BF6-D1A1306B5EB7}"/>
            </c:ext>
          </c:extLst>
        </c:ser>
        <c:ser>
          <c:idx val="0"/>
          <c:order val="1"/>
          <c:tx>
            <c:v>opti poly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[0]!optipoly.qd2</c:f>
              <c:numCache>
                <c:formatCode>0.00000</c:formatCode>
                <c:ptCount val="296"/>
                <c:pt idx="0">
                  <c:v>0</c:v>
                </c:pt>
                <c:pt idx="1">
                  <c:v>111.04457816169487</c:v>
                </c:pt>
                <c:pt idx="2">
                  <c:v>219.822940442538</c:v>
                </c:pt>
                <c:pt idx="3">
                  <c:v>326.35055589291187</c:v>
                </c:pt>
                <c:pt idx="4">
                  <c:v>430.64289356319779</c:v>
                </c:pt>
                <c:pt idx="5">
                  <c:v>532.71542250377433</c:v>
                </c:pt>
                <c:pt idx="6">
                  <c:v>632.58361176502672</c:v>
                </c:pt>
                <c:pt idx="7">
                  <c:v>730.26293039733469</c:v>
                </c:pt>
                <c:pt idx="8">
                  <c:v>825.76884745107839</c:v>
                </c:pt>
                <c:pt idx="9">
                  <c:v>919.11683197664036</c:v>
                </c:pt>
                <c:pt idx="10">
                  <c:v>1010.3223530244017</c:v>
                </c:pt>
                <c:pt idx="11">
                  <c:v>1099.4008796447422</c:v>
                </c:pt>
                <c:pt idx="12">
                  <c:v>1186.3678808880447</c:v>
                </c:pt>
                <c:pt idx="13">
                  <c:v>1271.2388258046892</c:v>
                </c:pt>
                <c:pt idx="14">
                  <c:v>1354.0291834450579</c:v>
                </c:pt>
                <c:pt idx="15">
                  <c:v>1434.7544228595314</c:v>
                </c:pt>
                <c:pt idx="16">
                  <c:v>1513.4300130984923</c:v>
                </c:pt>
                <c:pt idx="17">
                  <c:v>1590.0714232123194</c:v>
                </c:pt>
                <c:pt idx="18">
                  <c:v>1664.6941222513972</c:v>
                </c:pt>
                <c:pt idx="19">
                  <c:v>1737.3135792661028</c:v>
                </c:pt>
                <c:pt idx="20">
                  <c:v>1807.9452633068211</c:v>
                </c:pt>
                <c:pt idx="21">
                  <c:v>1876.6046434239322</c:v>
                </c:pt>
                <c:pt idx="22">
                  <c:v>1943.3071886678179</c:v>
                </c:pt>
                <c:pt idx="23">
                  <c:v>2008.0683680888574</c:v>
                </c:pt>
                <c:pt idx="24">
                  <c:v>2070.9036507374331</c:v>
                </c:pt>
                <c:pt idx="25">
                  <c:v>2131.828505663927</c:v>
                </c:pt>
                <c:pt idx="26">
                  <c:v>2190.8584019187183</c:v>
                </c:pt>
                <c:pt idx="27">
                  <c:v>2248.0088085521907</c:v>
                </c:pt>
                <c:pt idx="28">
                  <c:v>2303.2951946147241</c:v>
                </c:pt>
                <c:pt idx="29">
                  <c:v>2356.7330291566996</c:v>
                </c:pt>
                <c:pt idx="30">
                  <c:v>2408.3377812284989</c:v>
                </c:pt>
                <c:pt idx="31">
                  <c:v>2458.1249198805035</c:v>
                </c:pt>
                <c:pt idx="32">
                  <c:v>2506.1099141630943</c:v>
                </c:pt>
                <c:pt idx="33">
                  <c:v>2552.3082331266528</c:v>
                </c:pt>
                <c:pt idx="34">
                  <c:v>2596.7353458215584</c:v>
                </c:pt>
                <c:pt idx="35">
                  <c:v>2639.4067212981945</c:v>
                </c:pt>
                <c:pt idx="36">
                  <c:v>2680.3378286069424</c:v>
                </c:pt>
                <c:pt idx="37">
                  <c:v>2719.5441367981821</c:v>
                </c:pt>
                <c:pt idx="38">
                  <c:v>2757.0411149222941</c:v>
                </c:pt>
                <c:pt idx="39">
                  <c:v>2792.8442320296635</c:v>
                </c:pt>
                <c:pt idx="40">
                  <c:v>2826.9689571706667</c:v>
                </c:pt>
                <c:pt idx="41">
                  <c:v>2859.4307593956892</c:v>
                </c:pt>
                <c:pt idx="42">
                  <c:v>2890.2451077551082</c:v>
                </c:pt>
                <c:pt idx="43">
                  <c:v>2919.4274712993079</c:v>
                </c:pt>
                <c:pt idx="44">
                  <c:v>2946.9933190786683</c:v>
                </c:pt>
                <c:pt idx="45">
                  <c:v>2972.9581201435717</c:v>
                </c:pt>
                <c:pt idx="46">
                  <c:v>2997.3373435443968</c:v>
                </c:pt>
                <c:pt idx="47">
                  <c:v>3020.1464583315283</c:v>
                </c:pt>
                <c:pt idx="48">
                  <c:v>3041.4009335553442</c:v>
                </c:pt>
                <c:pt idx="49">
                  <c:v>3061.1162382662287</c:v>
                </c:pt>
                <c:pt idx="50">
                  <c:v>3079.3078415145601</c:v>
                </c:pt>
                <c:pt idx="51">
                  <c:v>3095.9912123507224</c:v>
                </c:pt>
                <c:pt idx="52">
                  <c:v>3111.1818198250949</c:v>
                </c:pt>
                <c:pt idx="53">
                  <c:v>3124.8951329880597</c:v>
                </c:pt>
                <c:pt idx="54">
                  <c:v>3137.1466208899974</c:v>
                </c:pt>
                <c:pt idx="55">
                  <c:v>3147.9517525812903</c:v>
                </c:pt>
                <c:pt idx="56">
                  <c:v>3157.3259971123184</c:v>
                </c:pt>
                <c:pt idx="57">
                  <c:v>3165.2848235334641</c:v>
                </c:pt>
                <c:pt idx="58">
                  <c:v>3171.8437008951073</c:v>
                </c:pt>
                <c:pt idx="59">
                  <c:v>3177.0180982476304</c:v>
                </c:pt>
                <c:pt idx="60">
                  <c:v>3180.8234846414143</c:v>
                </c:pt>
                <c:pt idx="61">
                  <c:v>3183.2753291268405</c:v>
                </c:pt>
                <c:pt idx="62">
                  <c:v>3184.3891007542888</c:v>
                </c:pt>
                <c:pt idx="63">
                  <c:v>3184.1802685741418</c:v>
                </c:pt>
                <c:pt idx="64">
                  <c:v>3182.6643016367807</c:v>
                </c:pt>
                <c:pt idx="65">
                  <c:v>3179.8566689925865</c:v>
                </c:pt>
                <c:pt idx="66">
                  <c:v>3175.7728396919406</c:v>
                </c:pt>
                <c:pt idx="67">
                  <c:v>3170.4282827852244</c:v>
                </c:pt>
                <c:pt idx="68">
                  <c:v>3163.8384673228179</c:v>
                </c:pt>
                <c:pt idx="69">
                  <c:v>3156.0188623551039</c:v>
                </c:pt>
                <c:pt idx="70">
                  <c:v>3146.9849369324625</c:v>
                </c:pt>
                <c:pt idx="71">
                  <c:v>3136.7521601052767</c:v>
                </c:pt>
                <c:pt idx="72">
                  <c:v>3125.336000923925</c:v>
                </c:pt>
                <c:pt idx="73">
                  <c:v>3112.7519284387904</c:v>
                </c:pt>
                <c:pt idx="74">
                  <c:v>3099.0154117002539</c:v>
                </c:pt>
                <c:pt idx="75">
                  <c:v>3084.1419197586965</c:v>
                </c:pt>
                <c:pt idx="76">
                  <c:v>3068.1469216644996</c:v>
                </c:pt>
                <c:pt idx="77">
                  <c:v>3051.0458864680445</c:v>
                </c:pt>
                <c:pt idx="78">
                  <c:v>3032.8542832197127</c:v>
                </c:pt>
                <c:pt idx="79">
                  <c:v>3013.5875809698837</c:v>
                </c:pt>
                <c:pt idx="80">
                  <c:v>2993.2612487689421</c:v>
                </c:pt>
                <c:pt idx="81">
                  <c:v>2971.8907556672661</c:v>
                </c:pt>
                <c:pt idx="82">
                  <c:v>2949.4915707152381</c:v>
                </c:pt>
                <c:pt idx="83">
                  <c:v>2926.0791629632386</c:v>
                </c:pt>
                <c:pt idx="84">
                  <c:v>2901.6690014616502</c:v>
                </c:pt>
                <c:pt idx="85">
                  <c:v>2876.276555260853</c:v>
                </c:pt>
                <c:pt idx="86">
                  <c:v>2849.9172934112289</c:v>
                </c:pt>
                <c:pt idx="87">
                  <c:v>2822.6066849631579</c:v>
                </c:pt>
                <c:pt idx="88">
                  <c:v>2794.3601989670242</c:v>
                </c:pt>
                <c:pt idx="89">
                  <c:v>2765.1933044732054</c:v>
                </c:pt>
                <c:pt idx="90">
                  <c:v>2735.1214705320849</c:v>
                </c:pt>
                <c:pt idx="91">
                  <c:v>2704.1601661940431</c:v>
                </c:pt>
                <c:pt idx="92">
                  <c:v>2672.3248605094623</c:v>
                </c:pt>
                <c:pt idx="93">
                  <c:v>2639.6310225287225</c:v>
                </c:pt>
                <c:pt idx="94">
                  <c:v>2606.0941213022047</c:v>
                </c:pt>
                <c:pt idx="95">
                  <c:v>2571.7296258802921</c:v>
                </c:pt>
                <c:pt idx="96">
                  <c:v>2536.5530053133643</c:v>
                </c:pt>
                <c:pt idx="97">
                  <c:v>2500.5797286518023</c:v>
                </c:pt>
                <c:pt idx="98">
                  <c:v>2463.8252649459882</c:v>
                </c:pt>
                <c:pt idx="99">
                  <c:v>2426.3050832463027</c:v>
                </c:pt>
                <c:pt idx="100">
                  <c:v>2388.0346526031285</c:v>
                </c:pt>
                <c:pt idx="101">
                  <c:v>2349.0294420668447</c:v>
                </c:pt>
                <c:pt idx="102">
                  <c:v>2309.3049206878336</c:v>
                </c:pt>
                <c:pt idx="103">
                  <c:v>2268.8765575164757</c:v>
                </c:pt>
                <c:pt idx="104">
                  <c:v>2227.7598216031538</c:v>
                </c:pt>
                <c:pt idx="105">
                  <c:v>2185.9701819982483</c:v>
                </c:pt>
                <c:pt idx="106">
                  <c:v>2143.5231077521398</c:v>
                </c:pt>
                <c:pt idx="107">
                  <c:v>2100.4340679152101</c:v>
                </c:pt>
                <c:pt idx="108">
                  <c:v>2056.7185315378406</c:v>
                </c:pt>
                <c:pt idx="109">
                  <c:v>2012.391967670412</c:v>
                </c:pt>
                <c:pt idx="110">
                  <c:v>1967.4698453633061</c:v>
                </c:pt>
                <c:pt idx="111">
                  <c:v>1921.9676336669038</c:v>
                </c:pt>
                <c:pt idx="112">
                  <c:v>1875.9008016315868</c:v>
                </c:pt>
                <c:pt idx="113">
                  <c:v>1829.2848183077353</c:v>
                </c:pt>
                <c:pt idx="114">
                  <c:v>1782.1351527457314</c:v>
                </c:pt>
                <c:pt idx="115">
                  <c:v>1734.4672739959565</c:v>
                </c:pt>
                <c:pt idx="116">
                  <c:v>1686.2966511087909</c:v>
                </c:pt>
                <c:pt idx="117">
                  <c:v>1637.6387531346165</c:v>
                </c:pt>
                <c:pt idx="118">
                  <c:v>1588.509049123815</c:v>
                </c:pt>
                <c:pt idx="119">
                  <c:v>1538.9230081267665</c:v>
                </c:pt>
                <c:pt idx="120">
                  <c:v>1488.8960991938529</c:v>
                </c:pt>
                <c:pt idx="121">
                  <c:v>1438.4437913754557</c:v>
                </c:pt>
                <c:pt idx="122">
                  <c:v>1387.5815537219555</c:v>
                </c:pt>
                <c:pt idx="123">
                  <c:v>1336.3248552837335</c:v>
                </c:pt>
                <c:pt idx="124">
                  <c:v>1284.6891651111716</c:v>
                </c:pt>
                <c:pt idx="125">
                  <c:v>1232.6899522546507</c:v>
                </c:pt>
                <c:pt idx="126">
                  <c:v>1180.342685764552</c:v>
                </c:pt>
                <c:pt idx="127">
                  <c:v>1127.6628346912566</c:v>
                </c:pt>
                <c:pt idx="128">
                  <c:v>1074.6658680851463</c:v>
                </c:pt>
                <c:pt idx="129">
                  <c:v>1021.3672549966016</c:v>
                </c:pt>
                <c:pt idx="130">
                  <c:v>967.78246447600407</c:v>
                </c:pt>
                <c:pt idx="131">
                  <c:v>913.92696557373495</c:v>
                </c:pt>
                <c:pt idx="132">
                  <c:v>859.81622734017526</c:v>
                </c:pt>
                <c:pt idx="133">
                  <c:v>805.46571882570663</c:v>
                </c:pt>
                <c:pt idx="134">
                  <c:v>750.89090908071023</c:v>
                </c:pt>
                <c:pt idx="135">
                  <c:v>696.107267155567</c:v>
                </c:pt>
                <c:pt idx="136">
                  <c:v>641.13026210065823</c:v>
                </c:pt>
                <c:pt idx="137">
                  <c:v>585.97536296636531</c:v>
                </c:pt>
                <c:pt idx="138">
                  <c:v>530.65803880306953</c:v>
                </c:pt>
                <c:pt idx="139">
                  <c:v>475.193758661152</c:v>
                </c:pt>
                <c:pt idx="140">
                  <c:v>419.59799159099396</c:v>
                </c:pt>
                <c:pt idx="141">
                  <c:v>363.88620664297662</c:v>
                </c:pt>
                <c:pt idx="142">
                  <c:v>308.07387286748127</c:v>
                </c:pt>
                <c:pt idx="143">
                  <c:v>252.17645931488914</c:v>
                </c:pt>
                <c:pt idx="144">
                  <c:v>196.20943503558146</c:v>
                </c:pt>
                <c:pt idx="145">
                  <c:v>140.18826907994128</c:v>
                </c:pt>
                <c:pt idx="146">
                  <c:v>84.128430498346191</c:v>
                </c:pt>
                <c:pt idx="147">
                  <c:v>28.045388341179244</c:v>
                </c:pt>
                <c:pt idx="148">
                  <c:v>-28.045388341178324</c:v>
                </c:pt>
                <c:pt idx="149">
                  <c:v>-84.128430498346191</c:v>
                </c:pt>
                <c:pt idx="150">
                  <c:v>-140.18826907994037</c:v>
                </c:pt>
                <c:pt idx="151">
                  <c:v>-196.20943503558331</c:v>
                </c:pt>
                <c:pt idx="152">
                  <c:v>-252.17645931489008</c:v>
                </c:pt>
                <c:pt idx="153">
                  <c:v>-308.07387286748309</c:v>
                </c:pt>
                <c:pt idx="154">
                  <c:v>-363.88620664297753</c:v>
                </c:pt>
                <c:pt idx="155">
                  <c:v>-419.59799159099578</c:v>
                </c:pt>
                <c:pt idx="156">
                  <c:v>-475.19375866115291</c:v>
                </c:pt>
                <c:pt idx="157">
                  <c:v>-530.65803880307146</c:v>
                </c:pt>
                <c:pt idx="158">
                  <c:v>-585.97536296636622</c:v>
                </c:pt>
                <c:pt idx="159">
                  <c:v>-641.13026210065993</c:v>
                </c:pt>
                <c:pt idx="160">
                  <c:v>-696.1072671555678</c:v>
                </c:pt>
                <c:pt idx="161">
                  <c:v>-750.89090908071194</c:v>
                </c:pt>
                <c:pt idx="162">
                  <c:v>-805.46571882570754</c:v>
                </c:pt>
                <c:pt idx="163">
                  <c:v>-859.81622734017708</c:v>
                </c:pt>
                <c:pt idx="164">
                  <c:v>-913.92696557373563</c:v>
                </c:pt>
                <c:pt idx="165">
                  <c:v>-967.78246447600566</c:v>
                </c:pt>
                <c:pt idx="166">
                  <c:v>-1021.3672549966022</c:v>
                </c:pt>
                <c:pt idx="167">
                  <c:v>-1074.6658680851481</c:v>
                </c:pt>
                <c:pt idx="168">
                  <c:v>-1127.6628346912578</c:v>
                </c:pt>
                <c:pt idx="169">
                  <c:v>-1180.3426857645538</c:v>
                </c:pt>
                <c:pt idx="170">
                  <c:v>-1232.6899522546516</c:v>
                </c:pt>
                <c:pt idx="171">
                  <c:v>-1284.6891651111735</c:v>
                </c:pt>
                <c:pt idx="172">
                  <c:v>-1336.3248552837345</c:v>
                </c:pt>
                <c:pt idx="173">
                  <c:v>-1387.5815537219571</c:v>
                </c:pt>
                <c:pt idx="174">
                  <c:v>-1438.4437913754582</c:v>
                </c:pt>
                <c:pt idx="175">
                  <c:v>-1488.8960991938548</c:v>
                </c:pt>
                <c:pt idx="176">
                  <c:v>-1538.9230081267672</c:v>
                </c:pt>
                <c:pt idx="177">
                  <c:v>-1588.509049123815</c:v>
                </c:pt>
                <c:pt idx="178">
                  <c:v>-1637.6387531346177</c:v>
                </c:pt>
                <c:pt idx="179">
                  <c:v>-1686.2966511087909</c:v>
                </c:pt>
                <c:pt idx="180">
                  <c:v>-1734.4672739959569</c:v>
                </c:pt>
                <c:pt idx="181">
                  <c:v>-1782.1351527457314</c:v>
                </c:pt>
                <c:pt idx="182">
                  <c:v>-1829.284818307736</c:v>
                </c:pt>
                <c:pt idx="183">
                  <c:v>-1875.9008016315868</c:v>
                </c:pt>
                <c:pt idx="184">
                  <c:v>-1921.9676336669047</c:v>
                </c:pt>
                <c:pt idx="185">
                  <c:v>-1967.4698453633061</c:v>
                </c:pt>
                <c:pt idx="186">
                  <c:v>-2012.3919676704131</c:v>
                </c:pt>
                <c:pt idx="187">
                  <c:v>-2056.7185315378406</c:v>
                </c:pt>
                <c:pt idx="188">
                  <c:v>-2100.434067915211</c:v>
                </c:pt>
                <c:pt idx="189">
                  <c:v>-2143.5231077521398</c:v>
                </c:pt>
                <c:pt idx="190">
                  <c:v>-2185.9701819982492</c:v>
                </c:pt>
                <c:pt idx="191">
                  <c:v>-2227.7598216031547</c:v>
                </c:pt>
                <c:pt idx="192">
                  <c:v>-2268.8765575164771</c:v>
                </c:pt>
                <c:pt idx="193">
                  <c:v>-2309.3049206878341</c:v>
                </c:pt>
                <c:pt idx="194">
                  <c:v>-2349.0294420668456</c:v>
                </c:pt>
                <c:pt idx="195">
                  <c:v>-2388.0346526031285</c:v>
                </c:pt>
                <c:pt idx="196">
                  <c:v>-2426.3050832463041</c:v>
                </c:pt>
                <c:pt idx="197">
                  <c:v>-2463.8252649459891</c:v>
                </c:pt>
                <c:pt idx="198">
                  <c:v>-2500.5797286518032</c:v>
                </c:pt>
                <c:pt idx="199">
                  <c:v>-2536.5530053133643</c:v>
                </c:pt>
                <c:pt idx="200">
                  <c:v>-2571.729625880293</c:v>
                </c:pt>
                <c:pt idx="201">
                  <c:v>-2606.0941213022056</c:v>
                </c:pt>
                <c:pt idx="202">
                  <c:v>-2639.6310225287234</c:v>
                </c:pt>
                <c:pt idx="203">
                  <c:v>-2672.3248605094623</c:v>
                </c:pt>
                <c:pt idx="204">
                  <c:v>-2704.160166194044</c:v>
                </c:pt>
                <c:pt idx="205">
                  <c:v>-2735.1214705320854</c:v>
                </c:pt>
                <c:pt idx="206">
                  <c:v>-2765.1933044732068</c:v>
                </c:pt>
                <c:pt idx="207">
                  <c:v>-2794.3601989670256</c:v>
                </c:pt>
                <c:pt idx="208">
                  <c:v>-2822.6066849631598</c:v>
                </c:pt>
                <c:pt idx="209">
                  <c:v>-2849.9172934112289</c:v>
                </c:pt>
                <c:pt idx="210">
                  <c:v>-2876.276555260853</c:v>
                </c:pt>
                <c:pt idx="211">
                  <c:v>-2901.6690014616502</c:v>
                </c:pt>
                <c:pt idx="212">
                  <c:v>-2926.0791629632386</c:v>
                </c:pt>
                <c:pt idx="213">
                  <c:v>-2949.4915707152381</c:v>
                </c:pt>
                <c:pt idx="214">
                  <c:v>-2971.8907556672661</c:v>
                </c:pt>
                <c:pt idx="215">
                  <c:v>-2993.2612487689421</c:v>
                </c:pt>
                <c:pt idx="216">
                  <c:v>-3013.5875809698837</c:v>
                </c:pt>
                <c:pt idx="217">
                  <c:v>-3032.8542832197127</c:v>
                </c:pt>
                <c:pt idx="218">
                  <c:v>-3051.0458864680445</c:v>
                </c:pt>
                <c:pt idx="219">
                  <c:v>-3068.1469216645</c:v>
                </c:pt>
                <c:pt idx="220">
                  <c:v>-3084.1419197586965</c:v>
                </c:pt>
                <c:pt idx="221">
                  <c:v>-3099.0154117002539</c:v>
                </c:pt>
                <c:pt idx="222">
                  <c:v>-3112.7519284387904</c:v>
                </c:pt>
                <c:pt idx="223">
                  <c:v>-3125.336000923925</c:v>
                </c:pt>
                <c:pt idx="224">
                  <c:v>-3136.7521601052758</c:v>
                </c:pt>
                <c:pt idx="225">
                  <c:v>-3146.9849369324625</c:v>
                </c:pt>
                <c:pt idx="226">
                  <c:v>-3156.0188623551039</c:v>
                </c:pt>
                <c:pt idx="227">
                  <c:v>-3163.8384673228188</c:v>
                </c:pt>
                <c:pt idx="228">
                  <c:v>-3170.4282827852244</c:v>
                </c:pt>
                <c:pt idx="229">
                  <c:v>-3175.7728396919415</c:v>
                </c:pt>
                <c:pt idx="230">
                  <c:v>-3179.8566689925874</c:v>
                </c:pt>
                <c:pt idx="231">
                  <c:v>-3182.6643016367807</c:v>
                </c:pt>
                <c:pt idx="232">
                  <c:v>-3184.1802685741418</c:v>
                </c:pt>
                <c:pt idx="233">
                  <c:v>-3184.3891007542888</c:v>
                </c:pt>
                <c:pt idx="234">
                  <c:v>-3183.2753291268396</c:v>
                </c:pt>
                <c:pt idx="235">
                  <c:v>-3180.8234846414143</c:v>
                </c:pt>
                <c:pt idx="236">
                  <c:v>-3177.0180982476304</c:v>
                </c:pt>
                <c:pt idx="237">
                  <c:v>-3171.8437008951073</c:v>
                </c:pt>
                <c:pt idx="238">
                  <c:v>-3165.2848235334632</c:v>
                </c:pt>
                <c:pt idx="239">
                  <c:v>-3157.3259971123184</c:v>
                </c:pt>
                <c:pt idx="240">
                  <c:v>-3147.9517525812903</c:v>
                </c:pt>
                <c:pt idx="241">
                  <c:v>-3137.1466208899974</c:v>
                </c:pt>
                <c:pt idx="242">
                  <c:v>-3124.8951329880592</c:v>
                </c:pt>
                <c:pt idx="243">
                  <c:v>-3111.1818198250949</c:v>
                </c:pt>
                <c:pt idx="244">
                  <c:v>-3095.9912123507215</c:v>
                </c:pt>
                <c:pt idx="245">
                  <c:v>-3079.3078415145601</c:v>
                </c:pt>
                <c:pt idx="246">
                  <c:v>-3061.1162382662278</c:v>
                </c:pt>
                <c:pt idx="247">
                  <c:v>-3041.4009335553442</c:v>
                </c:pt>
                <c:pt idx="248">
                  <c:v>-3020.1464583315274</c:v>
                </c:pt>
                <c:pt idx="249">
                  <c:v>-2997.3373435443968</c:v>
                </c:pt>
                <c:pt idx="250">
                  <c:v>-2972.9581201435708</c:v>
                </c:pt>
                <c:pt idx="251">
                  <c:v>-2946.9933190786683</c:v>
                </c:pt>
                <c:pt idx="252">
                  <c:v>-2919.4274712993069</c:v>
                </c:pt>
                <c:pt idx="253">
                  <c:v>-2890.2451077551082</c:v>
                </c:pt>
                <c:pt idx="254">
                  <c:v>-2859.4307593956873</c:v>
                </c:pt>
                <c:pt idx="255">
                  <c:v>-2826.9689571706667</c:v>
                </c:pt>
                <c:pt idx="256">
                  <c:v>-2792.8442320296622</c:v>
                </c:pt>
                <c:pt idx="257">
                  <c:v>-2757.0411149222941</c:v>
                </c:pt>
                <c:pt idx="258">
                  <c:v>-2719.5441367981812</c:v>
                </c:pt>
                <c:pt idx="259">
                  <c:v>-2680.3378286069419</c:v>
                </c:pt>
                <c:pt idx="260">
                  <c:v>-2639.4067212981936</c:v>
                </c:pt>
                <c:pt idx="261">
                  <c:v>-2596.735345821558</c:v>
                </c:pt>
                <c:pt idx="262">
                  <c:v>-2552.3082331266505</c:v>
                </c:pt>
                <c:pt idx="263">
                  <c:v>-2506.1099141630934</c:v>
                </c:pt>
                <c:pt idx="264">
                  <c:v>-2458.1249198805017</c:v>
                </c:pt>
                <c:pt idx="265">
                  <c:v>-2408.3377812284984</c:v>
                </c:pt>
                <c:pt idx="266">
                  <c:v>-2356.7330291566982</c:v>
                </c:pt>
                <c:pt idx="267">
                  <c:v>-2303.2951946147236</c:v>
                </c:pt>
                <c:pt idx="268">
                  <c:v>-2248.0088085521888</c:v>
                </c:pt>
                <c:pt idx="269">
                  <c:v>-2190.8584019187174</c:v>
                </c:pt>
                <c:pt idx="270">
                  <c:v>-2131.8285056639238</c:v>
                </c:pt>
                <c:pt idx="271">
                  <c:v>-2070.9036507374317</c:v>
                </c:pt>
                <c:pt idx="272">
                  <c:v>-2008.0683680888546</c:v>
                </c:pt>
                <c:pt idx="273">
                  <c:v>-1943.3071886678158</c:v>
                </c:pt>
                <c:pt idx="274">
                  <c:v>-1876.6046434239306</c:v>
                </c:pt>
                <c:pt idx="275">
                  <c:v>-1807.9452633068202</c:v>
                </c:pt>
                <c:pt idx="276">
                  <c:v>-1737.3135792661012</c:v>
                </c:pt>
                <c:pt idx="277">
                  <c:v>-1664.6941222513924</c:v>
                </c:pt>
                <c:pt idx="278">
                  <c:v>-1590.0714232123173</c:v>
                </c:pt>
                <c:pt idx="279">
                  <c:v>-1513.4300130984871</c:v>
                </c:pt>
                <c:pt idx="280">
                  <c:v>-1434.7544228595279</c:v>
                </c:pt>
                <c:pt idx="281">
                  <c:v>-1354.0291834450527</c:v>
                </c:pt>
                <c:pt idx="282">
                  <c:v>-1271.2388258046849</c:v>
                </c:pt>
                <c:pt idx="283">
                  <c:v>-1186.3678808880393</c:v>
                </c:pt>
                <c:pt idx="284">
                  <c:v>-1099.4008796447379</c:v>
                </c:pt>
                <c:pt idx="285">
                  <c:v>-1010.3223530243947</c:v>
                </c:pt>
                <c:pt idx="286">
                  <c:v>-919.11683197663581</c:v>
                </c:pt>
                <c:pt idx="287">
                  <c:v>-825.7688474510727</c:v>
                </c:pt>
                <c:pt idx="288">
                  <c:v>-730.26293039733002</c:v>
                </c:pt>
                <c:pt idx="289">
                  <c:v>-632.58361176502672</c:v>
                </c:pt>
                <c:pt idx="290">
                  <c:v>-532.71542250377684</c:v>
                </c:pt>
                <c:pt idx="291">
                  <c:v>-430.64289356319779</c:v>
                </c:pt>
                <c:pt idx="292">
                  <c:v>-326.35055589291312</c:v>
                </c:pt>
                <c:pt idx="293">
                  <c:v>-219.822940442538</c:v>
                </c:pt>
                <c:pt idx="294">
                  <c:v>-111.04457816169617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5D-4EC5-8BF6-D1A1306B5EB7}"/>
            </c:ext>
          </c:extLst>
        </c:ser>
        <c:ser>
          <c:idx val="2"/>
          <c:order val="2"/>
          <c:tx>
            <c:v>trap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[0]!trap.qd2</c:f>
              <c:numCache>
                <c:formatCode>0.00000</c:formatCode>
                <c:ptCount val="296"/>
                <c:pt idx="0">
                  <c:v>2482.0453892559613</c:v>
                </c:pt>
                <c:pt idx="1">
                  <c:v>2482.0453892559613</c:v>
                </c:pt>
                <c:pt idx="2">
                  <c:v>2482.0453892559613</c:v>
                </c:pt>
                <c:pt idx="3">
                  <c:v>2482.0453892559613</c:v>
                </c:pt>
                <c:pt idx="4">
                  <c:v>2482.0453892559613</c:v>
                </c:pt>
                <c:pt idx="5">
                  <c:v>2482.0453892559613</c:v>
                </c:pt>
                <c:pt idx="6">
                  <c:v>2482.0453892559613</c:v>
                </c:pt>
                <c:pt idx="7">
                  <c:v>2482.0453892559613</c:v>
                </c:pt>
                <c:pt idx="8">
                  <c:v>2482.0453892559613</c:v>
                </c:pt>
                <c:pt idx="9">
                  <c:v>2482.0453892559613</c:v>
                </c:pt>
                <c:pt idx="10">
                  <c:v>2482.0453892559613</c:v>
                </c:pt>
                <c:pt idx="11">
                  <c:v>2482.0453892559613</c:v>
                </c:pt>
                <c:pt idx="12">
                  <c:v>2482.0453892559613</c:v>
                </c:pt>
                <c:pt idx="13">
                  <c:v>2482.0453892559613</c:v>
                </c:pt>
                <c:pt idx="14">
                  <c:v>2482.0453892559613</c:v>
                </c:pt>
                <c:pt idx="15">
                  <c:v>2482.0453892559613</c:v>
                </c:pt>
                <c:pt idx="16">
                  <c:v>2482.0453892559613</c:v>
                </c:pt>
                <c:pt idx="17">
                  <c:v>2482.0453892559613</c:v>
                </c:pt>
                <c:pt idx="18">
                  <c:v>2482.0453892559613</c:v>
                </c:pt>
                <c:pt idx="19">
                  <c:v>2482.0453892559613</c:v>
                </c:pt>
                <c:pt idx="20">
                  <c:v>2482.0453892559613</c:v>
                </c:pt>
                <c:pt idx="21">
                  <c:v>2482.0453892559613</c:v>
                </c:pt>
                <c:pt idx="22">
                  <c:v>2482.0453892559613</c:v>
                </c:pt>
                <c:pt idx="23">
                  <c:v>2482.0453892559613</c:v>
                </c:pt>
                <c:pt idx="24">
                  <c:v>2482.0453892559613</c:v>
                </c:pt>
                <c:pt idx="25">
                  <c:v>2482.0453892559613</c:v>
                </c:pt>
                <c:pt idx="26">
                  <c:v>2482.0453892559613</c:v>
                </c:pt>
                <c:pt idx="27">
                  <c:v>2482.0453892559613</c:v>
                </c:pt>
                <c:pt idx="28">
                  <c:v>2482.0453892559613</c:v>
                </c:pt>
                <c:pt idx="29">
                  <c:v>2482.0453892559613</c:v>
                </c:pt>
                <c:pt idx="30">
                  <c:v>2482.0453892559613</c:v>
                </c:pt>
                <c:pt idx="31">
                  <c:v>2482.0453892559613</c:v>
                </c:pt>
                <c:pt idx="32">
                  <c:v>2482.0453892559613</c:v>
                </c:pt>
                <c:pt idx="33">
                  <c:v>2482.0453892559613</c:v>
                </c:pt>
                <c:pt idx="34">
                  <c:v>2482.0453892559613</c:v>
                </c:pt>
                <c:pt idx="35">
                  <c:v>2482.0453892559613</c:v>
                </c:pt>
                <c:pt idx="36">
                  <c:v>2482.0453892559613</c:v>
                </c:pt>
                <c:pt idx="37">
                  <c:v>2482.0453892559613</c:v>
                </c:pt>
                <c:pt idx="38">
                  <c:v>2482.0453892559613</c:v>
                </c:pt>
                <c:pt idx="39">
                  <c:v>2482.0453892559613</c:v>
                </c:pt>
                <c:pt idx="40">
                  <c:v>2482.0453892559613</c:v>
                </c:pt>
                <c:pt idx="41">
                  <c:v>2482.0453892559613</c:v>
                </c:pt>
                <c:pt idx="42">
                  <c:v>2482.0453892559613</c:v>
                </c:pt>
                <c:pt idx="43">
                  <c:v>2482.0453892559613</c:v>
                </c:pt>
                <c:pt idx="44">
                  <c:v>2482.0453892559613</c:v>
                </c:pt>
                <c:pt idx="45">
                  <c:v>2482.0453892559613</c:v>
                </c:pt>
                <c:pt idx="46">
                  <c:v>2482.0453892559613</c:v>
                </c:pt>
                <c:pt idx="47">
                  <c:v>2482.0453892559613</c:v>
                </c:pt>
                <c:pt idx="48">
                  <c:v>2482.0453892559613</c:v>
                </c:pt>
                <c:pt idx="49">
                  <c:v>2482.0453892559613</c:v>
                </c:pt>
                <c:pt idx="50">
                  <c:v>2482.0453892559613</c:v>
                </c:pt>
                <c:pt idx="51">
                  <c:v>2482.0453892559613</c:v>
                </c:pt>
                <c:pt idx="52">
                  <c:v>2482.0453892559613</c:v>
                </c:pt>
                <c:pt idx="53">
                  <c:v>2482.0453892559613</c:v>
                </c:pt>
                <c:pt idx="54">
                  <c:v>2482.0453892559613</c:v>
                </c:pt>
                <c:pt idx="55">
                  <c:v>2482.0453892559613</c:v>
                </c:pt>
                <c:pt idx="56">
                  <c:v>2482.0453892559613</c:v>
                </c:pt>
                <c:pt idx="57">
                  <c:v>2482.0453892559613</c:v>
                </c:pt>
                <c:pt idx="58">
                  <c:v>2482.0453892559613</c:v>
                </c:pt>
                <c:pt idx="59">
                  <c:v>2482.0453892559613</c:v>
                </c:pt>
                <c:pt idx="60">
                  <c:v>2482.0453892559613</c:v>
                </c:pt>
                <c:pt idx="61">
                  <c:v>2482.0453892559613</c:v>
                </c:pt>
                <c:pt idx="62">
                  <c:v>2482.0453892559613</c:v>
                </c:pt>
                <c:pt idx="63">
                  <c:v>2482.0453892559613</c:v>
                </c:pt>
                <c:pt idx="64">
                  <c:v>2482.0453892559613</c:v>
                </c:pt>
                <c:pt idx="65">
                  <c:v>2482.0453892559613</c:v>
                </c:pt>
                <c:pt idx="66">
                  <c:v>2482.0453892559613</c:v>
                </c:pt>
                <c:pt idx="67">
                  <c:v>2482.0453892559613</c:v>
                </c:pt>
                <c:pt idx="68">
                  <c:v>2482.0453892559613</c:v>
                </c:pt>
                <c:pt idx="69">
                  <c:v>2482.0453892559613</c:v>
                </c:pt>
                <c:pt idx="70">
                  <c:v>2482.0453892559613</c:v>
                </c:pt>
                <c:pt idx="71">
                  <c:v>2482.0453892559613</c:v>
                </c:pt>
                <c:pt idx="72">
                  <c:v>2482.0453892559613</c:v>
                </c:pt>
                <c:pt idx="73">
                  <c:v>2482.0453892559613</c:v>
                </c:pt>
                <c:pt idx="74">
                  <c:v>2482.0453892559613</c:v>
                </c:pt>
                <c:pt idx="75">
                  <c:v>2482.0453892559613</c:v>
                </c:pt>
                <c:pt idx="76">
                  <c:v>2482.0453892559613</c:v>
                </c:pt>
                <c:pt idx="77">
                  <c:v>2482.0453892559613</c:v>
                </c:pt>
                <c:pt idx="78">
                  <c:v>2482.0453892559613</c:v>
                </c:pt>
                <c:pt idx="79">
                  <c:v>2482.0453892559613</c:v>
                </c:pt>
                <c:pt idx="80">
                  <c:v>2482.0453892559613</c:v>
                </c:pt>
                <c:pt idx="81">
                  <c:v>2482.0453892559613</c:v>
                </c:pt>
                <c:pt idx="82">
                  <c:v>2482.0453892559613</c:v>
                </c:pt>
                <c:pt idx="83">
                  <c:v>2482.0453892559613</c:v>
                </c:pt>
                <c:pt idx="84">
                  <c:v>2482.0453892559613</c:v>
                </c:pt>
                <c:pt idx="85">
                  <c:v>2482.0453892559613</c:v>
                </c:pt>
                <c:pt idx="86">
                  <c:v>2482.0453892559613</c:v>
                </c:pt>
                <c:pt idx="87">
                  <c:v>2482.0453892559613</c:v>
                </c:pt>
                <c:pt idx="88">
                  <c:v>2482.0453892559613</c:v>
                </c:pt>
                <c:pt idx="89">
                  <c:v>2482.0453892559613</c:v>
                </c:pt>
                <c:pt idx="90">
                  <c:v>2482.0453892559613</c:v>
                </c:pt>
                <c:pt idx="91">
                  <c:v>2482.0453892559613</c:v>
                </c:pt>
                <c:pt idx="92">
                  <c:v>2482.0453892559613</c:v>
                </c:pt>
                <c:pt idx="93">
                  <c:v>2482.0453892559613</c:v>
                </c:pt>
                <c:pt idx="94">
                  <c:v>2482.0453892559613</c:v>
                </c:pt>
                <c:pt idx="95">
                  <c:v>2482.0453892559613</c:v>
                </c:pt>
                <c:pt idx="96">
                  <c:v>2482.0453892559613</c:v>
                </c:pt>
                <c:pt idx="97">
                  <c:v>2482.0453892559613</c:v>
                </c:pt>
                <c:pt idx="98">
                  <c:v>2482.0453892559613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-2482.0453892559613</c:v>
                </c:pt>
                <c:pt idx="198">
                  <c:v>-2482.0453892559613</c:v>
                </c:pt>
                <c:pt idx="199">
                  <c:v>-2482.0453892559613</c:v>
                </c:pt>
                <c:pt idx="200">
                  <c:v>-2482.0453892559613</c:v>
                </c:pt>
                <c:pt idx="201">
                  <c:v>-2482.0453892559613</c:v>
                </c:pt>
                <c:pt idx="202">
                  <c:v>-2482.0453892559613</c:v>
                </c:pt>
                <c:pt idx="203">
                  <c:v>-2482.0453892559613</c:v>
                </c:pt>
                <c:pt idx="204">
                  <c:v>-2482.0453892559613</c:v>
                </c:pt>
                <c:pt idx="205">
                  <c:v>-2482.0453892559613</c:v>
                </c:pt>
                <c:pt idx="206">
                  <c:v>-2482.0453892559613</c:v>
                </c:pt>
                <c:pt idx="207">
                  <c:v>-2482.0453892559613</c:v>
                </c:pt>
                <c:pt idx="208">
                  <c:v>-2482.0453892559613</c:v>
                </c:pt>
                <c:pt idx="209">
                  <c:v>-2482.0453892559613</c:v>
                </c:pt>
                <c:pt idx="210">
                  <c:v>-2482.0453892559613</c:v>
                </c:pt>
                <c:pt idx="211">
                  <c:v>-2482.0453892559613</c:v>
                </c:pt>
                <c:pt idx="212">
                  <c:v>-2482.0453892559613</c:v>
                </c:pt>
                <c:pt idx="213">
                  <c:v>-2482.0453892559613</c:v>
                </c:pt>
                <c:pt idx="214">
                  <c:v>-2482.0453892559613</c:v>
                </c:pt>
                <c:pt idx="215">
                  <c:v>-2482.0453892559613</c:v>
                </c:pt>
                <c:pt idx="216">
                  <c:v>-2482.0453892559613</c:v>
                </c:pt>
                <c:pt idx="217">
                  <c:v>-2482.0453892559613</c:v>
                </c:pt>
                <c:pt idx="218">
                  <c:v>-2482.0453892559613</c:v>
                </c:pt>
                <c:pt idx="219">
                  <c:v>-2482.0453892559613</c:v>
                </c:pt>
                <c:pt idx="220">
                  <c:v>-2482.0453892559613</c:v>
                </c:pt>
                <c:pt idx="221">
                  <c:v>-2482.0453892559613</c:v>
                </c:pt>
                <c:pt idx="222">
                  <c:v>-2482.0453892559613</c:v>
                </c:pt>
                <c:pt idx="223">
                  <c:v>-2482.0453892559613</c:v>
                </c:pt>
                <c:pt idx="224">
                  <c:v>-2482.0453892559613</c:v>
                </c:pt>
                <c:pt idx="225">
                  <c:v>-2482.0453892559613</c:v>
                </c:pt>
                <c:pt idx="226">
                  <c:v>-2482.0453892559613</c:v>
                </c:pt>
                <c:pt idx="227">
                  <c:v>-2482.0453892559613</c:v>
                </c:pt>
                <c:pt idx="228">
                  <c:v>-2482.0453892559613</c:v>
                </c:pt>
                <c:pt idx="229">
                  <c:v>-2482.0453892559613</c:v>
                </c:pt>
                <c:pt idx="230">
                  <c:v>-2482.0453892559613</c:v>
                </c:pt>
                <c:pt idx="231">
                  <c:v>-2482.0453892559613</c:v>
                </c:pt>
                <c:pt idx="232">
                  <c:v>-2482.0453892559613</c:v>
                </c:pt>
                <c:pt idx="233">
                  <c:v>-2482.0453892559613</c:v>
                </c:pt>
                <c:pt idx="234">
                  <c:v>-2482.0453892559613</c:v>
                </c:pt>
                <c:pt idx="235">
                  <c:v>-2482.0453892559613</c:v>
                </c:pt>
                <c:pt idx="236">
                  <c:v>-2482.0453892559613</c:v>
                </c:pt>
                <c:pt idx="237">
                  <c:v>-2482.0453892559613</c:v>
                </c:pt>
                <c:pt idx="238">
                  <c:v>-2482.0453892559613</c:v>
                </c:pt>
                <c:pt idx="239">
                  <c:v>-2482.0453892559613</c:v>
                </c:pt>
                <c:pt idx="240">
                  <c:v>-2482.0453892559613</c:v>
                </c:pt>
                <c:pt idx="241">
                  <c:v>-2482.0453892559613</c:v>
                </c:pt>
                <c:pt idx="242">
                  <c:v>-2482.0453892559613</c:v>
                </c:pt>
                <c:pt idx="243">
                  <c:v>-2482.0453892559613</c:v>
                </c:pt>
                <c:pt idx="244">
                  <c:v>-2482.0453892559613</c:v>
                </c:pt>
                <c:pt idx="245">
                  <c:v>-2482.0453892559613</c:v>
                </c:pt>
                <c:pt idx="246">
                  <c:v>-2482.0453892559613</c:v>
                </c:pt>
                <c:pt idx="247">
                  <c:v>-2482.0453892559613</c:v>
                </c:pt>
                <c:pt idx="248">
                  <c:v>-2482.0453892559613</c:v>
                </c:pt>
                <c:pt idx="249">
                  <c:v>-2482.0453892559613</c:v>
                </c:pt>
                <c:pt idx="250">
                  <c:v>-2482.0453892559613</c:v>
                </c:pt>
                <c:pt idx="251">
                  <c:v>-2482.0453892559613</c:v>
                </c:pt>
                <c:pt idx="252">
                  <c:v>-2482.0453892559613</c:v>
                </c:pt>
                <c:pt idx="253">
                  <c:v>-2482.0453892559613</c:v>
                </c:pt>
                <c:pt idx="254">
                  <c:v>-2482.0453892559613</c:v>
                </c:pt>
                <c:pt idx="255">
                  <c:v>-2482.0453892559613</c:v>
                </c:pt>
                <c:pt idx="256">
                  <c:v>-2482.0453892559613</c:v>
                </c:pt>
                <c:pt idx="257">
                  <c:v>-2482.0453892559613</c:v>
                </c:pt>
                <c:pt idx="258">
                  <c:v>-2482.0453892559613</c:v>
                </c:pt>
                <c:pt idx="259">
                  <c:v>-2482.0453892559613</c:v>
                </c:pt>
                <c:pt idx="260">
                  <c:v>-2482.0453892559613</c:v>
                </c:pt>
                <c:pt idx="261">
                  <c:v>-2482.0453892559613</c:v>
                </c:pt>
                <c:pt idx="262">
                  <c:v>-2482.0453892559613</c:v>
                </c:pt>
                <c:pt idx="263">
                  <c:v>-2482.0453892559613</c:v>
                </c:pt>
                <c:pt idx="264">
                  <c:v>-2482.0453892559613</c:v>
                </c:pt>
                <c:pt idx="265">
                  <c:v>-2482.0453892559613</c:v>
                </c:pt>
                <c:pt idx="266">
                  <c:v>-2482.0453892559613</c:v>
                </c:pt>
                <c:pt idx="267">
                  <c:v>-2482.0453892559613</c:v>
                </c:pt>
                <c:pt idx="268">
                  <c:v>-2482.0453892559613</c:v>
                </c:pt>
                <c:pt idx="269">
                  <c:v>-2482.0453892559613</c:v>
                </c:pt>
                <c:pt idx="270">
                  <c:v>-2482.0453892559613</c:v>
                </c:pt>
                <c:pt idx="271">
                  <c:v>-2482.0453892559613</c:v>
                </c:pt>
                <c:pt idx="272">
                  <c:v>-2482.0453892559613</c:v>
                </c:pt>
                <c:pt idx="273">
                  <c:v>-2482.0453892559613</c:v>
                </c:pt>
                <c:pt idx="274">
                  <c:v>-2482.0453892559613</c:v>
                </c:pt>
                <c:pt idx="275">
                  <c:v>-2482.0453892559613</c:v>
                </c:pt>
                <c:pt idx="276">
                  <c:v>-2482.0453892559613</c:v>
                </c:pt>
                <c:pt idx="277">
                  <c:v>-2482.0453892559613</c:v>
                </c:pt>
                <c:pt idx="278">
                  <c:v>-2482.0453892559613</c:v>
                </c:pt>
                <c:pt idx="279">
                  <c:v>-2482.0453892559613</c:v>
                </c:pt>
                <c:pt idx="280">
                  <c:v>-2482.0453892559613</c:v>
                </c:pt>
                <c:pt idx="281">
                  <c:v>-2482.0453892559613</c:v>
                </c:pt>
                <c:pt idx="282">
                  <c:v>-2482.0453892559613</c:v>
                </c:pt>
                <c:pt idx="283">
                  <c:v>-2482.0453892559613</c:v>
                </c:pt>
                <c:pt idx="284">
                  <c:v>-2482.0453892559613</c:v>
                </c:pt>
                <c:pt idx="285">
                  <c:v>-2482.0453892559613</c:v>
                </c:pt>
                <c:pt idx="286">
                  <c:v>-2482.0453892559613</c:v>
                </c:pt>
                <c:pt idx="287">
                  <c:v>-2482.0453892559613</c:v>
                </c:pt>
                <c:pt idx="288">
                  <c:v>-2482.0453892559613</c:v>
                </c:pt>
                <c:pt idx="289">
                  <c:v>-2482.0453892559613</c:v>
                </c:pt>
                <c:pt idx="290">
                  <c:v>-2482.0453892559613</c:v>
                </c:pt>
                <c:pt idx="291">
                  <c:v>-2482.0453892559613</c:v>
                </c:pt>
                <c:pt idx="292">
                  <c:v>-2482.0453892559613</c:v>
                </c:pt>
                <c:pt idx="293">
                  <c:v>-2482.0453892559613</c:v>
                </c:pt>
                <c:pt idx="294">
                  <c:v>-2482.0453892559613</c:v>
                </c:pt>
                <c:pt idx="295">
                  <c:v>-2482.0453892559613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5D-4EC5-8BF6-D1A1306B5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62767"/>
        <c:axId val="1570608351"/>
      </c:scatterChart>
      <c:valAx>
        <c:axId val="10693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[s] </a:t>
                </a:r>
              </a:p>
            </c:rich>
          </c:tx>
          <c:layout>
            <c:manualLayout>
              <c:xMode val="edge"/>
              <c:yMode val="edge"/>
              <c:x val="0.47130208333333334"/>
              <c:y val="0.90049908925318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351"/>
        <c:crosses val="autoZero"/>
        <c:crossBetween val="midCat"/>
      </c:valAx>
      <c:valAx>
        <c:axId val="15706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0"/>
                  <a:t>α [</a:t>
                </a:r>
                <a:r>
                  <a:rPr lang="en-GB" b="0"/>
                  <a:t>rad/s²]</a:t>
                </a:r>
              </a:p>
            </c:rich>
          </c:tx>
          <c:layout>
            <c:manualLayout>
              <c:xMode val="edge"/>
              <c:yMode val="edge"/>
              <c:x val="8.7009803921568613E-3"/>
              <c:y val="0.36388927924551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627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Jerk</a:t>
            </a:r>
          </a:p>
        </c:rich>
      </c:tx>
      <c:layout>
        <c:manualLayout>
          <c:xMode val="edge"/>
          <c:yMode val="edge"/>
          <c:x val="0.4495086805555555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53190359477124"/>
          <c:y val="0.13301457194899818"/>
          <c:w val="0.651060866013072"/>
          <c:h val="0.67958925318761387"/>
        </c:manualLayout>
      </c:layout>
      <c:scatterChart>
        <c:scatterStyle val="smoothMarker"/>
        <c:varyColors val="0"/>
        <c:ser>
          <c:idx val="1"/>
          <c:order val="0"/>
          <c:tx>
            <c:v>ref poly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[0]!refpoly.qd3</c:f>
              <c:numCache>
                <c:formatCode>General</c:formatCode>
                <c:ptCount val="296"/>
                <c:pt idx="0" formatCode="0.00000">
                  <c:v>448731.36980898731</c:v>
                </c:pt>
                <c:pt idx="1">
                  <c:v>439635.56818482128</c:v>
                </c:pt>
                <c:pt idx="2">
                  <c:v>430601.64276218013</c:v>
                </c:pt>
                <c:pt idx="3">
                  <c:v>421629.59354106389</c:v>
                </c:pt>
                <c:pt idx="4">
                  <c:v>412719.42052147258</c:v>
                </c:pt>
                <c:pt idx="5">
                  <c:v>403871.12370340631</c:v>
                </c:pt>
                <c:pt idx="6">
                  <c:v>395084.70308686484</c:v>
                </c:pt>
                <c:pt idx="7">
                  <c:v>386360.15867184848</c:v>
                </c:pt>
                <c:pt idx="8">
                  <c:v>377697.49045835692</c:v>
                </c:pt>
                <c:pt idx="9">
                  <c:v>369096.69844639028</c:v>
                </c:pt>
                <c:pt idx="10">
                  <c:v>360557.78263594874</c:v>
                </c:pt>
                <c:pt idx="11">
                  <c:v>352080.74302703206</c:v>
                </c:pt>
                <c:pt idx="12">
                  <c:v>343665.57961964025</c:v>
                </c:pt>
                <c:pt idx="13">
                  <c:v>335312.29241377348</c:v>
                </c:pt>
                <c:pt idx="14">
                  <c:v>327020.88140943152</c:v>
                </c:pt>
                <c:pt idx="15">
                  <c:v>318791.34660661477</c:v>
                </c:pt>
                <c:pt idx="16">
                  <c:v>310623.68800532265</c:v>
                </c:pt>
                <c:pt idx="17">
                  <c:v>302517.90560555569</c:v>
                </c:pt>
                <c:pt idx="18">
                  <c:v>294473.99940731341</c:v>
                </c:pt>
                <c:pt idx="19">
                  <c:v>286491.96941059636</c:v>
                </c:pt>
                <c:pt idx="20">
                  <c:v>278571.81561540416</c:v>
                </c:pt>
                <c:pt idx="21">
                  <c:v>270713.53802173678</c:v>
                </c:pt>
                <c:pt idx="22">
                  <c:v>262917.13662959443</c:v>
                </c:pt>
                <c:pt idx="23">
                  <c:v>255182.61143897707</c:v>
                </c:pt>
                <c:pt idx="24">
                  <c:v>247509.96244988451</c:v>
                </c:pt>
                <c:pt idx="25">
                  <c:v>239899.18966231699</c:v>
                </c:pt>
                <c:pt idx="26">
                  <c:v>232350.29307627439</c:v>
                </c:pt>
                <c:pt idx="27">
                  <c:v>224863.27269175675</c:v>
                </c:pt>
                <c:pt idx="28">
                  <c:v>217438.12850876394</c:v>
                </c:pt>
                <c:pt idx="29">
                  <c:v>210074.8605272962</c:v>
                </c:pt>
                <c:pt idx="30">
                  <c:v>202773.46874735336</c:v>
                </c:pt>
                <c:pt idx="31">
                  <c:v>195533.9531689354</c:v>
                </c:pt>
                <c:pt idx="32">
                  <c:v>188356.31379204249</c:v>
                </c:pt>
                <c:pt idx="33">
                  <c:v>181240.55061667447</c:v>
                </c:pt>
                <c:pt idx="34">
                  <c:v>174186.66364283138</c:v>
                </c:pt>
                <c:pt idx="35">
                  <c:v>167194.65287051318</c:v>
                </c:pt>
                <c:pt idx="36">
                  <c:v>160264.51829972002</c:v>
                </c:pt>
                <c:pt idx="37">
                  <c:v>153396.25993045178</c:v>
                </c:pt>
                <c:pt idx="38">
                  <c:v>146589.87776270849</c:v>
                </c:pt>
                <c:pt idx="39">
                  <c:v>139845.37179648998</c:v>
                </c:pt>
                <c:pt idx="40">
                  <c:v>133162.74203179666</c:v>
                </c:pt>
                <c:pt idx="41">
                  <c:v>126541.98846862801</c:v>
                </c:pt>
                <c:pt idx="42">
                  <c:v>119983.11110698456</c:v>
                </c:pt>
                <c:pt idx="43">
                  <c:v>113486.10994686581</c:v>
                </c:pt>
                <c:pt idx="44">
                  <c:v>107050.98498827223</c:v>
                </c:pt>
                <c:pt idx="45">
                  <c:v>100677.73623120334</c:v>
                </c:pt>
                <c:pt idx="46">
                  <c:v>94366.363675659639</c:v>
                </c:pt>
                <c:pt idx="47">
                  <c:v>88116.867321640661</c:v>
                </c:pt>
                <c:pt idx="48">
                  <c:v>81929.247169146809</c:v>
                </c:pt>
                <c:pt idx="49">
                  <c:v>75803.503218177706</c:v>
                </c:pt>
                <c:pt idx="50">
                  <c:v>69739.635468733759</c:v>
                </c:pt>
                <c:pt idx="51">
                  <c:v>63737.643920814538</c:v>
                </c:pt>
                <c:pt idx="52">
                  <c:v>57797.52857442043</c:v>
                </c:pt>
                <c:pt idx="53">
                  <c:v>51919.289429551194</c:v>
                </c:pt>
                <c:pt idx="54">
                  <c:v>46102.926486206932</c:v>
                </c:pt>
                <c:pt idx="55">
                  <c:v>40348.439744387535</c:v>
                </c:pt>
                <c:pt idx="56">
                  <c:v>34655.829204093105</c:v>
                </c:pt>
                <c:pt idx="57">
                  <c:v>29025.094865323623</c:v>
                </c:pt>
                <c:pt idx="58">
                  <c:v>23456.236728079075</c:v>
                </c:pt>
                <c:pt idx="59">
                  <c:v>17949.254792359501</c:v>
                </c:pt>
                <c:pt idx="60">
                  <c:v>12504.149058164794</c:v>
                </c:pt>
                <c:pt idx="61">
                  <c:v>7120.9195254950964</c:v>
                </c:pt>
                <c:pt idx="62">
                  <c:v>1799.5661943503019</c:v>
                </c:pt>
                <c:pt idx="63">
                  <c:v>-3459.9109352695546</c:v>
                </c:pt>
                <c:pt idx="64">
                  <c:v>-8657.5118633644379</c:v>
                </c:pt>
                <c:pt idx="65">
                  <c:v>-13793.236589934453</c:v>
                </c:pt>
                <c:pt idx="66">
                  <c:v>-18867.085114979458</c:v>
                </c:pt>
                <c:pt idx="67">
                  <c:v>-23879.057438499563</c:v>
                </c:pt>
                <c:pt idx="68">
                  <c:v>-28829.153560494728</c:v>
                </c:pt>
                <c:pt idx="69">
                  <c:v>-33717.373480964918</c:v>
                </c:pt>
                <c:pt idx="70">
                  <c:v>-38543.71719991017</c:v>
                </c:pt>
                <c:pt idx="71">
                  <c:v>-43308.184717330521</c:v>
                </c:pt>
                <c:pt idx="72">
                  <c:v>-48010.776033225899</c:v>
                </c:pt>
                <c:pt idx="73">
                  <c:v>-52651.491147596302</c:v>
                </c:pt>
                <c:pt idx="74">
                  <c:v>-57230.330060441804</c:v>
                </c:pt>
                <c:pt idx="75">
                  <c:v>-61747.292771762404</c:v>
                </c:pt>
                <c:pt idx="76">
                  <c:v>-66202.379281558024</c:v>
                </c:pt>
                <c:pt idx="77">
                  <c:v>-70595.589589828727</c:v>
                </c:pt>
                <c:pt idx="78">
                  <c:v>-74926.923696574479</c:v>
                </c:pt>
                <c:pt idx="79">
                  <c:v>-79196.381601795307</c:v>
                </c:pt>
                <c:pt idx="80">
                  <c:v>-83403.963305491197</c:v>
                </c:pt>
                <c:pt idx="81">
                  <c:v>-87549.668807662121</c:v>
                </c:pt>
                <c:pt idx="82">
                  <c:v>-91633.498108308122</c:v>
                </c:pt>
                <c:pt idx="83">
                  <c:v>-95655.4512074292</c:v>
                </c:pt>
                <c:pt idx="84">
                  <c:v>-99615.528105025296</c:v>
                </c:pt>
                <c:pt idx="85">
                  <c:v>-103513.72880109648</c:v>
                </c:pt>
                <c:pt idx="86">
                  <c:v>-107350.05329564273</c:v>
                </c:pt>
                <c:pt idx="87">
                  <c:v>-111124.50158866409</c:v>
                </c:pt>
                <c:pt idx="88">
                  <c:v>-114837.07368016041</c:v>
                </c:pt>
                <c:pt idx="89">
                  <c:v>-118487.76957013183</c:v>
                </c:pt>
                <c:pt idx="90">
                  <c:v>-122076.5892585783</c:v>
                </c:pt>
                <c:pt idx="91">
                  <c:v>-125603.53274549985</c:v>
                </c:pt>
                <c:pt idx="92">
                  <c:v>-129068.60003089644</c:v>
                </c:pt>
                <c:pt idx="93">
                  <c:v>-132471.79111476813</c:v>
                </c:pt>
                <c:pt idx="94">
                  <c:v>-135813.10599711485</c:v>
                </c:pt>
                <c:pt idx="95">
                  <c:v>-139092.54467793662</c:v>
                </c:pt>
                <c:pt idx="96">
                  <c:v>-142310.10715723349</c:v>
                </c:pt>
                <c:pt idx="97">
                  <c:v>-145465.79343500538</c:v>
                </c:pt>
                <c:pt idx="98">
                  <c:v>-148559.60351125235</c:v>
                </c:pt>
                <c:pt idx="99">
                  <c:v>-151591.5373859744</c:v>
                </c:pt>
                <c:pt idx="100">
                  <c:v>-154561.59505917149</c:v>
                </c:pt>
                <c:pt idx="101">
                  <c:v>-157469.77653084364</c:v>
                </c:pt>
                <c:pt idx="102">
                  <c:v>-160316.08180099085</c:v>
                </c:pt>
                <c:pt idx="103">
                  <c:v>-163100.51086961312</c:v>
                </c:pt>
                <c:pt idx="104">
                  <c:v>-165823.06373671046</c:v>
                </c:pt>
                <c:pt idx="105">
                  <c:v>-168483.7404022828</c:v>
                </c:pt>
                <c:pt idx="106">
                  <c:v>-171082.54086633024</c:v>
                </c:pt>
                <c:pt idx="107">
                  <c:v>-173619.46512885278</c:v>
                </c:pt>
                <c:pt idx="108">
                  <c:v>-176094.51318985035</c:v>
                </c:pt>
                <c:pt idx="109">
                  <c:v>-178507.68504932299</c:v>
                </c:pt>
                <c:pt idx="110">
                  <c:v>-180858.98070727068</c:v>
                </c:pt>
                <c:pt idx="111">
                  <c:v>-183148.40016369344</c:v>
                </c:pt>
                <c:pt idx="112">
                  <c:v>-185375.94341859125</c:v>
                </c:pt>
                <c:pt idx="113">
                  <c:v>-187541.61047196414</c:v>
                </c:pt>
                <c:pt idx="114">
                  <c:v>-189645.40132381208</c:v>
                </c:pt>
                <c:pt idx="115">
                  <c:v>-191687.31597413507</c:v>
                </c:pt>
                <c:pt idx="116">
                  <c:v>-193667.35442293313</c:v>
                </c:pt>
                <c:pt idx="117">
                  <c:v>-195585.51667020624</c:v>
                </c:pt>
                <c:pt idx="118">
                  <c:v>-197441.80271595443</c:v>
                </c:pt>
                <c:pt idx="119">
                  <c:v>-199236.21256017766</c:v>
                </c:pt>
                <c:pt idx="120">
                  <c:v>-200968.74620287598</c:v>
                </c:pt>
                <c:pt idx="121">
                  <c:v>-202639.40364404937</c:v>
                </c:pt>
                <c:pt idx="122">
                  <c:v>-204248.18488369777</c:v>
                </c:pt>
                <c:pt idx="123">
                  <c:v>-205795.08992182123</c:v>
                </c:pt>
                <c:pt idx="124">
                  <c:v>-207280.11875841979</c:v>
                </c:pt>
                <c:pt idx="125">
                  <c:v>-208703.2713934934</c:v>
                </c:pt>
                <c:pt idx="126">
                  <c:v>-210064.54782704209</c:v>
                </c:pt>
                <c:pt idx="127">
                  <c:v>-211363.94805906579</c:v>
                </c:pt>
                <c:pt idx="128">
                  <c:v>-212601.47208956457</c:v>
                </c:pt>
                <c:pt idx="129">
                  <c:v>-213777.11991853846</c:v>
                </c:pt>
                <c:pt idx="130">
                  <c:v>-214890.89154598734</c:v>
                </c:pt>
                <c:pt idx="131">
                  <c:v>-215942.78697191132</c:v>
                </c:pt>
                <c:pt idx="132">
                  <c:v>-216932.80619631032</c:v>
                </c:pt>
                <c:pt idx="133">
                  <c:v>-217860.94921918443</c:v>
                </c:pt>
                <c:pt idx="134">
                  <c:v>-218727.21604053359</c:v>
                </c:pt>
                <c:pt idx="135">
                  <c:v>-219531.60666035782</c:v>
                </c:pt>
                <c:pt idx="136">
                  <c:v>-220274.12107865707</c:v>
                </c:pt>
                <c:pt idx="137">
                  <c:v>-220954.7592954314</c:v>
                </c:pt>
                <c:pt idx="138">
                  <c:v>-221573.52131068081</c:v>
                </c:pt>
                <c:pt idx="139">
                  <c:v>-222130.40712440526</c:v>
                </c:pt>
                <c:pt idx="140">
                  <c:v>-222625.41673660476</c:v>
                </c:pt>
                <c:pt idx="141">
                  <c:v>-223058.55014727931</c:v>
                </c:pt>
                <c:pt idx="142">
                  <c:v>-223429.80735642897</c:v>
                </c:pt>
                <c:pt idx="143">
                  <c:v>-223739.18836405364</c:v>
                </c:pt>
                <c:pt idx="144">
                  <c:v>-223986.69317015342</c:v>
                </c:pt>
                <c:pt idx="145">
                  <c:v>-224172.32177472822</c:v>
                </c:pt>
                <c:pt idx="146">
                  <c:v>-224296.07417777812</c:v>
                </c:pt>
                <c:pt idx="147">
                  <c:v>-224357.95037930307</c:v>
                </c:pt>
                <c:pt idx="148">
                  <c:v>-224357.95037930307</c:v>
                </c:pt>
                <c:pt idx="149">
                  <c:v>-224296.07417777812</c:v>
                </c:pt>
                <c:pt idx="150">
                  <c:v>-224172.32177472825</c:v>
                </c:pt>
                <c:pt idx="151">
                  <c:v>-223986.69317015339</c:v>
                </c:pt>
                <c:pt idx="152">
                  <c:v>-223739.18836405364</c:v>
                </c:pt>
                <c:pt idx="153">
                  <c:v>-223429.80735642897</c:v>
                </c:pt>
                <c:pt idx="154">
                  <c:v>-223058.55014727931</c:v>
                </c:pt>
                <c:pt idx="155">
                  <c:v>-222625.41673660476</c:v>
                </c:pt>
                <c:pt idx="156">
                  <c:v>-222130.40712440526</c:v>
                </c:pt>
                <c:pt idx="157">
                  <c:v>-221573.52131068078</c:v>
                </c:pt>
                <c:pt idx="158">
                  <c:v>-220954.7592954314</c:v>
                </c:pt>
                <c:pt idx="159">
                  <c:v>-220274.12107865704</c:v>
                </c:pt>
                <c:pt idx="160">
                  <c:v>-219531.60666035776</c:v>
                </c:pt>
                <c:pt idx="161">
                  <c:v>-218727.21604053353</c:v>
                </c:pt>
                <c:pt idx="162">
                  <c:v>-217860.9492191844</c:v>
                </c:pt>
                <c:pt idx="163">
                  <c:v>-216932.8061963103</c:v>
                </c:pt>
                <c:pt idx="164">
                  <c:v>-215942.78697191129</c:v>
                </c:pt>
                <c:pt idx="165">
                  <c:v>-214890.89154598731</c:v>
                </c:pt>
                <c:pt idx="166">
                  <c:v>-213777.1199185384</c:v>
                </c:pt>
                <c:pt idx="167">
                  <c:v>-212601.47208956454</c:v>
                </c:pt>
                <c:pt idx="168">
                  <c:v>-211363.94805906579</c:v>
                </c:pt>
                <c:pt idx="169">
                  <c:v>-210064.547827042</c:v>
                </c:pt>
                <c:pt idx="170">
                  <c:v>-208703.27139349337</c:v>
                </c:pt>
                <c:pt idx="171">
                  <c:v>-207280.11875841976</c:v>
                </c:pt>
                <c:pt idx="172">
                  <c:v>-205795.08992182123</c:v>
                </c:pt>
                <c:pt idx="173">
                  <c:v>-204248.18488369772</c:v>
                </c:pt>
                <c:pt idx="174">
                  <c:v>-202639.40364404928</c:v>
                </c:pt>
                <c:pt idx="175">
                  <c:v>-200968.74620287592</c:v>
                </c:pt>
                <c:pt idx="176">
                  <c:v>-199236.21256017764</c:v>
                </c:pt>
                <c:pt idx="177">
                  <c:v>-197441.80271595443</c:v>
                </c:pt>
                <c:pt idx="178">
                  <c:v>-195585.51667020621</c:v>
                </c:pt>
                <c:pt idx="179">
                  <c:v>-193667.35442293313</c:v>
                </c:pt>
                <c:pt idx="180">
                  <c:v>-191687.31597413504</c:v>
                </c:pt>
                <c:pt idx="181">
                  <c:v>-189645.40132381208</c:v>
                </c:pt>
                <c:pt idx="182">
                  <c:v>-187541.61047196412</c:v>
                </c:pt>
                <c:pt idx="183">
                  <c:v>-185375.94341859125</c:v>
                </c:pt>
                <c:pt idx="184">
                  <c:v>-183148.40016369341</c:v>
                </c:pt>
                <c:pt idx="185">
                  <c:v>-180858.98070727068</c:v>
                </c:pt>
                <c:pt idx="186">
                  <c:v>-178507.68504932296</c:v>
                </c:pt>
                <c:pt idx="187">
                  <c:v>-176094.51318985035</c:v>
                </c:pt>
                <c:pt idx="188">
                  <c:v>-173619.46512885272</c:v>
                </c:pt>
                <c:pt idx="189">
                  <c:v>-171082.54086633024</c:v>
                </c:pt>
                <c:pt idx="190">
                  <c:v>-168483.74040228274</c:v>
                </c:pt>
                <c:pt idx="191">
                  <c:v>-165823.06373671041</c:v>
                </c:pt>
                <c:pt idx="192">
                  <c:v>-163100.51086961303</c:v>
                </c:pt>
                <c:pt idx="193">
                  <c:v>-160316.08180099083</c:v>
                </c:pt>
                <c:pt idx="194">
                  <c:v>-157469.77653084355</c:v>
                </c:pt>
                <c:pt idx="195">
                  <c:v>-154561.59505917144</c:v>
                </c:pt>
                <c:pt idx="196">
                  <c:v>-151591.53738597428</c:v>
                </c:pt>
                <c:pt idx="197">
                  <c:v>-148559.60351125229</c:v>
                </c:pt>
                <c:pt idx="198">
                  <c:v>-145465.7934350053</c:v>
                </c:pt>
                <c:pt idx="199">
                  <c:v>-142310.10715723343</c:v>
                </c:pt>
                <c:pt idx="200">
                  <c:v>-139092.54467793653</c:v>
                </c:pt>
                <c:pt idx="201">
                  <c:v>-135813.10599711479</c:v>
                </c:pt>
                <c:pt idx="202">
                  <c:v>-132471.79111476801</c:v>
                </c:pt>
                <c:pt idx="203">
                  <c:v>-129068.60003089638</c:v>
                </c:pt>
                <c:pt idx="204">
                  <c:v>-125603.53274549975</c:v>
                </c:pt>
                <c:pt idx="205">
                  <c:v>-122076.58925857824</c:v>
                </c:pt>
                <c:pt idx="206">
                  <c:v>-118487.76957013168</c:v>
                </c:pt>
                <c:pt idx="207">
                  <c:v>-114837.07368016022</c:v>
                </c:pt>
                <c:pt idx="208">
                  <c:v>-111124.50158866392</c:v>
                </c:pt>
                <c:pt idx="209">
                  <c:v>-107350.05329564266</c:v>
                </c:pt>
                <c:pt idx="210">
                  <c:v>-103513.72880109648</c:v>
                </c:pt>
                <c:pt idx="211">
                  <c:v>-99615.528105025238</c:v>
                </c:pt>
                <c:pt idx="212">
                  <c:v>-95655.4512074292</c:v>
                </c:pt>
                <c:pt idx="213">
                  <c:v>-91633.498108308049</c:v>
                </c:pt>
                <c:pt idx="214">
                  <c:v>-87549.668807662121</c:v>
                </c:pt>
                <c:pt idx="215">
                  <c:v>-83403.963305491125</c:v>
                </c:pt>
                <c:pt idx="216">
                  <c:v>-79196.381601795307</c:v>
                </c:pt>
                <c:pt idx="217">
                  <c:v>-74926.923696574406</c:v>
                </c:pt>
                <c:pt idx="218">
                  <c:v>-70595.589589828727</c:v>
                </c:pt>
                <c:pt idx="219">
                  <c:v>-66202.379281557951</c:v>
                </c:pt>
                <c:pt idx="220">
                  <c:v>-61747.292771762404</c:v>
                </c:pt>
                <c:pt idx="221">
                  <c:v>-57230.330060441731</c:v>
                </c:pt>
                <c:pt idx="222">
                  <c:v>-52651.491147596302</c:v>
                </c:pt>
                <c:pt idx="223">
                  <c:v>-48010.77603322576</c:v>
                </c:pt>
                <c:pt idx="224">
                  <c:v>-43308.184717330449</c:v>
                </c:pt>
                <c:pt idx="225">
                  <c:v>-38543.717199910032</c:v>
                </c:pt>
                <c:pt idx="226">
                  <c:v>-33717.373480964845</c:v>
                </c:pt>
                <c:pt idx="227">
                  <c:v>-28829.153560494549</c:v>
                </c:pt>
                <c:pt idx="228">
                  <c:v>-23879.057438499491</c:v>
                </c:pt>
                <c:pt idx="229">
                  <c:v>-18867.085114979316</c:v>
                </c:pt>
                <c:pt idx="230">
                  <c:v>-13793.236589934382</c:v>
                </c:pt>
                <c:pt idx="231">
                  <c:v>-8657.511863364296</c:v>
                </c:pt>
                <c:pt idx="232">
                  <c:v>-3459.9109352694836</c:v>
                </c:pt>
                <c:pt idx="233">
                  <c:v>1799.5661943504435</c:v>
                </c:pt>
                <c:pt idx="234">
                  <c:v>7120.9195254951674</c:v>
                </c:pt>
                <c:pt idx="235">
                  <c:v>12504.14905816497</c:v>
                </c:pt>
                <c:pt idx="236">
                  <c:v>17949.25479235957</c:v>
                </c:pt>
                <c:pt idx="237">
                  <c:v>23456.236728079253</c:v>
                </c:pt>
                <c:pt idx="238">
                  <c:v>29025.094865323728</c:v>
                </c:pt>
                <c:pt idx="239">
                  <c:v>34655.829204093287</c:v>
                </c:pt>
                <c:pt idx="240">
                  <c:v>40348.439744387601</c:v>
                </c:pt>
                <c:pt idx="241">
                  <c:v>46102.926486206932</c:v>
                </c:pt>
                <c:pt idx="242">
                  <c:v>51919.289429551303</c:v>
                </c:pt>
                <c:pt idx="243">
                  <c:v>57797.52857442043</c:v>
                </c:pt>
                <c:pt idx="244">
                  <c:v>63737.64392081472</c:v>
                </c:pt>
                <c:pt idx="245">
                  <c:v>69739.635468733759</c:v>
                </c:pt>
                <c:pt idx="246">
                  <c:v>75803.503218177924</c:v>
                </c:pt>
                <c:pt idx="247">
                  <c:v>81929.247169146809</c:v>
                </c:pt>
                <c:pt idx="248">
                  <c:v>88116.867321640879</c:v>
                </c:pt>
                <c:pt idx="249">
                  <c:v>94366.363675659639</c:v>
                </c:pt>
                <c:pt idx="250">
                  <c:v>100677.73623120355</c:v>
                </c:pt>
                <c:pt idx="251">
                  <c:v>107050.98498827223</c:v>
                </c:pt>
                <c:pt idx="252">
                  <c:v>113486.10994686601</c:v>
                </c:pt>
                <c:pt idx="253">
                  <c:v>119983.11110698456</c:v>
                </c:pt>
                <c:pt idx="254">
                  <c:v>126541.98846862823</c:v>
                </c:pt>
                <c:pt idx="255">
                  <c:v>133162.74203179666</c:v>
                </c:pt>
                <c:pt idx="256">
                  <c:v>139845.37179649019</c:v>
                </c:pt>
                <c:pt idx="257">
                  <c:v>146589.87776270849</c:v>
                </c:pt>
                <c:pt idx="258">
                  <c:v>153396.25993045198</c:v>
                </c:pt>
                <c:pt idx="259">
                  <c:v>160264.5182997201</c:v>
                </c:pt>
                <c:pt idx="260">
                  <c:v>167194.65287051347</c:v>
                </c:pt>
                <c:pt idx="261">
                  <c:v>174186.66364283147</c:v>
                </c:pt>
                <c:pt idx="262">
                  <c:v>181240.55061667471</c:v>
                </c:pt>
                <c:pt idx="263">
                  <c:v>188356.31379204255</c:v>
                </c:pt>
                <c:pt idx="264">
                  <c:v>195533.95316893567</c:v>
                </c:pt>
                <c:pt idx="265">
                  <c:v>202773.46874735347</c:v>
                </c:pt>
                <c:pt idx="266">
                  <c:v>210074.86052729649</c:v>
                </c:pt>
                <c:pt idx="267">
                  <c:v>217438.12850876409</c:v>
                </c:pt>
                <c:pt idx="268">
                  <c:v>224863.27269175698</c:v>
                </c:pt>
                <c:pt idx="269">
                  <c:v>232350.29307627454</c:v>
                </c:pt>
                <c:pt idx="270">
                  <c:v>239899.18966231728</c:v>
                </c:pt>
                <c:pt idx="271">
                  <c:v>247509.96244988465</c:v>
                </c:pt>
                <c:pt idx="272">
                  <c:v>255182.61143897727</c:v>
                </c:pt>
                <c:pt idx="273">
                  <c:v>262917.13662959461</c:v>
                </c:pt>
                <c:pt idx="274">
                  <c:v>270713.53802173707</c:v>
                </c:pt>
                <c:pt idx="275">
                  <c:v>278571.81561540428</c:v>
                </c:pt>
                <c:pt idx="276">
                  <c:v>286491.96941059659</c:v>
                </c:pt>
                <c:pt idx="277">
                  <c:v>294473.99940731394</c:v>
                </c:pt>
                <c:pt idx="278">
                  <c:v>302517.90560555598</c:v>
                </c:pt>
                <c:pt idx="279">
                  <c:v>310623.68800532311</c:v>
                </c:pt>
                <c:pt idx="280">
                  <c:v>318791.34660661506</c:v>
                </c:pt>
                <c:pt idx="281">
                  <c:v>327020.8814094321</c:v>
                </c:pt>
                <c:pt idx="282">
                  <c:v>335312.29241377383</c:v>
                </c:pt>
                <c:pt idx="283">
                  <c:v>343665.57961964078</c:v>
                </c:pt>
                <c:pt idx="284">
                  <c:v>352080.74302703241</c:v>
                </c:pt>
                <c:pt idx="285">
                  <c:v>360557.78263594926</c:v>
                </c:pt>
                <c:pt idx="286">
                  <c:v>369096.69844639074</c:v>
                </c:pt>
                <c:pt idx="287">
                  <c:v>377697.49045835744</c:v>
                </c:pt>
                <c:pt idx="288">
                  <c:v>386360.15867184888</c:v>
                </c:pt>
                <c:pt idx="289">
                  <c:v>395084.70308686484</c:v>
                </c:pt>
                <c:pt idx="290">
                  <c:v>403871.12370340613</c:v>
                </c:pt>
                <c:pt idx="291">
                  <c:v>412719.42052147258</c:v>
                </c:pt>
                <c:pt idx="292">
                  <c:v>421629.59354106378</c:v>
                </c:pt>
                <c:pt idx="293">
                  <c:v>430601.64276218013</c:v>
                </c:pt>
                <c:pt idx="294">
                  <c:v>439635.56818482117</c:v>
                </c:pt>
                <c:pt idx="295">
                  <c:v>448731.36980898731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21-4ECB-AF22-B01465576719}"/>
            </c:ext>
          </c:extLst>
        </c:ser>
        <c:ser>
          <c:idx val="0"/>
          <c:order val="1"/>
          <c:tx>
            <c:v>opti poly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[0]!optipoly.qd3</c:f>
              <c:numCache>
                <c:formatCode>General</c:formatCode>
                <c:ptCount val="296"/>
                <c:pt idx="0" formatCode="0.00000">
                  <c:v>448731.36980898731</c:v>
                </c:pt>
                <c:pt idx="1">
                  <c:v>439635.56818482117</c:v>
                </c:pt>
                <c:pt idx="2">
                  <c:v>430601.64276218013</c:v>
                </c:pt>
                <c:pt idx="3">
                  <c:v>421629.59354106389</c:v>
                </c:pt>
                <c:pt idx="4">
                  <c:v>412719.42052147258</c:v>
                </c:pt>
                <c:pt idx="5">
                  <c:v>403871.12370340625</c:v>
                </c:pt>
                <c:pt idx="6">
                  <c:v>395084.70308686479</c:v>
                </c:pt>
                <c:pt idx="7">
                  <c:v>386360.15867184848</c:v>
                </c:pt>
                <c:pt idx="8">
                  <c:v>377697.49045835692</c:v>
                </c:pt>
                <c:pt idx="9">
                  <c:v>369096.69844639028</c:v>
                </c:pt>
                <c:pt idx="10">
                  <c:v>360557.78263594868</c:v>
                </c:pt>
                <c:pt idx="11">
                  <c:v>352080.74302703206</c:v>
                </c:pt>
                <c:pt idx="12">
                  <c:v>343665.57961964025</c:v>
                </c:pt>
                <c:pt idx="13">
                  <c:v>335312.29241377336</c:v>
                </c:pt>
                <c:pt idx="14">
                  <c:v>327020.88140943152</c:v>
                </c:pt>
                <c:pt idx="15">
                  <c:v>318791.34660661477</c:v>
                </c:pt>
                <c:pt idx="16">
                  <c:v>310623.68800532265</c:v>
                </c:pt>
                <c:pt idx="17">
                  <c:v>302517.90560555569</c:v>
                </c:pt>
                <c:pt idx="18">
                  <c:v>294473.99940731341</c:v>
                </c:pt>
                <c:pt idx="19">
                  <c:v>286491.96941059636</c:v>
                </c:pt>
                <c:pt idx="20">
                  <c:v>278571.81561540405</c:v>
                </c:pt>
                <c:pt idx="21">
                  <c:v>270713.53802173678</c:v>
                </c:pt>
                <c:pt idx="22">
                  <c:v>262917.13662959443</c:v>
                </c:pt>
                <c:pt idx="23">
                  <c:v>255182.61143897707</c:v>
                </c:pt>
                <c:pt idx="24">
                  <c:v>247509.96244988457</c:v>
                </c:pt>
                <c:pt idx="25">
                  <c:v>239899.18966231699</c:v>
                </c:pt>
                <c:pt idx="26">
                  <c:v>232350.29307627439</c:v>
                </c:pt>
                <c:pt idx="27">
                  <c:v>224863.27269175669</c:v>
                </c:pt>
                <c:pt idx="28">
                  <c:v>217438.12850876403</c:v>
                </c:pt>
                <c:pt idx="29">
                  <c:v>210074.8605272962</c:v>
                </c:pt>
                <c:pt idx="30">
                  <c:v>202773.46874735336</c:v>
                </c:pt>
                <c:pt idx="31">
                  <c:v>195533.95316893546</c:v>
                </c:pt>
                <c:pt idx="32">
                  <c:v>188356.31379204249</c:v>
                </c:pt>
                <c:pt idx="33">
                  <c:v>181240.55061667442</c:v>
                </c:pt>
                <c:pt idx="34">
                  <c:v>174186.66364283138</c:v>
                </c:pt>
                <c:pt idx="35">
                  <c:v>167194.65287051318</c:v>
                </c:pt>
                <c:pt idx="36">
                  <c:v>160264.51829971996</c:v>
                </c:pt>
                <c:pt idx="37">
                  <c:v>153396.25993045172</c:v>
                </c:pt>
                <c:pt idx="38">
                  <c:v>146589.87776270849</c:v>
                </c:pt>
                <c:pt idx="39">
                  <c:v>139845.37179648998</c:v>
                </c:pt>
                <c:pt idx="40">
                  <c:v>133162.74203179666</c:v>
                </c:pt>
                <c:pt idx="41">
                  <c:v>126541.98846862801</c:v>
                </c:pt>
                <c:pt idx="42">
                  <c:v>119983.11110698456</c:v>
                </c:pt>
                <c:pt idx="43">
                  <c:v>113486.10994686581</c:v>
                </c:pt>
                <c:pt idx="44">
                  <c:v>107050.98498827223</c:v>
                </c:pt>
                <c:pt idx="45">
                  <c:v>100677.73623120334</c:v>
                </c:pt>
                <c:pt idx="46">
                  <c:v>94366.363675659639</c:v>
                </c:pt>
                <c:pt idx="47">
                  <c:v>88116.867321640661</c:v>
                </c:pt>
                <c:pt idx="48">
                  <c:v>81929.247169146809</c:v>
                </c:pt>
                <c:pt idx="49">
                  <c:v>75803.503218177706</c:v>
                </c:pt>
                <c:pt idx="50">
                  <c:v>69739.63546873373</c:v>
                </c:pt>
                <c:pt idx="51">
                  <c:v>63737.643920814502</c:v>
                </c:pt>
                <c:pt idx="52">
                  <c:v>57797.528574420467</c:v>
                </c:pt>
                <c:pt idx="53">
                  <c:v>51919.289429551231</c:v>
                </c:pt>
                <c:pt idx="54">
                  <c:v>46102.926486206896</c:v>
                </c:pt>
                <c:pt idx="55">
                  <c:v>40348.439744387535</c:v>
                </c:pt>
                <c:pt idx="56">
                  <c:v>34655.829204093105</c:v>
                </c:pt>
                <c:pt idx="57">
                  <c:v>29025.094865323623</c:v>
                </c:pt>
                <c:pt idx="58">
                  <c:v>23456.236728079111</c:v>
                </c:pt>
                <c:pt idx="59">
                  <c:v>17949.254792359501</c:v>
                </c:pt>
                <c:pt idx="60">
                  <c:v>12504.149058164794</c:v>
                </c:pt>
                <c:pt idx="61">
                  <c:v>7120.919525495061</c:v>
                </c:pt>
                <c:pt idx="62">
                  <c:v>1799.5661943502664</c:v>
                </c:pt>
                <c:pt idx="63">
                  <c:v>-3459.91093526959</c:v>
                </c:pt>
                <c:pt idx="64">
                  <c:v>-8657.5118633644379</c:v>
                </c:pt>
                <c:pt idx="65">
                  <c:v>-13793.236589934417</c:v>
                </c:pt>
                <c:pt idx="66">
                  <c:v>-18867.085114979458</c:v>
                </c:pt>
                <c:pt idx="67">
                  <c:v>-23879.057438499563</c:v>
                </c:pt>
                <c:pt idx="68">
                  <c:v>-28829.153560494728</c:v>
                </c:pt>
                <c:pt idx="69">
                  <c:v>-33717.373480964918</c:v>
                </c:pt>
                <c:pt idx="70">
                  <c:v>-38543.71719991017</c:v>
                </c:pt>
                <c:pt idx="71">
                  <c:v>-43308.184717330521</c:v>
                </c:pt>
                <c:pt idx="72">
                  <c:v>-48010.776033225899</c:v>
                </c:pt>
                <c:pt idx="73">
                  <c:v>-52651.491147596302</c:v>
                </c:pt>
                <c:pt idx="74">
                  <c:v>-57230.33006044184</c:v>
                </c:pt>
                <c:pt idx="75">
                  <c:v>-61747.292771762404</c:v>
                </c:pt>
                <c:pt idx="76">
                  <c:v>-66202.379281558009</c:v>
                </c:pt>
                <c:pt idx="77">
                  <c:v>-70595.589589828713</c:v>
                </c:pt>
                <c:pt idx="78">
                  <c:v>-74926.923696574479</c:v>
                </c:pt>
                <c:pt idx="79">
                  <c:v>-79196.381601795307</c:v>
                </c:pt>
                <c:pt idx="80">
                  <c:v>-83403.963305491168</c:v>
                </c:pt>
                <c:pt idx="81">
                  <c:v>-87549.668807662121</c:v>
                </c:pt>
                <c:pt idx="82">
                  <c:v>-91633.498108308122</c:v>
                </c:pt>
                <c:pt idx="83">
                  <c:v>-95655.451207429171</c:v>
                </c:pt>
                <c:pt idx="84">
                  <c:v>-99615.528105025311</c:v>
                </c:pt>
                <c:pt idx="85">
                  <c:v>-103513.72880109648</c:v>
                </c:pt>
                <c:pt idx="86">
                  <c:v>-107350.05329564272</c:v>
                </c:pt>
                <c:pt idx="87">
                  <c:v>-111124.50158866409</c:v>
                </c:pt>
                <c:pt idx="88">
                  <c:v>-114837.07368016041</c:v>
                </c:pt>
                <c:pt idx="89">
                  <c:v>-118487.76957013182</c:v>
                </c:pt>
                <c:pt idx="90">
                  <c:v>-122076.5892585783</c:v>
                </c:pt>
                <c:pt idx="91">
                  <c:v>-125603.53274549985</c:v>
                </c:pt>
                <c:pt idx="92">
                  <c:v>-129068.60003089644</c:v>
                </c:pt>
                <c:pt idx="93">
                  <c:v>-132471.79111476813</c:v>
                </c:pt>
                <c:pt idx="94">
                  <c:v>-135813.10599711485</c:v>
                </c:pt>
                <c:pt idx="95">
                  <c:v>-139092.54467793662</c:v>
                </c:pt>
                <c:pt idx="96">
                  <c:v>-142310.10715723349</c:v>
                </c:pt>
                <c:pt idx="97">
                  <c:v>-145465.79343500538</c:v>
                </c:pt>
                <c:pt idx="98">
                  <c:v>-148559.60351125238</c:v>
                </c:pt>
                <c:pt idx="99">
                  <c:v>-151591.5373859744</c:v>
                </c:pt>
                <c:pt idx="100">
                  <c:v>-154561.59505917149</c:v>
                </c:pt>
                <c:pt idx="101">
                  <c:v>-157469.77653084364</c:v>
                </c:pt>
                <c:pt idx="102">
                  <c:v>-160316.08180099085</c:v>
                </c:pt>
                <c:pt idx="103">
                  <c:v>-163100.51086961312</c:v>
                </c:pt>
                <c:pt idx="104">
                  <c:v>-165823.06373671046</c:v>
                </c:pt>
                <c:pt idx="105">
                  <c:v>-168483.7404022828</c:v>
                </c:pt>
                <c:pt idx="106">
                  <c:v>-171082.54086633024</c:v>
                </c:pt>
                <c:pt idx="107">
                  <c:v>-173619.46512885278</c:v>
                </c:pt>
                <c:pt idx="108">
                  <c:v>-176094.51318985035</c:v>
                </c:pt>
                <c:pt idx="109">
                  <c:v>-178507.68504932299</c:v>
                </c:pt>
                <c:pt idx="110">
                  <c:v>-180858.98070727068</c:v>
                </c:pt>
                <c:pt idx="111">
                  <c:v>-183148.40016369341</c:v>
                </c:pt>
                <c:pt idx="112">
                  <c:v>-185375.94341859125</c:v>
                </c:pt>
                <c:pt idx="113">
                  <c:v>-187541.61047196414</c:v>
                </c:pt>
                <c:pt idx="114">
                  <c:v>-189645.40132381208</c:v>
                </c:pt>
                <c:pt idx="115">
                  <c:v>-191687.31597413507</c:v>
                </c:pt>
                <c:pt idx="116">
                  <c:v>-193667.35442293313</c:v>
                </c:pt>
                <c:pt idx="117">
                  <c:v>-195585.51667020624</c:v>
                </c:pt>
                <c:pt idx="118">
                  <c:v>-197441.80271595443</c:v>
                </c:pt>
                <c:pt idx="119">
                  <c:v>-199236.21256017766</c:v>
                </c:pt>
                <c:pt idx="120">
                  <c:v>-200968.74620287598</c:v>
                </c:pt>
                <c:pt idx="121">
                  <c:v>-202639.40364404937</c:v>
                </c:pt>
                <c:pt idx="122">
                  <c:v>-204248.18488369777</c:v>
                </c:pt>
                <c:pt idx="123">
                  <c:v>-205795.08992182123</c:v>
                </c:pt>
                <c:pt idx="124">
                  <c:v>-207280.11875841979</c:v>
                </c:pt>
                <c:pt idx="125">
                  <c:v>-208703.2713934934</c:v>
                </c:pt>
                <c:pt idx="126">
                  <c:v>-210064.54782704209</c:v>
                </c:pt>
                <c:pt idx="127">
                  <c:v>-211363.94805906579</c:v>
                </c:pt>
                <c:pt idx="128">
                  <c:v>-212601.47208956457</c:v>
                </c:pt>
                <c:pt idx="129">
                  <c:v>-213777.11991853846</c:v>
                </c:pt>
                <c:pt idx="130">
                  <c:v>-214890.89154598734</c:v>
                </c:pt>
                <c:pt idx="131">
                  <c:v>-215942.78697191132</c:v>
                </c:pt>
                <c:pt idx="132">
                  <c:v>-216932.80619631032</c:v>
                </c:pt>
                <c:pt idx="133">
                  <c:v>-217860.94921918443</c:v>
                </c:pt>
                <c:pt idx="134">
                  <c:v>-218727.21604053359</c:v>
                </c:pt>
                <c:pt idx="135">
                  <c:v>-219531.60666035782</c:v>
                </c:pt>
                <c:pt idx="136">
                  <c:v>-220274.12107865707</c:v>
                </c:pt>
                <c:pt idx="137">
                  <c:v>-220954.7592954314</c:v>
                </c:pt>
                <c:pt idx="138">
                  <c:v>-221573.52131068081</c:v>
                </c:pt>
                <c:pt idx="139">
                  <c:v>-222130.40712440526</c:v>
                </c:pt>
                <c:pt idx="140">
                  <c:v>-222625.41673660476</c:v>
                </c:pt>
                <c:pt idx="141">
                  <c:v>-223058.55014727931</c:v>
                </c:pt>
                <c:pt idx="142">
                  <c:v>-223429.80735642897</c:v>
                </c:pt>
                <c:pt idx="143">
                  <c:v>-223739.18836405364</c:v>
                </c:pt>
                <c:pt idx="144">
                  <c:v>-223986.69317015342</c:v>
                </c:pt>
                <c:pt idx="145">
                  <c:v>-224172.32177472822</c:v>
                </c:pt>
                <c:pt idx="146">
                  <c:v>-224296.07417777812</c:v>
                </c:pt>
                <c:pt idx="147">
                  <c:v>-224357.95037930307</c:v>
                </c:pt>
                <c:pt idx="148">
                  <c:v>-224357.95037930307</c:v>
                </c:pt>
                <c:pt idx="149">
                  <c:v>-224296.07417777812</c:v>
                </c:pt>
                <c:pt idx="150">
                  <c:v>-224172.32177472825</c:v>
                </c:pt>
                <c:pt idx="151">
                  <c:v>-223986.69317015339</c:v>
                </c:pt>
                <c:pt idx="152">
                  <c:v>-223739.18836405364</c:v>
                </c:pt>
                <c:pt idx="153">
                  <c:v>-223429.80735642897</c:v>
                </c:pt>
                <c:pt idx="154">
                  <c:v>-223058.55014727931</c:v>
                </c:pt>
                <c:pt idx="155">
                  <c:v>-222625.41673660476</c:v>
                </c:pt>
                <c:pt idx="156">
                  <c:v>-222130.40712440526</c:v>
                </c:pt>
                <c:pt idx="157">
                  <c:v>-221573.52131068078</c:v>
                </c:pt>
                <c:pt idx="158">
                  <c:v>-220954.7592954314</c:v>
                </c:pt>
                <c:pt idx="159">
                  <c:v>-220274.12107865704</c:v>
                </c:pt>
                <c:pt idx="160">
                  <c:v>-219531.60666035776</c:v>
                </c:pt>
                <c:pt idx="161">
                  <c:v>-218727.21604053353</c:v>
                </c:pt>
                <c:pt idx="162">
                  <c:v>-217860.9492191844</c:v>
                </c:pt>
                <c:pt idx="163">
                  <c:v>-216932.8061963103</c:v>
                </c:pt>
                <c:pt idx="164">
                  <c:v>-215942.78697191129</c:v>
                </c:pt>
                <c:pt idx="165">
                  <c:v>-214890.89154598731</c:v>
                </c:pt>
                <c:pt idx="166">
                  <c:v>-213777.1199185384</c:v>
                </c:pt>
                <c:pt idx="167">
                  <c:v>-212601.47208956454</c:v>
                </c:pt>
                <c:pt idx="168">
                  <c:v>-211363.94805906579</c:v>
                </c:pt>
                <c:pt idx="169">
                  <c:v>-210064.547827042</c:v>
                </c:pt>
                <c:pt idx="170">
                  <c:v>-208703.27139349337</c:v>
                </c:pt>
                <c:pt idx="171">
                  <c:v>-207280.11875841976</c:v>
                </c:pt>
                <c:pt idx="172">
                  <c:v>-205795.08992182123</c:v>
                </c:pt>
                <c:pt idx="173">
                  <c:v>-204248.18488369772</c:v>
                </c:pt>
                <c:pt idx="174">
                  <c:v>-202639.40364404928</c:v>
                </c:pt>
                <c:pt idx="175">
                  <c:v>-200968.74620287592</c:v>
                </c:pt>
                <c:pt idx="176">
                  <c:v>-199236.21256017764</c:v>
                </c:pt>
                <c:pt idx="177">
                  <c:v>-197441.80271595443</c:v>
                </c:pt>
                <c:pt idx="178">
                  <c:v>-195585.51667020621</c:v>
                </c:pt>
                <c:pt idx="179">
                  <c:v>-193667.35442293313</c:v>
                </c:pt>
                <c:pt idx="180">
                  <c:v>-191687.31597413504</c:v>
                </c:pt>
                <c:pt idx="181">
                  <c:v>-189645.40132381208</c:v>
                </c:pt>
                <c:pt idx="182">
                  <c:v>-187541.61047196412</c:v>
                </c:pt>
                <c:pt idx="183">
                  <c:v>-185375.94341859125</c:v>
                </c:pt>
                <c:pt idx="184">
                  <c:v>-183148.40016369341</c:v>
                </c:pt>
                <c:pt idx="185">
                  <c:v>-180858.98070727068</c:v>
                </c:pt>
                <c:pt idx="186">
                  <c:v>-178507.68504932296</c:v>
                </c:pt>
                <c:pt idx="187">
                  <c:v>-176094.51318985035</c:v>
                </c:pt>
                <c:pt idx="188">
                  <c:v>-173619.46512885272</c:v>
                </c:pt>
                <c:pt idx="189">
                  <c:v>-171082.54086633024</c:v>
                </c:pt>
                <c:pt idx="190">
                  <c:v>-168483.74040228274</c:v>
                </c:pt>
                <c:pt idx="191">
                  <c:v>-165823.06373671041</c:v>
                </c:pt>
                <c:pt idx="192">
                  <c:v>-163100.51086961303</c:v>
                </c:pt>
                <c:pt idx="193">
                  <c:v>-160316.08180099083</c:v>
                </c:pt>
                <c:pt idx="194">
                  <c:v>-157469.77653084355</c:v>
                </c:pt>
                <c:pt idx="195">
                  <c:v>-154561.59505917144</c:v>
                </c:pt>
                <c:pt idx="196">
                  <c:v>-151591.53738597428</c:v>
                </c:pt>
                <c:pt idx="197">
                  <c:v>-148559.60351125229</c:v>
                </c:pt>
                <c:pt idx="198">
                  <c:v>-145465.7934350053</c:v>
                </c:pt>
                <c:pt idx="199">
                  <c:v>-142310.10715723343</c:v>
                </c:pt>
                <c:pt idx="200">
                  <c:v>-139092.54467793653</c:v>
                </c:pt>
                <c:pt idx="201">
                  <c:v>-135813.10599711479</c:v>
                </c:pt>
                <c:pt idx="202">
                  <c:v>-132471.79111476801</c:v>
                </c:pt>
                <c:pt idx="203">
                  <c:v>-129068.60003089638</c:v>
                </c:pt>
                <c:pt idx="204">
                  <c:v>-125603.53274549975</c:v>
                </c:pt>
                <c:pt idx="205">
                  <c:v>-122076.58925857824</c:v>
                </c:pt>
                <c:pt idx="206">
                  <c:v>-118487.7695701317</c:v>
                </c:pt>
                <c:pt idx="207">
                  <c:v>-114837.0736801602</c:v>
                </c:pt>
                <c:pt idx="208">
                  <c:v>-111124.50158866392</c:v>
                </c:pt>
                <c:pt idx="209">
                  <c:v>-107350.05329564266</c:v>
                </c:pt>
                <c:pt idx="210">
                  <c:v>-103513.72880109648</c:v>
                </c:pt>
                <c:pt idx="211">
                  <c:v>-99615.528105025238</c:v>
                </c:pt>
                <c:pt idx="212">
                  <c:v>-95655.451207429171</c:v>
                </c:pt>
                <c:pt idx="213">
                  <c:v>-91633.498108308064</c:v>
                </c:pt>
                <c:pt idx="214">
                  <c:v>-87549.668807662121</c:v>
                </c:pt>
                <c:pt idx="215">
                  <c:v>-83403.963305491096</c:v>
                </c:pt>
                <c:pt idx="216">
                  <c:v>-79196.381601795307</c:v>
                </c:pt>
                <c:pt idx="217">
                  <c:v>-74926.923696574406</c:v>
                </c:pt>
                <c:pt idx="218">
                  <c:v>-70595.589589828713</c:v>
                </c:pt>
                <c:pt idx="219">
                  <c:v>-66202.379281557936</c:v>
                </c:pt>
                <c:pt idx="220">
                  <c:v>-61747.292771762404</c:v>
                </c:pt>
                <c:pt idx="221">
                  <c:v>-57230.330060441767</c:v>
                </c:pt>
                <c:pt idx="222">
                  <c:v>-52651.491147596302</c:v>
                </c:pt>
                <c:pt idx="223">
                  <c:v>-48010.77603322576</c:v>
                </c:pt>
                <c:pt idx="224">
                  <c:v>-43308.184717330449</c:v>
                </c:pt>
                <c:pt idx="225">
                  <c:v>-38543.717199910032</c:v>
                </c:pt>
                <c:pt idx="226">
                  <c:v>-33717.373480964845</c:v>
                </c:pt>
                <c:pt idx="227">
                  <c:v>-28829.153560494549</c:v>
                </c:pt>
                <c:pt idx="228">
                  <c:v>-23879.057438499491</c:v>
                </c:pt>
                <c:pt idx="229">
                  <c:v>-18867.085114979316</c:v>
                </c:pt>
                <c:pt idx="230">
                  <c:v>-13793.236589934346</c:v>
                </c:pt>
                <c:pt idx="231">
                  <c:v>-8657.511863364296</c:v>
                </c:pt>
                <c:pt idx="232">
                  <c:v>-3459.9109352694481</c:v>
                </c:pt>
                <c:pt idx="233">
                  <c:v>1799.5661943504435</c:v>
                </c:pt>
                <c:pt idx="234">
                  <c:v>7120.9195254951674</c:v>
                </c:pt>
                <c:pt idx="235">
                  <c:v>12504.14905816497</c:v>
                </c:pt>
                <c:pt idx="236">
                  <c:v>17949.25479235957</c:v>
                </c:pt>
                <c:pt idx="237">
                  <c:v>23456.236728079286</c:v>
                </c:pt>
                <c:pt idx="238">
                  <c:v>29025.094865323728</c:v>
                </c:pt>
                <c:pt idx="239">
                  <c:v>34655.829204093287</c:v>
                </c:pt>
                <c:pt idx="240">
                  <c:v>40348.439744387637</c:v>
                </c:pt>
                <c:pt idx="241">
                  <c:v>46102.926486206896</c:v>
                </c:pt>
                <c:pt idx="242">
                  <c:v>51919.289429551303</c:v>
                </c:pt>
                <c:pt idx="243">
                  <c:v>57797.528574420467</c:v>
                </c:pt>
                <c:pt idx="244">
                  <c:v>63737.643920814749</c:v>
                </c:pt>
                <c:pt idx="245">
                  <c:v>69739.63546873373</c:v>
                </c:pt>
                <c:pt idx="246">
                  <c:v>75803.503218177924</c:v>
                </c:pt>
                <c:pt idx="247">
                  <c:v>81929.247169146809</c:v>
                </c:pt>
                <c:pt idx="248">
                  <c:v>88116.867321640879</c:v>
                </c:pt>
                <c:pt idx="249">
                  <c:v>94366.363675659639</c:v>
                </c:pt>
                <c:pt idx="250">
                  <c:v>100677.73623120355</c:v>
                </c:pt>
                <c:pt idx="251">
                  <c:v>107050.98498827223</c:v>
                </c:pt>
                <c:pt idx="252">
                  <c:v>113486.10994686601</c:v>
                </c:pt>
                <c:pt idx="253">
                  <c:v>119983.11110698456</c:v>
                </c:pt>
                <c:pt idx="254">
                  <c:v>126541.98846862823</c:v>
                </c:pt>
                <c:pt idx="255">
                  <c:v>133162.74203179666</c:v>
                </c:pt>
                <c:pt idx="256">
                  <c:v>139845.37179649019</c:v>
                </c:pt>
                <c:pt idx="257">
                  <c:v>146589.87776270849</c:v>
                </c:pt>
                <c:pt idx="258">
                  <c:v>153396.25993045192</c:v>
                </c:pt>
                <c:pt idx="259">
                  <c:v>160264.5182997201</c:v>
                </c:pt>
                <c:pt idx="260">
                  <c:v>167194.65287051347</c:v>
                </c:pt>
                <c:pt idx="261">
                  <c:v>174186.66364283147</c:v>
                </c:pt>
                <c:pt idx="262">
                  <c:v>181240.55061667471</c:v>
                </c:pt>
                <c:pt idx="263">
                  <c:v>188356.31379204255</c:v>
                </c:pt>
                <c:pt idx="264">
                  <c:v>195533.95316893567</c:v>
                </c:pt>
                <c:pt idx="265">
                  <c:v>202773.46874735347</c:v>
                </c:pt>
                <c:pt idx="266">
                  <c:v>210074.86052729649</c:v>
                </c:pt>
                <c:pt idx="267">
                  <c:v>217438.12850876409</c:v>
                </c:pt>
                <c:pt idx="268">
                  <c:v>224863.27269175698</c:v>
                </c:pt>
                <c:pt idx="269">
                  <c:v>232350.29307627445</c:v>
                </c:pt>
                <c:pt idx="270">
                  <c:v>239899.18966231722</c:v>
                </c:pt>
                <c:pt idx="271">
                  <c:v>247509.96244988465</c:v>
                </c:pt>
                <c:pt idx="272">
                  <c:v>255182.61143897727</c:v>
                </c:pt>
                <c:pt idx="273">
                  <c:v>262917.13662959461</c:v>
                </c:pt>
                <c:pt idx="274">
                  <c:v>270713.53802173707</c:v>
                </c:pt>
                <c:pt idx="275">
                  <c:v>278571.81561540422</c:v>
                </c:pt>
                <c:pt idx="276">
                  <c:v>286491.96941059659</c:v>
                </c:pt>
                <c:pt idx="277">
                  <c:v>294473.99940731394</c:v>
                </c:pt>
                <c:pt idx="278">
                  <c:v>302517.90560555592</c:v>
                </c:pt>
                <c:pt idx="279">
                  <c:v>310623.68800532311</c:v>
                </c:pt>
                <c:pt idx="280">
                  <c:v>318791.34660661506</c:v>
                </c:pt>
                <c:pt idx="281">
                  <c:v>327020.8814094321</c:v>
                </c:pt>
                <c:pt idx="282">
                  <c:v>335312.29241377383</c:v>
                </c:pt>
                <c:pt idx="283">
                  <c:v>343665.57961964078</c:v>
                </c:pt>
                <c:pt idx="284">
                  <c:v>352080.74302703241</c:v>
                </c:pt>
                <c:pt idx="285">
                  <c:v>360557.78263594926</c:v>
                </c:pt>
                <c:pt idx="286">
                  <c:v>369096.6984463908</c:v>
                </c:pt>
                <c:pt idx="287">
                  <c:v>377697.49045835756</c:v>
                </c:pt>
                <c:pt idx="288">
                  <c:v>386360.15867184883</c:v>
                </c:pt>
                <c:pt idx="289">
                  <c:v>395084.70308686479</c:v>
                </c:pt>
                <c:pt idx="290">
                  <c:v>403871.12370340613</c:v>
                </c:pt>
                <c:pt idx="291">
                  <c:v>412719.42052147258</c:v>
                </c:pt>
                <c:pt idx="292">
                  <c:v>421629.59354106378</c:v>
                </c:pt>
                <c:pt idx="293">
                  <c:v>430601.64276218013</c:v>
                </c:pt>
                <c:pt idx="294">
                  <c:v>439635.56818482117</c:v>
                </c:pt>
                <c:pt idx="295">
                  <c:v>448731.36980898731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21-4ECB-AF22-B01465576719}"/>
            </c:ext>
          </c:extLst>
        </c:ser>
        <c:ser>
          <c:idx val="2"/>
          <c:order val="2"/>
          <c:tx>
            <c:v>trap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[0]!trap.qd3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-4964090.7785119181</c:v>
                </c:pt>
                <c:pt idx="99">
                  <c:v>-4964090.7785119181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-4964090.7785119181</c:v>
                </c:pt>
                <c:pt idx="197">
                  <c:v>-4964090.7785119181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21-4ECB-AF22-B01465576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362767"/>
        <c:axId val="1570608351"/>
      </c:scatterChart>
      <c:valAx>
        <c:axId val="106936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[s] </a:t>
                </a:r>
              </a:p>
            </c:rich>
          </c:tx>
          <c:layout>
            <c:manualLayout>
              <c:xMode val="edge"/>
              <c:yMode val="edge"/>
              <c:x val="0.47130208333333334"/>
              <c:y val="0.90049908925318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351"/>
        <c:crosses val="autoZero"/>
        <c:crossBetween val="midCat"/>
      </c:valAx>
      <c:valAx>
        <c:axId val="15706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 b="0"/>
                  <a:t>j</a:t>
                </a:r>
                <a:r>
                  <a:rPr lang="el-GR" b="0"/>
                  <a:t> [</a:t>
                </a:r>
                <a:r>
                  <a:rPr lang="en-GB" b="0"/>
                  <a:t>rad/s</a:t>
                </a:r>
                <a:r>
                  <a:rPr lang="en-GB" b="0" baseline="30000"/>
                  <a:t>3</a:t>
                </a:r>
                <a:r>
                  <a:rPr lang="en-GB" b="0"/>
                  <a:t>]</a:t>
                </a:r>
              </a:p>
            </c:rich>
          </c:tx>
          <c:layout>
            <c:manualLayout>
              <c:xMode val="edge"/>
              <c:yMode val="edge"/>
              <c:x val="1.3888888888888892E-2"/>
              <c:y val="0.35893169398907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6276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Motor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91517636834496"/>
          <c:y val="0.1544055201698514"/>
          <c:w val="0.81446430053148511"/>
          <c:h val="0.75427261480849928"/>
        </c:manualLayout>
      </c:layout>
      <c:scatterChart>
        <c:scatterStyle val="smoothMarker"/>
        <c:varyColors val="0"/>
        <c:ser>
          <c:idx val="1"/>
          <c:order val="0"/>
          <c:tx>
            <c:v>ref poly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[0]!refpoly.Tm</c:f>
              <c:numCache>
                <c:formatCode>General</c:formatCode>
                <c:ptCount val="296"/>
                <c:pt idx="0">
                  <c:v>0.1025359665978</c:v>
                </c:pt>
                <c:pt idx="1">
                  <c:v>0.5078442107162191</c:v>
                </c:pt>
                <c:pt idx="2">
                  <c:v>0.90488953093696556</c:v>
                </c:pt>
                <c:pt idx="3">
                  <c:v>1.2937371753842355</c:v>
                </c:pt>
                <c:pt idx="4">
                  <c:v>1.6744525360710889</c:v>
                </c:pt>
                <c:pt idx="5">
                  <c:v>2.047101147938736</c:v>
                </c:pt>
                <c:pt idx="6">
                  <c:v>2.4117487061595893</c:v>
                </c:pt>
                <c:pt idx="7">
                  <c:v>2.7684611057313955</c:v>
                </c:pt>
                <c:pt idx="8">
                  <c:v>3.1173045065626446</c:v>
                </c:pt>
                <c:pt idx="9">
                  <c:v>3.4583454264854794</c:v>
                </c:pt>
                <c:pt idx="10">
                  <c:v>3.7916508639305873</c:v>
                </c:pt>
                <c:pt idx="11">
                  <c:v>4.1172884513544359</c:v>
                </c:pt>
                <c:pt idx="12">
                  <c:v>4.43533818769445</c:v>
                </c:pt>
                <c:pt idx="13">
                  <c:v>4.7458921712126818</c:v>
                </c:pt>
                <c:pt idx="14">
                  <c:v>5.049008938349675</c:v>
                </c:pt>
                <c:pt idx="15">
                  <c:v>5.3447784575353889</c:v>
                </c:pt>
                <c:pt idx="16">
                  <c:v>5.6333157889306795</c:v>
                </c:pt>
                <c:pt idx="17">
                  <c:v>5.9146806599839241</c:v>
                </c:pt>
                <c:pt idx="18">
                  <c:v>6.1890354396527538</c:v>
                </c:pt>
                <c:pt idx="19">
                  <c:v>6.4564469422495545</c:v>
                </c:pt>
                <c:pt idx="20">
                  <c:v>6.7170747603891234</c:v>
                </c:pt>
                <c:pt idx="21">
                  <c:v>6.9710595053645577</c:v>
                </c:pt>
                <c:pt idx="22">
                  <c:v>7.2185408150078851</c:v>
                </c:pt>
                <c:pt idx="23">
                  <c:v>7.4596942878680519</c:v>
                </c:pt>
                <c:pt idx="24">
                  <c:v>7.6947104838562863</c:v>
                </c:pt>
                <c:pt idx="25">
                  <c:v>7.9237957254500895</c:v>
                </c:pt>
                <c:pt idx="26">
                  <c:v>8.1471692486233387</c:v>
                </c:pt>
                <c:pt idx="27">
                  <c:v>8.3650624051900468</c:v>
                </c:pt>
                <c:pt idx="28">
                  <c:v>8.57774248617838</c:v>
                </c:pt>
                <c:pt idx="29">
                  <c:v>8.7854874632863531</c:v>
                </c:pt>
                <c:pt idx="30">
                  <c:v>8.9886619998741022</c:v>
                </c:pt>
                <c:pt idx="31">
                  <c:v>9.1875227246761444</c:v>
                </c:pt>
                <c:pt idx="32">
                  <c:v>9.3825040003842748</c:v>
                </c:pt>
                <c:pt idx="33">
                  <c:v>9.5739244785987232</c:v>
                </c:pt>
                <c:pt idx="34">
                  <c:v>9.7621979429311114</c:v>
                </c:pt>
                <c:pt idx="35">
                  <c:v>9.9478167582350618</c:v>
                </c:pt>
                <c:pt idx="36">
                  <c:v>10.131205744542834</c:v>
                </c:pt>
                <c:pt idx="37">
                  <c:v>10.312876860237667</c:v>
                </c:pt>
                <c:pt idx="38">
                  <c:v>10.49333659142621</c:v>
                </c:pt>
                <c:pt idx="39">
                  <c:v>10.67311962329102</c:v>
                </c:pt>
                <c:pt idx="40">
                  <c:v>10.852817886257254</c:v>
                </c:pt>
                <c:pt idx="41">
                  <c:v>11.033009926004047</c:v>
                </c:pt>
                <c:pt idx="42">
                  <c:v>11.214355578768659</c:v>
                </c:pt>
                <c:pt idx="43">
                  <c:v>11.397453795661768</c:v>
                </c:pt>
                <c:pt idx="44">
                  <c:v>11.582910809403229</c:v>
                </c:pt>
                <c:pt idx="45">
                  <c:v>11.77160336352088</c:v>
                </c:pt>
                <c:pt idx="46">
                  <c:v>11.963999400533625</c:v>
                </c:pt>
                <c:pt idx="47">
                  <c:v>12.160932360650827</c:v>
                </c:pt>
                <c:pt idx="48">
                  <c:v>12.363198358013646</c:v>
                </c:pt>
                <c:pt idx="49">
                  <c:v>12.571367498165696</c:v>
                </c:pt>
                <c:pt idx="50">
                  <c:v>12.786246041156309</c:v>
                </c:pt>
                <c:pt idx="51">
                  <c:v>13.00863226684082</c:v>
                </c:pt>
                <c:pt idx="52">
                  <c:v>13.23936106962444</c:v>
                </c:pt>
                <c:pt idx="53">
                  <c:v>13.478695865094107</c:v>
                </c:pt>
                <c:pt idx="54">
                  <c:v>13.727865874063575</c:v>
                </c:pt>
                <c:pt idx="55">
                  <c:v>13.987420486523096</c:v>
                </c:pt>
                <c:pt idx="56">
                  <c:v>14.257892353997132</c:v>
                </c:pt>
                <c:pt idx="57">
                  <c:v>14.540180806509801</c:v>
                </c:pt>
                <c:pt idx="58">
                  <c:v>14.834913696788645</c:v>
                </c:pt>
                <c:pt idx="59">
                  <c:v>15.142305717046824</c:v>
                </c:pt>
                <c:pt idx="60">
                  <c:v>15.463229994389494</c:v>
                </c:pt>
                <c:pt idx="61">
                  <c:v>15.798235519321935</c:v>
                </c:pt>
                <c:pt idx="62">
                  <c:v>16.147618966564682</c:v>
                </c:pt>
                <c:pt idx="63">
                  <c:v>16.51181710965016</c:v>
                </c:pt>
                <c:pt idx="64">
                  <c:v>16.891263182412739</c:v>
                </c:pt>
                <c:pt idx="65">
                  <c:v>17.286111584095824</c:v>
                </c:pt>
                <c:pt idx="66">
                  <c:v>17.696523087160919</c:v>
                </c:pt>
                <c:pt idx="67">
                  <c:v>18.122709448596098</c:v>
                </c:pt>
                <c:pt idx="68">
                  <c:v>18.5646149127518</c:v>
                </c:pt>
                <c:pt idx="69">
                  <c:v>19.022240265889156</c:v>
                </c:pt>
                <c:pt idx="70">
                  <c:v>19.495287430975061</c:v>
                </c:pt>
                <c:pt idx="71">
                  <c:v>19.983690446903275</c:v>
                </c:pt>
                <c:pt idx="72">
                  <c:v>20.486949190190547</c:v>
                </c:pt>
                <c:pt idx="73">
                  <c:v>21.004663734302234</c:v>
                </c:pt>
                <c:pt idx="74">
                  <c:v>21.536312386689495</c:v>
                </c:pt>
                <c:pt idx="75">
                  <c:v>22.08105429920635</c:v>
                </c:pt>
                <c:pt idx="76">
                  <c:v>22.638287674808922</c:v>
                </c:pt>
                <c:pt idx="77">
                  <c:v>23.207016193482943</c:v>
                </c:pt>
                <c:pt idx="78">
                  <c:v>23.786255857567063</c:v>
                </c:pt>
                <c:pt idx="79">
                  <c:v>24.377020517363462</c:v>
                </c:pt>
                <c:pt idx="80">
                  <c:v>24.974021927218779</c:v>
                </c:pt>
                <c:pt idx="81">
                  <c:v>25.575389200186457</c:v>
                </c:pt>
                <c:pt idx="82">
                  <c:v>26.186340260763849</c:v>
                </c:pt>
                <c:pt idx="83">
                  <c:v>26.799827991818059</c:v>
                </c:pt>
                <c:pt idx="84">
                  <c:v>27.412761162795398</c:v>
                </c:pt>
                <c:pt idx="85">
                  <c:v>28.026822846947681</c:v>
                </c:pt>
                <c:pt idx="86">
                  <c:v>28.645493829530817</c:v>
                </c:pt>
                <c:pt idx="87">
                  <c:v>29.257218491260147</c:v>
                </c:pt>
                <c:pt idx="88">
                  <c:v>29.861390939553424</c:v>
                </c:pt>
                <c:pt idx="89">
                  <c:v>30.455691596404641</c:v>
                </c:pt>
                <c:pt idx="90">
                  <c:v>31.043473628512324</c:v>
                </c:pt>
                <c:pt idx="91">
                  <c:v>31.621009412828577</c:v>
                </c:pt>
                <c:pt idx="92">
                  <c:v>32.184234299649319</c:v>
                </c:pt>
                <c:pt idx="93">
                  <c:v>32.736053348320638</c:v>
                </c:pt>
                <c:pt idx="94">
                  <c:v>33.264265374051618</c:v>
                </c:pt>
                <c:pt idx="95">
                  <c:v>33.771298505840264</c:v>
                </c:pt>
                <c:pt idx="96">
                  <c:v>34.260483783779435</c:v>
                </c:pt>
                <c:pt idx="97">
                  <c:v>34.718689901666856</c:v>
                </c:pt>
                <c:pt idx="98">
                  <c:v>35.14844806091196</c:v>
                </c:pt>
                <c:pt idx="99">
                  <c:v>35.566524053753866</c:v>
                </c:pt>
                <c:pt idx="100">
                  <c:v>35.924563826504034</c:v>
                </c:pt>
                <c:pt idx="101">
                  <c:v>36.263051160366757</c:v>
                </c:pt>
                <c:pt idx="102">
                  <c:v>36.568895473420326</c:v>
                </c:pt>
                <c:pt idx="103">
                  <c:v>36.834277249333496</c:v>
                </c:pt>
                <c:pt idx="104">
                  <c:v>37.058127354666055</c:v>
                </c:pt>
                <c:pt idx="105">
                  <c:v>37.235716385084594</c:v>
                </c:pt>
                <c:pt idx="106">
                  <c:v>37.375092751237879</c:v>
                </c:pt>
                <c:pt idx="107">
                  <c:v>37.468978280923992</c:v>
                </c:pt>
                <c:pt idx="108">
                  <c:v>37.521255246613549</c:v>
                </c:pt>
                <c:pt idx="109">
                  <c:v>37.523322793809541</c:v>
                </c:pt>
                <c:pt idx="110">
                  <c:v>37.470754852877832</c:v>
                </c:pt>
                <c:pt idx="111">
                  <c:v>37.367125000861307</c:v>
                </c:pt>
                <c:pt idx="112">
                  <c:v>37.210809455628585</c:v>
                </c:pt>
                <c:pt idx="113">
                  <c:v>37.005466285270302</c:v>
                </c:pt>
                <c:pt idx="114">
                  <c:v>36.751771261483157</c:v>
                </c:pt>
                <c:pt idx="115">
                  <c:v>36.444982651328218</c:v>
                </c:pt>
                <c:pt idx="116">
                  <c:v>36.072531890430099</c:v>
                </c:pt>
                <c:pt idx="117">
                  <c:v>35.646649679329919</c:v>
                </c:pt>
                <c:pt idx="118">
                  <c:v>35.168011271242989</c:v>
                </c:pt>
                <c:pt idx="119">
                  <c:v>34.641054418889226</c:v>
                </c:pt>
                <c:pt idx="120">
                  <c:v>34.062440145976765</c:v>
                </c:pt>
                <c:pt idx="121">
                  <c:v>33.412184424451098</c:v>
                </c:pt>
                <c:pt idx="122">
                  <c:v>32.711539752265331</c:v>
                </c:pt>
                <c:pt idx="123">
                  <c:v>31.962758550301722</c:v>
                </c:pt>
                <c:pt idx="124">
                  <c:v>31.17412325389704</c:v>
                </c:pt>
                <c:pt idx="125">
                  <c:v>30.31299050196364</c:v>
                </c:pt>
                <c:pt idx="126">
                  <c:v>29.399333687994314</c:v>
                </c:pt>
                <c:pt idx="127">
                  <c:v>28.445922532024746</c:v>
                </c:pt>
                <c:pt idx="128">
                  <c:v>27.452160237798388</c:v>
                </c:pt>
                <c:pt idx="129">
                  <c:v>26.389400495508276</c:v>
                </c:pt>
                <c:pt idx="130">
                  <c:v>25.286129013669637</c:v>
                </c:pt>
                <c:pt idx="131">
                  <c:v>24.150168743338913</c:v>
                </c:pt>
                <c:pt idx="132">
                  <c:v>22.967841591875882</c:v>
                </c:pt>
                <c:pt idx="133">
                  <c:v>21.73878539815253</c:v>
                </c:pt>
                <c:pt idx="134">
                  <c:v>20.469994669780228</c:v>
                </c:pt>
                <c:pt idx="135">
                  <c:v>19.179920119976416</c:v>
                </c:pt>
                <c:pt idx="136">
                  <c:v>17.837300437188375</c:v>
                </c:pt>
                <c:pt idx="137">
                  <c:v>16.462517449164402</c:v>
                </c:pt>
                <c:pt idx="138">
                  <c:v>15.073010499729747</c:v>
                </c:pt>
                <c:pt idx="139">
                  <c:v>13.646657066337287</c:v>
                </c:pt>
                <c:pt idx="140">
                  <c:v>12.190201465816699</c:v>
                </c:pt>
                <c:pt idx="141">
                  <c:v>10.720552384393393</c:v>
                </c:pt>
                <c:pt idx="142">
                  <c:v>9.2369855256752498</c:v>
                </c:pt>
                <c:pt idx="143">
                  <c:v>7.7213489585575878</c:v>
                </c:pt>
                <c:pt idx="144">
                  <c:v>6.2103496819340167</c:v>
                </c:pt>
                <c:pt idx="145">
                  <c:v>4.6569058282739313</c:v>
                </c:pt>
                <c:pt idx="146">
                  <c:v>3.1127316471567026</c:v>
                </c:pt>
                <c:pt idx="147">
                  <c:v>1.5749046310330517</c:v>
                </c:pt>
                <c:pt idx="148">
                  <c:v>3.2689004226648111E-3</c:v>
                </c:pt>
                <c:pt idx="149">
                  <c:v>-1.5495714830420511</c:v>
                </c:pt>
                <c:pt idx="150">
                  <c:v>-3.0911929237624114</c:v>
                </c:pt>
                <c:pt idx="151">
                  <c:v>-4.6530460858148253</c:v>
                </c:pt>
                <c:pt idx="152">
                  <c:v>-6.1867512592907694</c:v>
                </c:pt>
                <c:pt idx="153">
                  <c:v>-7.710299851413752</c:v>
                </c:pt>
                <c:pt idx="154">
                  <c:v>-9.225330873686886</c:v>
                </c:pt>
                <c:pt idx="155">
                  <c:v>-10.727299193090527</c:v>
                </c:pt>
                <c:pt idx="156">
                  <c:v>-12.207931579743587</c:v>
                </c:pt>
                <c:pt idx="157">
                  <c:v>-13.653487325853256</c:v>
                </c:pt>
                <c:pt idx="158">
                  <c:v>-15.09558791906835</c:v>
                </c:pt>
                <c:pt idx="159">
                  <c:v>-16.502890005753081</c:v>
                </c:pt>
                <c:pt idx="160">
                  <c:v>-17.86422111780972</c:v>
                </c:pt>
                <c:pt idx="161">
                  <c:v>-19.221794382861646</c:v>
                </c:pt>
                <c:pt idx="162">
                  <c:v>-20.523943362675951</c:v>
                </c:pt>
                <c:pt idx="163">
                  <c:v>-21.792236095910056</c:v>
                </c:pt>
                <c:pt idx="164">
                  <c:v>-23.016391482220968</c:v>
                </c:pt>
                <c:pt idx="165">
                  <c:v>-24.211665405951948</c:v>
                </c:pt>
                <c:pt idx="166">
                  <c:v>-25.360330533110826</c:v>
                </c:pt>
                <c:pt idx="167">
                  <c:v>-26.448729736154373</c:v>
                </c:pt>
                <c:pt idx="168">
                  <c:v>-27.509357691808788</c:v>
                </c:pt>
                <c:pt idx="169">
                  <c:v>-28.513979531422329</c:v>
                </c:pt>
                <c:pt idx="170">
                  <c:v>-29.472386347687923</c:v>
                </c:pt>
                <c:pt idx="171">
                  <c:v>-30.365391271958877</c:v>
                </c:pt>
                <c:pt idx="172">
                  <c:v>-31.228212626630302</c:v>
                </c:pt>
                <c:pt idx="173">
                  <c:v>-32.022072587872657</c:v>
                </c:pt>
                <c:pt idx="174">
                  <c:v>-32.765981858348482</c:v>
                </c:pt>
                <c:pt idx="175">
                  <c:v>-33.449088705638601</c:v>
                </c:pt>
                <c:pt idx="176">
                  <c:v>-34.076163653106114</c:v>
                </c:pt>
                <c:pt idx="177">
                  <c:v>-34.662181427675151</c:v>
                </c:pt>
                <c:pt idx="178">
                  <c:v>-35.177940962742284</c:v>
                </c:pt>
                <c:pt idx="179">
                  <c:v>-35.644975803075027</c:v>
                </c:pt>
                <c:pt idx="180">
                  <c:v>-36.043937857752724</c:v>
                </c:pt>
                <c:pt idx="181">
                  <c:v>-36.396840401735219</c:v>
                </c:pt>
                <c:pt idx="182">
                  <c:v>-36.706106817799196</c:v>
                </c:pt>
                <c:pt idx="183">
                  <c:v>-36.945588080314181</c:v>
                </c:pt>
                <c:pt idx="184">
                  <c:v>-37.137379447363173</c:v>
                </c:pt>
                <c:pt idx="185">
                  <c:v>-37.274054224935796</c:v>
                </c:pt>
                <c:pt idx="186">
                  <c:v>-37.357666243094116</c:v>
                </c:pt>
                <c:pt idx="187">
                  <c:v>-37.391798478988989</c:v>
                </c:pt>
                <c:pt idx="188">
                  <c:v>-37.38923586031855</c:v>
                </c:pt>
                <c:pt idx="189">
                  <c:v>-37.331239277931289</c:v>
                </c:pt>
                <c:pt idx="190">
                  <c:v>-37.224889957683345</c:v>
                </c:pt>
                <c:pt idx="191">
                  <c:v>-37.078324127021368</c:v>
                </c:pt>
                <c:pt idx="192">
                  <c:v>-36.890341775196724</c:v>
                </c:pt>
                <c:pt idx="193">
                  <c:v>-36.663777569406051</c:v>
                </c:pt>
                <c:pt idx="194">
                  <c:v>-36.397859266294162</c:v>
                </c:pt>
                <c:pt idx="195">
                  <c:v>-36.097453201909232</c:v>
                </c:pt>
                <c:pt idx="196">
                  <c:v>-35.762363177354018</c:v>
                </c:pt>
                <c:pt idx="197">
                  <c:v>-35.399235530691072</c:v>
                </c:pt>
                <c:pt idx="198">
                  <c:v>-35.005379041628316</c:v>
                </c:pt>
                <c:pt idx="199">
                  <c:v>-34.585396067934099</c:v>
                </c:pt>
                <c:pt idx="200">
                  <c:v>-34.144177645256256</c:v>
                </c:pt>
                <c:pt idx="201">
                  <c:v>-33.679431458975145</c:v>
                </c:pt>
                <c:pt idx="202">
                  <c:v>-33.195295213083085</c:v>
                </c:pt>
                <c:pt idx="203">
                  <c:v>-32.696277573176232</c:v>
                </c:pt>
                <c:pt idx="204">
                  <c:v>-32.180591212494377</c:v>
                </c:pt>
                <c:pt idx="205">
                  <c:v>-31.651852402543053</c:v>
                </c:pt>
                <c:pt idx="206">
                  <c:v>-31.112666540758013</c:v>
                </c:pt>
                <c:pt idx="207">
                  <c:v>-30.564490748719741</c:v>
                </c:pt>
                <c:pt idx="208">
                  <c:v>-30.009224553858772</c:v>
                </c:pt>
                <c:pt idx="209">
                  <c:v>-29.448866286349872</c:v>
                </c:pt>
                <c:pt idx="210">
                  <c:v>-28.886831174056859</c:v>
                </c:pt>
                <c:pt idx="211">
                  <c:v>-28.322203933271986</c:v>
                </c:pt>
                <c:pt idx="212">
                  <c:v>-27.756700257550552</c:v>
                </c:pt>
                <c:pt idx="213">
                  <c:v>-27.193820302287762</c:v>
                </c:pt>
                <c:pt idx="214">
                  <c:v>-26.635535739856124</c:v>
                </c:pt>
                <c:pt idx="215">
                  <c:v>-26.080798593896986</c:v>
                </c:pt>
                <c:pt idx="216">
                  <c:v>-25.531137779171992</c:v>
                </c:pt>
                <c:pt idx="217">
                  <c:v>-24.989090984713982</c:v>
                </c:pt>
                <c:pt idx="218">
                  <c:v>-24.453343233718147</c:v>
                </c:pt>
                <c:pt idx="219">
                  <c:v>-23.928087151600995</c:v>
                </c:pt>
                <c:pt idx="220">
                  <c:v>-23.411605212084627</c:v>
                </c:pt>
                <c:pt idx="221">
                  <c:v>-22.905400929294419</c:v>
                </c:pt>
                <c:pt idx="222">
                  <c:v>-22.408660757607919</c:v>
                </c:pt>
                <c:pt idx="223">
                  <c:v>-21.924773666731653</c:v>
                </c:pt>
                <c:pt idx="224">
                  <c:v>-21.451726877119516</c:v>
                </c:pt>
                <c:pt idx="225">
                  <c:v>-20.990959629963783</c:v>
                </c:pt>
                <c:pt idx="226">
                  <c:v>-20.541870404497551</c:v>
                </c:pt>
                <c:pt idx="227">
                  <c:v>-20.10537249846174</c:v>
                </c:pt>
                <c:pt idx="228">
                  <c:v>-19.681400521777391</c:v>
                </c:pt>
                <c:pt idx="229">
                  <c:v>-19.269476478201252</c:v>
                </c:pt>
                <c:pt idx="230">
                  <c:v>-18.870182324176483</c:v>
                </c:pt>
                <c:pt idx="231">
                  <c:v>-18.482763071984184</c:v>
                </c:pt>
                <c:pt idx="232">
                  <c:v>-18.107854872667335</c:v>
                </c:pt>
                <c:pt idx="233">
                  <c:v>-17.744546859610338</c:v>
                </c:pt>
                <c:pt idx="234">
                  <c:v>-17.392672449661568</c:v>
                </c:pt>
                <c:pt idx="235">
                  <c:v>-17.051878605478322</c:v>
                </c:pt>
                <c:pt idx="236">
                  <c:v>-16.722240567355183</c:v>
                </c:pt>
                <c:pt idx="237">
                  <c:v>-16.402794549281086</c:v>
                </c:pt>
                <c:pt idx="238">
                  <c:v>-16.0933397585592</c:v>
                </c:pt>
                <c:pt idx="239">
                  <c:v>-15.793524302373905</c:v>
                </c:pt>
                <c:pt idx="240">
                  <c:v>-15.502607420335078</c:v>
                </c:pt>
                <c:pt idx="241">
                  <c:v>-15.220378730569109</c:v>
                </c:pt>
                <c:pt idx="242">
                  <c:v>-14.946197080617331</c:v>
                </c:pt>
                <c:pt idx="243">
                  <c:v>-14.679506700087915</c:v>
                </c:pt>
                <c:pt idx="244">
                  <c:v>-14.41986371824315</c:v>
                </c:pt>
                <c:pt idx="245">
                  <c:v>-14.166580700528105</c:v>
                </c:pt>
                <c:pt idx="246">
                  <c:v>-13.919306046896303</c:v>
                </c:pt>
                <c:pt idx="247">
                  <c:v>-13.67733195582141</c:v>
                </c:pt>
                <c:pt idx="248">
                  <c:v>-13.440178683319019</c:v>
                </c:pt>
                <c:pt idx="249">
                  <c:v>-13.207354114041951</c:v>
                </c:pt>
                <c:pt idx="250">
                  <c:v>-12.978279297571953</c:v>
                </c:pt>
                <c:pt idx="251">
                  <c:v>-12.752417566284711</c:v>
                </c:pt>
                <c:pt idx="252">
                  <c:v>-12.529281943309712</c:v>
                </c:pt>
                <c:pt idx="253">
                  <c:v>-12.308355675453585</c:v>
                </c:pt>
                <c:pt idx="254">
                  <c:v>-12.089117524828279</c:v>
                </c:pt>
                <c:pt idx="255">
                  <c:v>-11.871109665862072</c:v>
                </c:pt>
                <c:pt idx="256">
                  <c:v>-11.65386863744061</c:v>
                </c:pt>
                <c:pt idx="257">
                  <c:v>-11.436920072280415</c:v>
                </c:pt>
                <c:pt idx="258">
                  <c:v>-11.219818547712526</c:v>
                </c:pt>
                <c:pt idx="259">
                  <c:v>-11.002140189545035</c:v>
                </c:pt>
                <c:pt idx="260">
                  <c:v>-10.783467901760757</c:v>
                </c:pt>
                <c:pt idx="261">
                  <c:v>-10.563426873290334</c:v>
                </c:pt>
                <c:pt idx="262">
                  <c:v>-10.341609380523249</c:v>
                </c:pt>
                <c:pt idx="263">
                  <c:v>-10.117641665348881</c:v>
                </c:pt>
                <c:pt idx="264">
                  <c:v>-9.891141248935682</c:v>
                </c:pt>
                <c:pt idx="265">
                  <c:v>-9.6618288778581487</c:v>
                </c:pt>
                <c:pt idx="266">
                  <c:v>-9.4293237235612093</c:v>
                </c:pt>
                <c:pt idx="267">
                  <c:v>-9.1933418842896995</c:v>
                </c:pt>
                <c:pt idx="268">
                  <c:v>-8.9535807916050594</c:v>
                </c:pt>
                <c:pt idx="269">
                  <c:v>-8.7097379988473129</c:v>
                </c:pt>
                <c:pt idx="270">
                  <c:v>-8.4615425958719204</c:v>
                </c:pt>
                <c:pt idx="271">
                  <c:v>-8.2087216404949359</c:v>
                </c:pt>
                <c:pt idx="272">
                  <c:v>-7.9510250489291563</c:v>
                </c:pt>
                <c:pt idx="273">
                  <c:v>-7.6882128333947284</c:v>
                </c:pt>
                <c:pt idx="274">
                  <c:v>-7.4200493519895598</c:v>
                </c:pt>
                <c:pt idx="275">
                  <c:v>-7.1463062776273709</c:v>
                </c:pt>
                <c:pt idx="276">
                  <c:v>-6.8667883524005573</c:v>
                </c:pt>
                <c:pt idx="277">
                  <c:v>-6.5812658725096727</c:v>
                </c:pt>
                <c:pt idx="278">
                  <c:v>-6.289541402986206</c:v>
                </c:pt>
                <c:pt idx="279">
                  <c:v>-5.9914350951234736</c:v>
                </c:pt>
                <c:pt idx="280">
                  <c:v>-5.6867469886773145</c:v>
                </c:pt>
                <c:pt idx="281">
                  <c:v>-5.3753056556076659</c:v>
                </c:pt>
                <c:pt idx="282">
                  <c:v>-5.0569422817508158</c:v>
                </c:pt>
                <c:pt idx="283">
                  <c:v>-4.7314794296781768</c:v>
                </c:pt>
                <c:pt idx="284">
                  <c:v>-4.3987617145281162</c:v>
                </c:pt>
                <c:pt idx="285">
                  <c:v>-4.0586437235788013</c:v>
                </c:pt>
                <c:pt idx="286">
                  <c:v>-3.7109661735519812</c:v>
                </c:pt>
                <c:pt idx="287">
                  <c:v>-3.355587825609387</c:v>
                </c:pt>
                <c:pt idx="288">
                  <c:v>-2.9923731213462612</c:v>
                </c:pt>
                <c:pt idx="289">
                  <c:v>-2.6211925864275325</c:v>
                </c:pt>
                <c:pt idx="290">
                  <c:v>-2.2419232956970161</c:v>
                </c:pt>
                <c:pt idx="291">
                  <c:v>-1.8544493987413169</c:v>
                </c:pt>
                <c:pt idx="292">
                  <c:v>-1.4586627040672959</c:v>
                </c:pt>
                <c:pt idx="293">
                  <c:v>-1.0544633191536343</c:v>
                </c:pt>
                <c:pt idx="294">
                  <c:v>-0.64176034266088855</c:v>
                </c:pt>
                <c:pt idx="295">
                  <c:v>-0.22047260402470278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80-45D6-BF32-54BA6D0BAA39}"/>
            </c:ext>
          </c:extLst>
        </c:ser>
        <c:ser>
          <c:idx val="0"/>
          <c:order val="1"/>
          <c:tx>
            <c:v>opti poly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[0]!optipoly.Tm</c:f>
              <c:numCache>
                <c:formatCode>General</c:formatCode>
                <c:ptCount val="296"/>
                <c:pt idx="0">
                  <c:v>0.1025359665978</c:v>
                </c:pt>
                <c:pt idx="1">
                  <c:v>0.50784421071621944</c:v>
                </c:pt>
                <c:pt idx="2">
                  <c:v>0.90488953093696556</c:v>
                </c:pt>
                <c:pt idx="3">
                  <c:v>1.2937371753842399</c:v>
                </c:pt>
                <c:pt idx="4">
                  <c:v>1.6744525360710891</c:v>
                </c:pt>
                <c:pt idx="5">
                  <c:v>2.047101147938736</c:v>
                </c:pt>
                <c:pt idx="6">
                  <c:v>2.4117487061595897</c:v>
                </c:pt>
                <c:pt idx="7">
                  <c:v>2.7684611057313999</c:v>
                </c:pt>
                <c:pt idx="8">
                  <c:v>3.1173045065626401</c:v>
                </c:pt>
                <c:pt idx="9">
                  <c:v>3.4583454264854794</c:v>
                </c:pt>
                <c:pt idx="10">
                  <c:v>3.7916508639305921</c:v>
                </c:pt>
                <c:pt idx="11">
                  <c:v>4.1172884513544394</c:v>
                </c:pt>
                <c:pt idx="12">
                  <c:v>4.43533818769445</c:v>
                </c:pt>
                <c:pt idx="13">
                  <c:v>4.7458921712126818</c:v>
                </c:pt>
                <c:pt idx="14">
                  <c:v>5.0490089383496697</c:v>
                </c:pt>
                <c:pt idx="15">
                  <c:v>5.3447784575353889</c:v>
                </c:pt>
                <c:pt idx="16">
                  <c:v>5.6333157889306795</c:v>
                </c:pt>
                <c:pt idx="17">
                  <c:v>5.9146806599839241</c:v>
                </c:pt>
                <c:pt idx="18">
                  <c:v>6.1890354396527538</c:v>
                </c:pt>
                <c:pt idx="19">
                  <c:v>6.4564469422495501</c:v>
                </c:pt>
                <c:pt idx="20">
                  <c:v>6.7170747603891181</c:v>
                </c:pt>
                <c:pt idx="21">
                  <c:v>6.9710595053645532</c:v>
                </c:pt>
                <c:pt idx="22">
                  <c:v>7.2185408150078851</c:v>
                </c:pt>
                <c:pt idx="23">
                  <c:v>7.4596942878680546</c:v>
                </c:pt>
                <c:pt idx="24">
                  <c:v>7.6947104838562863</c:v>
                </c:pt>
                <c:pt idx="25">
                  <c:v>7.9237957254500895</c:v>
                </c:pt>
                <c:pt idx="26">
                  <c:v>8.1471692486233387</c:v>
                </c:pt>
                <c:pt idx="27">
                  <c:v>8.3650624051900451</c:v>
                </c:pt>
                <c:pt idx="28">
                  <c:v>8.57774248617838</c:v>
                </c:pt>
                <c:pt idx="29">
                  <c:v>8.7854874632863531</c:v>
                </c:pt>
                <c:pt idx="30">
                  <c:v>8.9886619998740986</c:v>
                </c:pt>
                <c:pt idx="31">
                  <c:v>9.1875227246761426</c:v>
                </c:pt>
                <c:pt idx="32">
                  <c:v>9.3825040003842748</c:v>
                </c:pt>
                <c:pt idx="33">
                  <c:v>9.5739244785987268</c:v>
                </c:pt>
                <c:pt idx="34">
                  <c:v>9.7621979429311114</c:v>
                </c:pt>
                <c:pt idx="35">
                  <c:v>9.9478167582350618</c:v>
                </c:pt>
                <c:pt idx="36">
                  <c:v>10.131205744542834</c:v>
                </c:pt>
                <c:pt idx="37">
                  <c:v>10.312876860237667</c:v>
                </c:pt>
                <c:pt idx="38">
                  <c:v>10.49333659142621</c:v>
                </c:pt>
                <c:pt idx="39">
                  <c:v>10.67311962329102</c:v>
                </c:pt>
                <c:pt idx="40">
                  <c:v>10.852817886257254</c:v>
                </c:pt>
                <c:pt idx="41">
                  <c:v>11.03300992600405</c:v>
                </c:pt>
                <c:pt idx="42">
                  <c:v>11.214355578768663</c:v>
                </c:pt>
                <c:pt idx="43">
                  <c:v>11.397453795661768</c:v>
                </c:pt>
                <c:pt idx="44">
                  <c:v>11.582910809403232</c:v>
                </c:pt>
                <c:pt idx="45">
                  <c:v>11.77160336352088</c:v>
                </c:pt>
                <c:pt idx="46">
                  <c:v>11.963999400533625</c:v>
                </c:pt>
                <c:pt idx="47">
                  <c:v>12.160932360650827</c:v>
                </c:pt>
                <c:pt idx="48">
                  <c:v>12.363198358013646</c:v>
                </c:pt>
                <c:pt idx="49">
                  <c:v>12.571367498165701</c:v>
                </c:pt>
                <c:pt idx="50">
                  <c:v>12.786246041156309</c:v>
                </c:pt>
                <c:pt idx="51">
                  <c:v>13.00863226684082</c:v>
                </c:pt>
                <c:pt idx="52">
                  <c:v>13.23936106962444</c:v>
                </c:pt>
                <c:pt idx="53">
                  <c:v>13.478695865094114</c:v>
                </c:pt>
                <c:pt idx="54">
                  <c:v>13.727865874063575</c:v>
                </c:pt>
                <c:pt idx="55">
                  <c:v>13.987420486523096</c:v>
                </c:pt>
                <c:pt idx="56">
                  <c:v>14.25789235399713</c:v>
                </c:pt>
                <c:pt idx="57">
                  <c:v>14.540180806509801</c:v>
                </c:pt>
                <c:pt idx="58">
                  <c:v>14.834913696788645</c:v>
                </c:pt>
                <c:pt idx="59">
                  <c:v>15.142305717046826</c:v>
                </c:pt>
                <c:pt idx="60">
                  <c:v>15.463229994389494</c:v>
                </c:pt>
                <c:pt idx="61">
                  <c:v>15.798235519321935</c:v>
                </c:pt>
                <c:pt idx="62">
                  <c:v>16.147618966564686</c:v>
                </c:pt>
                <c:pt idx="63">
                  <c:v>16.51181710965016</c:v>
                </c:pt>
                <c:pt idx="64">
                  <c:v>16.891263182412739</c:v>
                </c:pt>
                <c:pt idx="65">
                  <c:v>17.286111584095824</c:v>
                </c:pt>
                <c:pt idx="66">
                  <c:v>17.696523087160919</c:v>
                </c:pt>
                <c:pt idx="67">
                  <c:v>18.122709448596098</c:v>
                </c:pt>
                <c:pt idx="68">
                  <c:v>18.5646149127518</c:v>
                </c:pt>
                <c:pt idx="69">
                  <c:v>19.022240265889156</c:v>
                </c:pt>
                <c:pt idx="70">
                  <c:v>19.495287430975058</c:v>
                </c:pt>
                <c:pt idx="71">
                  <c:v>19.983690446903275</c:v>
                </c:pt>
                <c:pt idx="72">
                  <c:v>20.48694919019055</c:v>
                </c:pt>
                <c:pt idx="73">
                  <c:v>21.004663734302234</c:v>
                </c:pt>
                <c:pt idx="74">
                  <c:v>21.536312386689495</c:v>
                </c:pt>
                <c:pt idx="75">
                  <c:v>22.08105429920635</c:v>
                </c:pt>
                <c:pt idx="76">
                  <c:v>22.638287674808922</c:v>
                </c:pt>
                <c:pt idx="77">
                  <c:v>23.207016193482943</c:v>
                </c:pt>
                <c:pt idx="78">
                  <c:v>23.78625585756707</c:v>
                </c:pt>
                <c:pt idx="79">
                  <c:v>24.377020517363462</c:v>
                </c:pt>
                <c:pt idx="80">
                  <c:v>24.974021927218779</c:v>
                </c:pt>
                <c:pt idx="81">
                  <c:v>25.575389200186457</c:v>
                </c:pt>
                <c:pt idx="82">
                  <c:v>26.186340260763849</c:v>
                </c:pt>
                <c:pt idx="83">
                  <c:v>26.799827991818059</c:v>
                </c:pt>
                <c:pt idx="84">
                  <c:v>27.412761162795398</c:v>
                </c:pt>
                <c:pt idx="85">
                  <c:v>28.026822846947681</c:v>
                </c:pt>
                <c:pt idx="86">
                  <c:v>28.645493829530814</c:v>
                </c:pt>
                <c:pt idx="87">
                  <c:v>29.257218491260151</c:v>
                </c:pt>
                <c:pt idx="88">
                  <c:v>29.861390939553424</c:v>
                </c:pt>
                <c:pt idx="89">
                  <c:v>30.455691596404641</c:v>
                </c:pt>
                <c:pt idx="90">
                  <c:v>31.043473628512324</c:v>
                </c:pt>
                <c:pt idx="91">
                  <c:v>31.621009412828577</c:v>
                </c:pt>
                <c:pt idx="92">
                  <c:v>32.184234299649319</c:v>
                </c:pt>
                <c:pt idx="93">
                  <c:v>32.736053348320638</c:v>
                </c:pt>
                <c:pt idx="94">
                  <c:v>33.264265374051618</c:v>
                </c:pt>
                <c:pt idx="95">
                  <c:v>33.771298505840264</c:v>
                </c:pt>
                <c:pt idx="96">
                  <c:v>34.260483783779435</c:v>
                </c:pt>
                <c:pt idx="97">
                  <c:v>34.718689901666856</c:v>
                </c:pt>
                <c:pt idx="98">
                  <c:v>35.14844806091196</c:v>
                </c:pt>
                <c:pt idx="99">
                  <c:v>35.566524053753866</c:v>
                </c:pt>
                <c:pt idx="100">
                  <c:v>35.924563826504034</c:v>
                </c:pt>
                <c:pt idx="101">
                  <c:v>36.263051160366757</c:v>
                </c:pt>
                <c:pt idx="102">
                  <c:v>36.568895473420326</c:v>
                </c:pt>
                <c:pt idx="103">
                  <c:v>36.834277249333496</c:v>
                </c:pt>
                <c:pt idx="104">
                  <c:v>37.058127354666055</c:v>
                </c:pt>
                <c:pt idx="105">
                  <c:v>37.235716385084594</c:v>
                </c:pt>
                <c:pt idx="106">
                  <c:v>37.375092751237879</c:v>
                </c:pt>
                <c:pt idx="107">
                  <c:v>37.468978280923992</c:v>
                </c:pt>
                <c:pt idx="108">
                  <c:v>37.521255246613549</c:v>
                </c:pt>
                <c:pt idx="109">
                  <c:v>37.523322793809541</c:v>
                </c:pt>
                <c:pt idx="110">
                  <c:v>37.470754852877832</c:v>
                </c:pt>
                <c:pt idx="111">
                  <c:v>37.367125000861307</c:v>
                </c:pt>
                <c:pt idx="112">
                  <c:v>37.210809455628585</c:v>
                </c:pt>
                <c:pt idx="113">
                  <c:v>37.005466285270302</c:v>
                </c:pt>
                <c:pt idx="114">
                  <c:v>36.751771261483157</c:v>
                </c:pt>
                <c:pt idx="115">
                  <c:v>36.444982651328218</c:v>
                </c:pt>
                <c:pt idx="116">
                  <c:v>36.072531890430099</c:v>
                </c:pt>
                <c:pt idx="117">
                  <c:v>35.646649679329919</c:v>
                </c:pt>
                <c:pt idx="118">
                  <c:v>35.168011271242989</c:v>
                </c:pt>
                <c:pt idx="119">
                  <c:v>34.641054418889226</c:v>
                </c:pt>
                <c:pt idx="120">
                  <c:v>34.062440145976765</c:v>
                </c:pt>
                <c:pt idx="121">
                  <c:v>33.412184424451098</c:v>
                </c:pt>
                <c:pt idx="122">
                  <c:v>32.711539752265331</c:v>
                </c:pt>
                <c:pt idx="123">
                  <c:v>31.962758550301722</c:v>
                </c:pt>
                <c:pt idx="124">
                  <c:v>31.17412325389704</c:v>
                </c:pt>
                <c:pt idx="125">
                  <c:v>30.31299050196364</c:v>
                </c:pt>
                <c:pt idx="126">
                  <c:v>29.399333687994314</c:v>
                </c:pt>
                <c:pt idx="127">
                  <c:v>28.445922532024746</c:v>
                </c:pt>
                <c:pt idx="128">
                  <c:v>27.452160237798388</c:v>
                </c:pt>
                <c:pt idx="129">
                  <c:v>26.389400495508276</c:v>
                </c:pt>
                <c:pt idx="130">
                  <c:v>25.286129013669637</c:v>
                </c:pt>
                <c:pt idx="131">
                  <c:v>24.150168743338913</c:v>
                </c:pt>
                <c:pt idx="132">
                  <c:v>22.967841591875882</c:v>
                </c:pt>
                <c:pt idx="133">
                  <c:v>21.73878539815253</c:v>
                </c:pt>
                <c:pt idx="134">
                  <c:v>20.469994669780228</c:v>
                </c:pt>
                <c:pt idx="135">
                  <c:v>19.179920119976416</c:v>
                </c:pt>
                <c:pt idx="136">
                  <c:v>17.837300437188375</c:v>
                </c:pt>
                <c:pt idx="137">
                  <c:v>16.462517449164402</c:v>
                </c:pt>
                <c:pt idx="138">
                  <c:v>15.073010499729747</c:v>
                </c:pt>
                <c:pt idx="139">
                  <c:v>13.646657066337287</c:v>
                </c:pt>
                <c:pt idx="140">
                  <c:v>12.190201465816699</c:v>
                </c:pt>
                <c:pt idx="141">
                  <c:v>10.720552384393393</c:v>
                </c:pt>
                <c:pt idx="142">
                  <c:v>9.2369855256752498</c:v>
                </c:pt>
                <c:pt idx="143">
                  <c:v>7.7213489585575878</c:v>
                </c:pt>
                <c:pt idx="144">
                  <c:v>6.2103496819340167</c:v>
                </c:pt>
                <c:pt idx="145">
                  <c:v>4.6569058282739313</c:v>
                </c:pt>
                <c:pt idx="146">
                  <c:v>3.1127316471567026</c:v>
                </c:pt>
                <c:pt idx="147">
                  <c:v>1.5749046310330517</c:v>
                </c:pt>
                <c:pt idx="148">
                  <c:v>3.2689004226648111E-3</c:v>
                </c:pt>
                <c:pt idx="149">
                  <c:v>-1.5495714830420511</c:v>
                </c:pt>
                <c:pt idx="150">
                  <c:v>-3.0911929237624114</c:v>
                </c:pt>
                <c:pt idx="151">
                  <c:v>-4.6530460858148253</c:v>
                </c:pt>
                <c:pt idx="152">
                  <c:v>-6.1867512592907694</c:v>
                </c:pt>
                <c:pt idx="153">
                  <c:v>-7.710299851413752</c:v>
                </c:pt>
                <c:pt idx="154">
                  <c:v>-9.225330873686886</c:v>
                </c:pt>
                <c:pt idx="155">
                  <c:v>-10.727299193090527</c:v>
                </c:pt>
                <c:pt idx="156">
                  <c:v>-12.207931579743587</c:v>
                </c:pt>
                <c:pt idx="157">
                  <c:v>-13.653487325853256</c:v>
                </c:pt>
                <c:pt idx="158">
                  <c:v>-15.09558791906835</c:v>
                </c:pt>
                <c:pt idx="159">
                  <c:v>-16.502890005753081</c:v>
                </c:pt>
                <c:pt idx="160">
                  <c:v>-17.86422111780972</c:v>
                </c:pt>
                <c:pt idx="161">
                  <c:v>-19.221794382861646</c:v>
                </c:pt>
                <c:pt idx="162">
                  <c:v>-20.523943362675951</c:v>
                </c:pt>
                <c:pt idx="163">
                  <c:v>-21.792236095910056</c:v>
                </c:pt>
                <c:pt idx="164">
                  <c:v>-23.016391482220968</c:v>
                </c:pt>
                <c:pt idx="165">
                  <c:v>-24.211665405951948</c:v>
                </c:pt>
                <c:pt idx="166">
                  <c:v>-25.360330533110826</c:v>
                </c:pt>
                <c:pt idx="167">
                  <c:v>-26.448729736154373</c:v>
                </c:pt>
                <c:pt idx="168">
                  <c:v>-27.509357691808788</c:v>
                </c:pt>
                <c:pt idx="169">
                  <c:v>-28.513979531422329</c:v>
                </c:pt>
                <c:pt idx="170">
                  <c:v>-29.472386347687923</c:v>
                </c:pt>
                <c:pt idx="171">
                  <c:v>-30.365391271958877</c:v>
                </c:pt>
                <c:pt idx="172">
                  <c:v>-31.228212626630302</c:v>
                </c:pt>
                <c:pt idx="173">
                  <c:v>-32.022072587872657</c:v>
                </c:pt>
                <c:pt idx="174">
                  <c:v>-32.765981858348482</c:v>
                </c:pt>
                <c:pt idx="175">
                  <c:v>-33.449088705638601</c:v>
                </c:pt>
                <c:pt idx="176">
                  <c:v>-34.076163653106114</c:v>
                </c:pt>
                <c:pt idx="177">
                  <c:v>-34.662181427675151</c:v>
                </c:pt>
                <c:pt idx="178">
                  <c:v>-35.177940962742284</c:v>
                </c:pt>
                <c:pt idx="179">
                  <c:v>-35.644975803075027</c:v>
                </c:pt>
                <c:pt idx="180">
                  <c:v>-36.043937857752724</c:v>
                </c:pt>
                <c:pt idx="181">
                  <c:v>-36.396840401735219</c:v>
                </c:pt>
                <c:pt idx="182">
                  <c:v>-36.706106817799196</c:v>
                </c:pt>
                <c:pt idx="183">
                  <c:v>-36.945588080314181</c:v>
                </c:pt>
                <c:pt idx="184">
                  <c:v>-37.137379447363173</c:v>
                </c:pt>
                <c:pt idx="185">
                  <c:v>-37.274054224935796</c:v>
                </c:pt>
                <c:pt idx="186">
                  <c:v>-37.357666243094116</c:v>
                </c:pt>
                <c:pt idx="187">
                  <c:v>-37.391798478988989</c:v>
                </c:pt>
                <c:pt idx="188">
                  <c:v>-37.38923586031855</c:v>
                </c:pt>
                <c:pt idx="189">
                  <c:v>-37.331239277931289</c:v>
                </c:pt>
                <c:pt idx="190">
                  <c:v>-37.224889957683345</c:v>
                </c:pt>
                <c:pt idx="191">
                  <c:v>-37.078324127021368</c:v>
                </c:pt>
                <c:pt idx="192">
                  <c:v>-36.890341775196724</c:v>
                </c:pt>
                <c:pt idx="193">
                  <c:v>-36.663777569406051</c:v>
                </c:pt>
                <c:pt idx="194">
                  <c:v>-36.397859266294162</c:v>
                </c:pt>
                <c:pt idx="195">
                  <c:v>-36.097453201909232</c:v>
                </c:pt>
                <c:pt idx="196">
                  <c:v>-35.762363177354018</c:v>
                </c:pt>
                <c:pt idx="197">
                  <c:v>-35.399235530691072</c:v>
                </c:pt>
                <c:pt idx="198">
                  <c:v>-35.005379041628316</c:v>
                </c:pt>
                <c:pt idx="199">
                  <c:v>-34.585396067934099</c:v>
                </c:pt>
                <c:pt idx="200">
                  <c:v>-34.144177645256256</c:v>
                </c:pt>
                <c:pt idx="201">
                  <c:v>-33.679431458975152</c:v>
                </c:pt>
                <c:pt idx="202">
                  <c:v>-33.195295213083085</c:v>
                </c:pt>
                <c:pt idx="203">
                  <c:v>-32.696277573176232</c:v>
                </c:pt>
                <c:pt idx="204">
                  <c:v>-32.180591212494377</c:v>
                </c:pt>
                <c:pt idx="205">
                  <c:v>-31.651852402543053</c:v>
                </c:pt>
                <c:pt idx="206">
                  <c:v>-31.112666540758013</c:v>
                </c:pt>
                <c:pt idx="207">
                  <c:v>-30.564490748719741</c:v>
                </c:pt>
                <c:pt idx="208">
                  <c:v>-30.009224553858765</c:v>
                </c:pt>
                <c:pt idx="209">
                  <c:v>-29.448866286349869</c:v>
                </c:pt>
                <c:pt idx="210">
                  <c:v>-28.886831174056859</c:v>
                </c:pt>
                <c:pt idx="211">
                  <c:v>-28.322203933271986</c:v>
                </c:pt>
                <c:pt idx="212">
                  <c:v>-27.756700257550552</c:v>
                </c:pt>
                <c:pt idx="213">
                  <c:v>-27.193820302287762</c:v>
                </c:pt>
                <c:pt idx="214">
                  <c:v>-26.635535739856124</c:v>
                </c:pt>
                <c:pt idx="215">
                  <c:v>-26.080798593896986</c:v>
                </c:pt>
                <c:pt idx="216">
                  <c:v>-25.531137779171992</c:v>
                </c:pt>
                <c:pt idx="217">
                  <c:v>-24.989090984713982</c:v>
                </c:pt>
                <c:pt idx="218">
                  <c:v>-24.453343233718147</c:v>
                </c:pt>
                <c:pt idx="219">
                  <c:v>-23.928087151600998</c:v>
                </c:pt>
                <c:pt idx="220">
                  <c:v>-23.411605212084623</c:v>
                </c:pt>
                <c:pt idx="221">
                  <c:v>-22.905400929294416</c:v>
                </c:pt>
                <c:pt idx="222">
                  <c:v>-22.408660757607919</c:v>
                </c:pt>
                <c:pt idx="223">
                  <c:v>-21.924773666731657</c:v>
                </c:pt>
                <c:pt idx="224">
                  <c:v>-21.451726877119512</c:v>
                </c:pt>
                <c:pt idx="225">
                  <c:v>-20.990959629963783</c:v>
                </c:pt>
                <c:pt idx="226">
                  <c:v>-20.541870404497551</c:v>
                </c:pt>
                <c:pt idx="227">
                  <c:v>-20.10537249846174</c:v>
                </c:pt>
                <c:pt idx="228">
                  <c:v>-19.681400521777391</c:v>
                </c:pt>
                <c:pt idx="229">
                  <c:v>-19.269476478201252</c:v>
                </c:pt>
                <c:pt idx="230">
                  <c:v>-18.870182324176483</c:v>
                </c:pt>
                <c:pt idx="231">
                  <c:v>-18.482763071984184</c:v>
                </c:pt>
                <c:pt idx="232">
                  <c:v>-18.107854872667335</c:v>
                </c:pt>
                <c:pt idx="233">
                  <c:v>-17.744546859610335</c:v>
                </c:pt>
                <c:pt idx="234">
                  <c:v>-17.392672449661568</c:v>
                </c:pt>
                <c:pt idx="235">
                  <c:v>-17.051878605478322</c:v>
                </c:pt>
                <c:pt idx="236">
                  <c:v>-16.722240567355183</c:v>
                </c:pt>
                <c:pt idx="237">
                  <c:v>-16.40279454928109</c:v>
                </c:pt>
                <c:pt idx="238">
                  <c:v>-16.0933397585592</c:v>
                </c:pt>
                <c:pt idx="239">
                  <c:v>-15.793524302373905</c:v>
                </c:pt>
                <c:pt idx="240">
                  <c:v>-15.502607420335078</c:v>
                </c:pt>
                <c:pt idx="241">
                  <c:v>-15.220378730569109</c:v>
                </c:pt>
                <c:pt idx="242">
                  <c:v>-14.946197080617331</c:v>
                </c:pt>
                <c:pt idx="243">
                  <c:v>-14.679506700087915</c:v>
                </c:pt>
                <c:pt idx="244">
                  <c:v>-14.41986371824315</c:v>
                </c:pt>
                <c:pt idx="245">
                  <c:v>-14.166580700528105</c:v>
                </c:pt>
                <c:pt idx="246">
                  <c:v>-13.919306046896303</c:v>
                </c:pt>
                <c:pt idx="247">
                  <c:v>-13.67733195582141</c:v>
                </c:pt>
                <c:pt idx="248">
                  <c:v>-13.440178683319019</c:v>
                </c:pt>
                <c:pt idx="249">
                  <c:v>-13.207354114041951</c:v>
                </c:pt>
                <c:pt idx="250">
                  <c:v>-12.978279297571953</c:v>
                </c:pt>
                <c:pt idx="251">
                  <c:v>-12.752417566284716</c:v>
                </c:pt>
                <c:pt idx="252">
                  <c:v>-12.529281943309712</c:v>
                </c:pt>
                <c:pt idx="253">
                  <c:v>-12.308355675453589</c:v>
                </c:pt>
                <c:pt idx="254">
                  <c:v>-12.089117524828277</c:v>
                </c:pt>
                <c:pt idx="255">
                  <c:v>-11.871109665862072</c:v>
                </c:pt>
                <c:pt idx="256">
                  <c:v>-11.65386863744061</c:v>
                </c:pt>
                <c:pt idx="257">
                  <c:v>-11.436920072280417</c:v>
                </c:pt>
                <c:pt idx="258">
                  <c:v>-11.21981854771253</c:v>
                </c:pt>
                <c:pt idx="259">
                  <c:v>-11.002140189545035</c:v>
                </c:pt>
                <c:pt idx="260">
                  <c:v>-10.783467901760757</c:v>
                </c:pt>
                <c:pt idx="261">
                  <c:v>-10.563426873290334</c:v>
                </c:pt>
                <c:pt idx="262">
                  <c:v>-10.34160938052325</c:v>
                </c:pt>
                <c:pt idx="263">
                  <c:v>-10.117641665348883</c:v>
                </c:pt>
                <c:pt idx="264">
                  <c:v>-9.891141248935682</c:v>
                </c:pt>
                <c:pt idx="265">
                  <c:v>-9.6618288778581487</c:v>
                </c:pt>
                <c:pt idx="266">
                  <c:v>-9.4293237235612111</c:v>
                </c:pt>
                <c:pt idx="267">
                  <c:v>-9.1933418842897012</c:v>
                </c:pt>
                <c:pt idx="268">
                  <c:v>-8.9535807916050594</c:v>
                </c:pt>
                <c:pt idx="269">
                  <c:v>-8.7097379988473129</c:v>
                </c:pt>
                <c:pt idx="270">
                  <c:v>-8.4615425958719168</c:v>
                </c:pt>
                <c:pt idx="271">
                  <c:v>-8.2087216404949359</c:v>
                </c:pt>
                <c:pt idx="272">
                  <c:v>-7.9510250489291563</c:v>
                </c:pt>
                <c:pt idx="273">
                  <c:v>-7.6882128333947284</c:v>
                </c:pt>
                <c:pt idx="274">
                  <c:v>-7.4200493519895563</c:v>
                </c:pt>
                <c:pt idx="275">
                  <c:v>-7.1463062776273709</c:v>
                </c:pt>
                <c:pt idx="276">
                  <c:v>-6.8667883524005573</c:v>
                </c:pt>
                <c:pt idx="277">
                  <c:v>-6.5812658725096727</c:v>
                </c:pt>
                <c:pt idx="278">
                  <c:v>-6.289541402986206</c:v>
                </c:pt>
                <c:pt idx="279">
                  <c:v>-5.9914350951234736</c:v>
                </c:pt>
                <c:pt idx="280">
                  <c:v>-5.6867469886773145</c:v>
                </c:pt>
                <c:pt idx="281">
                  <c:v>-5.3753056556076659</c:v>
                </c:pt>
                <c:pt idx="282">
                  <c:v>-5.0569422817508158</c:v>
                </c:pt>
                <c:pt idx="283">
                  <c:v>-4.7314794296781795</c:v>
                </c:pt>
                <c:pt idx="284">
                  <c:v>-4.3987617145281162</c:v>
                </c:pt>
                <c:pt idx="285">
                  <c:v>-4.0586437235788013</c:v>
                </c:pt>
                <c:pt idx="286">
                  <c:v>-3.7109661735519812</c:v>
                </c:pt>
                <c:pt idx="287">
                  <c:v>-3.355587825609387</c:v>
                </c:pt>
                <c:pt idx="288">
                  <c:v>-2.9923731213462612</c:v>
                </c:pt>
                <c:pt idx="289">
                  <c:v>-2.6211925864275325</c:v>
                </c:pt>
                <c:pt idx="290">
                  <c:v>-2.2419232956970117</c:v>
                </c:pt>
                <c:pt idx="291">
                  <c:v>-1.8544493987413175</c:v>
                </c:pt>
                <c:pt idx="292">
                  <c:v>-1.4586627040672959</c:v>
                </c:pt>
                <c:pt idx="293">
                  <c:v>-1.0544633191536343</c:v>
                </c:pt>
                <c:pt idx="294">
                  <c:v>-0.64176034266088855</c:v>
                </c:pt>
                <c:pt idx="295">
                  <c:v>-0.22047260402470278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80-45D6-BF32-54BA6D0BAA39}"/>
            </c:ext>
          </c:extLst>
        </c:ser>
        <c:ser>
          <c:idx val="2"/>
          <c:order val="2"/>
          <c:tx>
            <c:v>trap (1/3)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[0]!time_t</c:f>
              <c:numCache>
                <c:formatCode>General</c:formatCode>
                <c:ptCount val="296"/>
                <c:pt idx="0" formatCode="0.0000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3.5000000000000001E-3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4.5000000000000005E-3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5.2500000000000003E-3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6.7499999999999999E-3</c:v>
                </c:pt>
                <c:pt idx="28">
                  <c:v>7.0000000000000001E-3</c:v>
                </c:pt>
                <c:pt idx="29">
                  <c:v>7.2500000000000004E-3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8.7500000000000008E-3</c:v>
                </c:pt>
                <c:pt idx="36">
                  <c:v>9.0000000000000011E-3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1.025E-2</c:v>
                </c:pt>
                <c:pt idx="42">
                  <c:v>1.0500000000000001E-2</c:v>
                </c:pt>
                <c:pt idx="43">
                  <c:v>1.0750000000000001E-2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1.325E-2</c:v>
                </c:pt>
                <c:pt idx="54">
                  <c:v>1.35E-2</c:v>
                </c:pt>
                <c:pt idx="55">
                  <c:v>1.375E-2</c:v>
                </c:pt>
                <c:pt idx="56">
                  <c:v>1.4E-2</c:v>
                </c:pt>
                <c:pt idx="57">
                  <c:v>1.4250000000000001E-2</c:v>
                </c:pt>
                <c:pt idx="58">
                  <c:v>1.4500000000000001E-2</c:v>
                </c:pt>
                <c:pt idx="59">
                  <c:v>1.4750000000000001E-2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1.7250000000000001E-2</c:v>
                </c:pt>
                <c:pt idx="70">
                  <c:v>1.7500000000000002E-2</c:v>
                </c:pt>
                <c:pt idx="71">
                  <c:v>1.7750000000000002E-2</c:v>
                </c:pt>
                <c:pt idx="72">
                  <c:v>1.8000000000000002E-2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2.0500000000000001E-2</c:v>
                </c:pt>
                <c:pt idx="83">
                  <c:v>2.0750000000000001E-2</c:v>
                </c:pt>
                <c:pt idx="84">
                  <c:v>2.1000000000000001E-2</c:v>
                </c:pt>
                <c:pt idx="85">
                  <c:v>2.1250000000000002E-2</c:v>
                </c:pt>
                <c:pt idx="86">
                  <c:v>2.1500000000000002E-2</c:v>
                </c:pt>
                <c:pt idx="87">
                  <c:v>2.1750000000000002E-2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  <c:pt idx="101">
                  <c:v>2.5250000000000002E-2</c:v>
                </c:pt>
                <c:pt idx="102">
                  <c:v>2.5500000000000002E-2</c:v>
                </c:pt>
                <c:pt idx="103">
                  <c:v>2.5750000000000002E-2</c:v>
                </c:pt>
                <c:pt idx="104">
                  <c:v>2.6000000000000002E-2</c:v>
                </c:pt>
                <c:pt idx="105">
                  <c:v>2.6249999999999999E-2</c:v>
                </c:pt>
                <c:pt idx="106">
                  <c:v>2.6499999999999999E-2</c:v>
                </c:pt>
                <c:pt idx="107">
                  <c:v>2.6749999999999999E-2</c:v>
                </c:pt>
                <c:pt idx="108">
                  <c:v>2.7E-2</c:v>
                </c:pt>
                <c:pt idx="109">
                  <c:v>2.725E-2</c:v>
                </c:pt>
                <c:pt idx="110">
                  <c:v>2.75E-2</c:v>
                </c:pt>
                <c:pt idx="111">
                  <c:v>2.775E-2</c:v>
                </c:pt>
                <c:pt idx="112">
                  <c:v>2.8000000000000001E-2</c:v>
                </c:pt>
                <c:pt idx="113">
                  <c:v>2.8250000000000001E-2</c:v>
                </c:pt>
                <c:pt idx="114">
                  <c:v>2.8500000000000001E-2</c:v>
                </c:pt>
                <c:pt idx="115">
                  <c:v>2.8750000000000001E-2</c:v>
                </c:pt>
                <c:pt idx="116">
                  <c:v>2.9000000000000001E-2</c:v>
                </c:pt>
                <c:pt idx="117">
                  <c:v>2.9250000000000002E-2</c:v>
                </c:pt>
                <c:pt idx="118">
                  <c:v>2.9500000000000002E-2</c:v>
                </c:pt>
                <c:pt idx="119">
                  <c:v>2.9750000000000002E-2</c:v>
                </c:pt>
                <c:pt idx="120">
                  <c:v>0.03</c:v>
                </c:pt>
                <c:pt idx="121">
                  <c:v>3.0249999999999999E-2</c:v>
                </c:pt>
                <c:pt idx="122">
                  <c:v>3.0499999999999999E-2</c:v>
                </c:pt>
                <c:pt idx="123">
                  <c:v>3.075E-2</c:v>
                </c:pt>
                <c:pt idx="124">
                  <c:v>3.1E-2</c:v>
                </c:pt>
                <c:pt idx="125">
                  <c:v>3.125E-2</c:v>
                </c:pt>
                <c:pt idx="126">
                  <c:v>3.15E-2</c:v>
                </c:pt>
                <c:pt idx="127">
                  <c:v>3.175E-2</c:v>
                </c:pt>
                <c:pt idx="128">
                  <c:v>3.2000000000000001E-2</c:v>
                </c:pt>
                <c:pt idx="129">
                  <c:v>3.2250000000000001E-2</c:v>
                </c:pt>
                <c:pt idx="130">
                  <c:v>3.2500000000000001E-2</c:v>
                </c:pt>
                <c:pt idx="131">
                  <c:v>3.2750000000000001E-2</c:v>
                </c:pt>
                <c:pt idx="132">
                  <c:v>3.3000000000000002E-2</c:v>
                </c:pt>
                <c:pt idx="133">
                  <c:v>3.3250000000000002E-2</c:v>
                </c:pt>
                <c:pt idx="134">
                  <c:v>3.3500000000000002E-2</c:v>
                </c:pt>
                <c:pt idx="135">
                  <c:v>3.3750000000000002E-2</c:v>
                </c:pt>
                <c:pt idx="136">
                  <c:v>3.4000000000000002E-2</c:v>
                </c:pt>
                <c:pt idx="137">
                  <c:v>3.4250000000000003E-2</c:v>
                </c:pt>
                <c:pt idx="138">
                  <c:v>3.4500000000000003E-2</c:v>
                </c:pt>
                <c:pt idx="139">
                  <c:v>3.4750000000000003E-2</c:v>
                </c:pt>
                <c:pt idx="140">
                  <c:v>3.5000000000000003E-2</c:v>
                </c:pt>
                <c:pt idx="141">
                  <c:v>3.5250000000000004E-2</c:v>
                </c:pt>
                <c:pt idx="142">
                  <c:v>3.5500000000000004E-2</c:v>
                </c:pt>
                <c:pt idx="143">
                  <c:v>3.5750000000000004E-2</c:v>
                </c:pt>
                <c:pt idx="144">
                  <c:v>3.6000000000000004E-2</c:v>
                </c:pt>
                <c:pt idx="145">
                  <c:v>3.6249999999999998E-2</c:v>
                </c:pt>
                <c:pt idx="146">
                  <c:v>3.6499999999999998E-2</c:v>
                </c:pt>
                <c:pt idx="147">
                  <c:v>3.6749999999999998E-2</c:v>
                </c:pt>
                <c:pt idx="148">
                  <c:v>3.6999999999999998E-2</c:v>
                </c:pt>
                <c:pt idx="149">
                  <c:v>3.7249999999999998E-2</c:v>
                </c:pt>
                <c:pt idx="150">
                  <c:v>3.7499999999999999E-2</c:v>
                </c:pt>
                <c:pt idx="151">
                  <c:v>3.7749999999999999E-2</c:v>
                </c:pt>
                <c:pt idx="152">
                  <c:v>3.7999999999999999E-2</c:v>
                </c:pt>
                <c:pt idx="153">
                  <c:v>3.8249999999999999E-2</c:v>
                </c:pt>
                <c:pt idx="154">
                  <c:v>3.85E-2</c:v>
                </c:pt>
                <c:pt idx="155">
                  <c:v>3.875E-2</c:v>
                </c:pt>
                <c:pt idx="156">
                  <c:v>3.9E-2</c:v>
                </c:pt>
                <c:pt idx="157">
                  <c:v>3.925E-2</c:v>
                </c:pt>
                <c:pt idx="158">
                  <c:v>3.95E-2</c:v>
                </c:pt>
                <c:pt idx="159">
                  <c:v>3.9750000000000001E-2</c:v>
                </c:pt>
                <c:pt idx="160">
                  <c:v>0.04</c:v>
                </c:pt>
                <c:pt idx="161">
                  <c:v>4.0250000000000001E-2</c:v>
                </c:pt>
                <c:pt idx="162">
                  <c:v>4.0500000000000001E-2</c:v>
                </c:pt>
                <c:pt idx="163">
                  <c:v>4.0750000000000001E-2</c:v>
                </c:pt>
                <c:pt idx="164">
                  <c:v>4.1000000000000002E-2</c:v>
                </c:pt>
                <c:pt idx="165">
                  <c:v>4.1250000000000002E-2</c:v>
                </c:pt>
                <c:pt idx="166">
                  <c:v>4.1500000000000002E-2</c:v>
                </c:pt>
                <c:pt idx="167">
                  <c:v>4.1750000000000002E-2</c:v>
                </c:pt>
                <c:pt idx="168">
                  <c:v>4.2000000000000003E-2</c:v>
                </c:pt>
                <c:pt idx="169">
                  <c:v>4.2250000000000003E-2</c:v>
                </c:pt>
                <c:pt idx="170">
                  <c:v>4.2500000000000003E-2</c:v>
                </c:pt>
                <c:pt idx="171">
                  <c:v>4.2750000000000003E-2</c:v>
                </c:pt>
                <c:pt idx="172">
                  <c:v>4.3000000000000003E-2</c:v>
                </c:pt>
                <c:pt idx="173">
                  <c:v>4.3250000000000004E-2</c:v>
                </c:pt>
                <c:pt idx="174">
                  <c:v>4.3500000000000004E-2</c:v>
                </c:pt>
                <c:pt idx="175">
                  <c:v>4.3750000000000004E-2</c:v>
                </c:pt>
                <c:pt idx="176">
                  <c:v>4.3999999999999997E-2</c:v>
                </c:pt>
                <c:pt idx="177">
                  <c:v>4.4249999999999998E-2</c:v>
                </c:pt>
                <c:pt idx="178">
                  <c:v>4.4499999999999998E-2</c:v>
                </c:pt>
                <c:pt idx="179">
                  <c:v>4.4749999999999998E-2</c:v>
                </c:pt>
                <c:pt idx="180">
                  <c:v>4.4999999999999998E-2</c:v>
                </c:pt>
                <c:pt idx="181">
                  <c:v>4.5249999999999999E-2</c:v>
                </c:pt>
                <c:pt idx="182">
                  <c:v>4.5499999999999999E-2</c:v>
                </c:pt>
                <c:pt idx="183">
                  <c:v>4.5749999999999999E-2</c:v>
                </c:pt>
                <c:pt idx="184">
                  <c:v>4.5999999999999999E-2</c:v>
                </c:pt>
                <c:pt idx="185">
                  <c:v>4.6249999999999999E-2</c:v>
                </c:pt>
                <c:pt idx="186">
                  <c:v>4.65E-2</c:v>
                </c:pt>
                <c:pt idx="187">
                  <c:v>4.675E-2</c:v>
                </c:pt>
                <c:pt idx="188">
                  <c:v>4.7E-2</c:v>
                </c:pt>
                <c:pt idx="189">
                  <c:v>4.725E-2</c:v>
                </c:pt>
                <c:pt idx="190">
                  <c:v>4.7500000000000001E-2</c:v>
                </c:pt>
                <c:pt idx="191">
                  <c:v>4.7750000000000001E-2</c:v>
                </c:pt>
                <c:pt idx="192">
                  <c:v>4.8000000000000001E-2</c:v>
                </c:pt>
                <c:pt idx="193">
                  <c:v>4.8250000000000001E-2</c:v>
                </c:pt>
                <c:pt idx="194">
                  <c:v>4.8500000000000001E-2</c:v>
                </c:pt>
                <c:pt idx="195">
                  <c:v>4.8750000000000002E-2</c:v>
                </c:pt>
                <c:pt idx="196">
                  <c:v>4.9000000000000002E-2</c:v>
                </c:pt>
                <c:pt idx="197">
                  <c:v>4.9250000000000002E-2</c:v>
                </c:pt>
                <c:pt idx="198">
                  <c:v>4.9500000000000002E-2</c:v>
                </c:pt>
                <c:pt idx="199">
                  <c:v>4.9750000000000003E-2</c:v>
                </c:pt>
                <c:pt idx="200">
                  <c:v>0.05</c:v>
                </c:pt>
                <c:pt idx="201">
                  <c:v>5.0250000000000003E-2</c:v>
                </c:pt>
                <c:pt idx="202">
                  <c:v>5.0500000000000003E-2</c:v>
                </c:pt>
                <c:pt idx="203">
                  <c:v>5.0750000000000003E-2</c:v>
                </c:pt>
                <c:pt idx="204">
                  <c:v>5.1000000000000004E-2</c:v>
                </c:pt>
                <c:pt idx="205">
                  <c:v>5.1250000000000004E-2</c:v>
                </c:pt>
                <c:pt idx="206">
                  <c:v>5.1500000000000004E-2</c:v>
                </c:pt>
                <c:pt idx="207">
                  <c:v>5.1750000000000004E-2</c:v>
                </c:pt>
                <c:pt idx="208">
                  <c:v>5.2000000000000005E-2</c:v>
                </c:pt>
                <c:pt idx="209">
                  <c:v>5.2249999999999998E-2</c:v>
                </c:pt>
                <c:pt idx="210">
                  <c:v>5.2499999999999998E-2</c:v>
                </c:pt>
                <c:pt idx="211">
                  <c:v>5.2749999999999998E-2</c:v>
                </c:pt>
                <c:pt idx="212">
                  <c:v>5.2999999999999999E-2</c:v>
                </c:pt>
                <c:pt idx="213">
                  <c:v>5.3249999999999999E-2</c:v>
                </c:pt>
                <c:pt idx="214">
                  <c:v>5.3499999999999999E-2</c:v>
                </c:pt>
                <c:pt idx="215">
                  <c:v>5.3749999999999999E-2</c:v>
                </c:pt>
                <c:pt idx="216">
                  <c:v>5.3999999999999999E-2</c:v>
                </c:pt>
                <c:pt idx="217">
                  <c:v>5.425E-2</c:v>
                </c:pt>
                <c:pt idx="218">
                  <c:v>5.45E-2</c:v>
                </c:pt>
                <c:pt idx="219">
                  <c:v>5.475E-2</c:v>
                </c:pt>
                <c:pt idx="220">
                  <c:v>5.5E-2</c:v>
                </c:pt>
                <c:pt idx="221">
                  <c:v>5.525E-2</c:v>
                </c:pt>
                <c:pt idx="222">
                  <c:v>5.5500000000000001E-2</c:v>
                </c:pt>
                <c:pt idx="223">
                  <c:v>5.5750000000000001E-2</c:v>
                </c:pt>
                <c:pt idx="224">
                  <c:v>5.6000000000000001E-2</c:v>
                </c:pt>
                <c:pt idx="225">
                  <c:v>5.6250000000000001E-2</c:v>
                </c:pt>
                <c:pt idx="226">
                  <c:v>5.6500000000000002E-2</c:v>
                </c:pt>
                <c:pt idx="227">
                  <c:v>5.6750000000000002E-2</c:v>
                </c:pt>
                <c:pt idx="228">
                  <c:v>5.7000000000000002E-2</c:v>
                </c:pt>
                <c:pt idx="229">
                  <c:v>5.7250000000000002E-2</c:v>
                </c:pt>
                <c:pt idx="230">
                  <c:v>5.7500000000000002E-2</c:v>
                </c:pt>
                <c:pt idx="231">
                  <c:v>5.7750000000000003E-2</c:v>
                </c:pt>
                <c:pt idx="232">
                  <c:v>5.8000000000000003E-2</c:v>
                </c:pt>
                <c:pt idx="233">
                  <c:v>5.8250000000000003E-2</c:v>
                </c:pt>
                <c:pt idx="234">
                  <c:v>5.8500000000000003E-2</c:v>
                </c:pt>
                <c:pt idx="235">
                  <c:v>5.8750000000000004E-2</c:v>
                </c:pt>
                <c:pt idx="236">
                  <c:v>5.9000000000000004E-2</c:v>
                </c:pt>
                <c:pt idx="237">
                  <c:v>5.9250000000000004E-2</c:v>
                </c:pt>
                <c:pt idx="238">
                  <c:v>5.9500000000000004E-2</c:v>
                </c:pt>
                <c:pt idx="239">
                  <c:v>5.9750000000000004E-2</c:v>
                </c:pt>
                <c:pt idx="240">
                  <c:v>0.06</c:v>
                </c:pt>
                <c:pt idx="241">
                  <c:v>6.0249999999999998E-2</c:v>
                </c:pt>
                <c:pt idx="242">
                  <c:v>6.0499999999999998E-2</c:v>
                </c:pt>
                <c:pt idx="243">
                  <c:v>6.0749999999999998E-2</c:v>
                </c:pt>
                <c:pt idx="244">
                  <c:v>6.0999999999999999E-2</c:v>
                </c:pt>
                <c:pt idx="245">
                  <c:v>6.1249999999999999E-2</c:v>
                </c:pt>
                <c:pt idx="246">
                  <c:v>6.1499999999999999E-2</c:v>
                </c:pt>
                <c:pt idx="247">
                  <c:v>6.1749999999999999E-2</c:v>
                </c:pt>
                <c:pt idx="248">
                  <c:v>6.2E-2</c:v>
                </c:pt>
                <c:pt idx="249">
                  <c:v>6.225E-2</c:v>
                </c:pt>
                <c:pt idx="250">
                  <c:v>6.25E-2</c:v>
                </c:pt>
                <c:pt idx="251">
                  <c:v>6.275E-2</c:v>
                </c:pt>
                <c:pt idx="252">
                  <c:v>6.3E-2</c:v>
                </c:pt>
                <c:pt idx="253">
                  <c:v>6.3250000000000001E-2</c:v>
                </c:pt>
                <c:pt idx="254">
                  <c:v>6.3500000000000001E-2</c:v>
                </c:pt>
                <c:pt idx="255">
                  <c:v>6.3750000000000001E-2</c:v>
                </c:pt>
                <c:pt idx="256">
                  <c:v>6.4000000000000001E-2</c:v>
                </c:pt>
                <c:pt idx="257">
                  <c:v>6.4250000000000002E-2</c:v>
                </c:pt>
                <c:pt idx="258">
                  <c:v>6.4500000000000002E-2</c:v>
                </c:pt>
                <c:pt idx="259">
                  <c:v>6.4750000000000002E-2</c:v>
                </c:pt>
                <c:pt idx="260">
                  <c:v>6.5000000000000002E-2</c:v>
                </c:pt>
                <c:pt idx="261">
                  <c:v>6.5250000000000002E-2</c:v>
                </c:pt>
                <c:pt idx="262">
                  <c:v>6.5500000000000003E-2</c:v>
                </c:pt>
                <c:pt idx="263">
                  <c:v>6.5750000000000003E-2</c:v>
                </c:pt>
                <c:pt idx="264">
                  <c:v>6.6000000000000003E-2</c:v>
                </c:pt>
                <c:pt idx="265">
                  <c:v>6.6250000000000003E-2</c:v>
                </c:pt>
                <c:pt idx="266">
                  <c:v>6.6500000000000004E-2</c:v>
                </c:pt>
                <c:pt idx="267">
                  <c:v>6.6750000000000004E-2</c:v>
                </c:pt>
                <c:pt idx="268">
                  <c:v>6.7000000000000004E-2</c:v>
                </c:pt>
                <c:pt idx="269">
                  <c:v>6.7250000000000004E-2</c:v>
                </c:pt>
                <c:pt idx="270">
                  <c:v>6.7500000000000004E-2</c:v>
                </c:pt>
                <c:pt idx="271">
                  <c:v>6.7750000000000005E-2</c:v>
                </c:pt>
                <c:pt idx="272">
                  <c:v>6.8000000000000005E-2</c:v>
                </c:pt>
                <c:pt idx="273">
                  <c:v>6.8250000000000005E-2</c:v>
                </c:pt>
                <c:pt idx="274">
                  <c:v>6.8500000000000005E-2</c:v>
                </c:pt>
                <c:pt idx="275">
                  <c:v>6.8750000000000006E-2</c:v>
                </c:pt>
                <c:pt idx="276">
                  <c:v>6.9000000000000006E-2</c:v>
                </c:pt>
                <c:pt idx="277">
                  <c:v>6.9250000000000006E-2</c:v>
                </c:pt>
                <c:pt idx="278">
                  <c:v>6.9500000000000006E-2</c:v>
                </c:pt>
                <c:pt idx="279">
                  <c:v>6.9750000000000006E-2</c:v>
                </c:pt>
                <c:pt idx="280">
                  <c:v>7.0000000000000007E-2</c:v>
                </c:pt>
                <c:pt idx="281">
                  <c:v>7.0250000000000007E-2</c:v>
                </c:pt>
                <c:pt idx="282">
                  <c:v>7.0500000000000007E-2</c:v>
                </c:pt>
                <c:pt idx="283">
                  <c:v>7.0750000000000007E-2</c:v>
                </c:pt>
                <c:pt idx="284">
                  <c:v>7.1000000000000008E-2</c:v>
                </c:pt>
                <c:pt idx="285">
                  <c:v>7.1250000000000008E-2</c:v>
                </c:pt>
                <c:pt idx="286">
                  <c:v>7.1500000000000008E-2</c:v>
                </c:pt>
                <c:pt idx="287">
                  <c:v>7.1750000000000008E-2</c:v>
                </c:pt>
                <c:pt idx="288">
                  <c:v>7.2000000000000008E-2</c:v>
                </c:pt>
                <c:pt idx="289">
                  <c:v>7.2249999999999995E-2</c:v>
                </c:pt>
                <c:pt idx="290">
                  <c:v>7.2499999999999995E-2</c:v>
                </c:pt>
                <c:pt idx="291">
                  <c:v>7.2749999999999995E-2</c:v>
                </c:pt>
                <c:pt idx="292">
                  <c:v>7.2999999999999995E-2</c:v>
                </c:pt>
                <c:pt idx="293">
                  <c:v>7.3249999999999996E-2</c:v>
                </c:pt>
                <c:pt idx="294">
                  <c:v>7.3499999999999996E-2</c:v>
                </c:pt>
                <c:pt idx="295">
                  <c:v>7.3749999999999996E-2</c:v>
                </c:pt>
              </c:numCache>
            </c:numRef>
          </c:xVal>
          <c:yVal>
            <c:numRef>
              <c:f>[0]!trap.Tm</c:f>
              <c:numCache>
                <c:formatCode>General</c:formatCode>
                <c:ptCount val="296"/>
                <c:pt idx="0">
                  <c:v>9.1618698159514356</c:v>
                </c:pt>
                <c:pt idx="1">
                  <c:v>9.1619892627024697</c:v>
                </c:pt>
                <c:pt idx="2">
                  <c:v>9.1623499120843768</c:v>
                </c:pt>
                <c:pt idx="3">
                  <c:v>9.1629586914835794</c:v>
                </c:pt>
                <c:pt idx="4">
                  <c:v>9.163827146544115</c:v>
                </c:pt>
                <c:pt idx="5">
                  <c:v>9.1650050816827431</c:v>
                </c:pt>
                <c:pt idx="6">
                  <c:v>9.1666226682844236</c:v>
                </c:pt>
                <c:pt idx="7">
                  <c:v>9.168688882235891</c:v>
                </c:pt>
                <c:pt idx="8">
                  <c:v>9.1713241271797763</c:v>
                </c:pt>
                <c:pt idx="9">
                  <c:v>9.1746360377287584</c:v>
                </c:pt>
                <c:pt idx="10">
                  <c:v>9.1787198757984392</c:v>
                </c:pt>
                <c:pt idx="11">
                  <c:v>9.1837142937212182</c:v>
                </c:pt>
                <c:pt idx="12">
                  <c:v>9.1897667660367404</c:v>
                </c:pt>
                <c:pt idx="13">
                  <c:v>9.1970334562664462</c:v>
                </c:pt>
                <c:pt idx="14">
                  <c:v>9.2056792908639746</c:v>
                </c:pt>
                <c:pt idx="15">
                  <c:v>9.2158780143471386</c:v>
                </c:pt>
                <c:pt idx="16">
                  <c:v>9.2278658322446141</c:v>
                </c:pt>
                <c:pt idx="17">
                  <c:v>9.2417941585606904</c:v>
                </c:pt>
                <c:pt idx="18">
                  <c:v>9.2579372533919102</c:v>
                </c:pt>
                <c:pt idx="19">
                  <c:v>9.2764800489949248</c:v>
                </c:pt>
                <c:pt idx="20">
                  <c:v>9.2977304496350541</c:v>
                </c:pt>
                <c:pt idx="21">
                  <c:v>9.3219053277028472</c:v>
                </c:pt>
                <c:pt idx="22">
                  <c:v>9.3492563794987724</c:v>
                </c:pt>
                <c:pt idx="23">
                  <c:v>9.3800805278444219</c:v>
                </c:pt>
                <c:pt idx="24">
                  <c:v>9.4146737458730687</c:v>
                </c:pt>
                <c:pt idx="25">
                  <c:v>9.4533439121914231</c:v>
                </c:pt>
                <c:pt idx="26">
                  <c:v>9.4963935405953102</c:v>
                </c:pt>
                <c:pt idx="27">
                  <c:v>9.5441266428504541</c:v>
                </c:pt>
                <c:pt idx="28">
                  <c:v>9.596884810575343</c:v>
                </c:pt>
                <c:pt idx="29">
                  <c:v>9.6550274499956537</c:v>
                </c:pt>
                <c:pt idx="30">
                  <c:v>9.7188577074172855</c:v>
                </c:pt>
                <c:pt idx="31">
                  <c:v>9.7887707259906414</c:v>
                </c:pt>
                <c:pt idx="32">
                  <c:v>9.8650523922042179</c:v>
                </c:pt>
                <c:pt idx="33">
                  <c:v>9.9481965909401513</c:v>
                </c:pt>
                <c:pt idx="34">
                  <c:v>10.03838693254167</c:v>
                </c:pt>
                <c:pt idx="35">
                  <c:v>10.136120112268825</c:v>
                </c:pt>
                <c:pt idx="36">
                  <c:v>10.241837847539946</c:v>
                </c:pt>
                <c:pt idx="37">
                  <c:v>10.355681187829664</c:v>
                </c:pt>
                <c:pt idx="38">
                  <c:v>10.47821277333154</c:v>
                </c:pt>
                <c:pt idx="39">
                  <c:v>10.609798782636657</c:v>
                </c:pt>
                <c:pt idx="40">
                  <c:v>10.750913375703439</c:v>
                </c:pt>
                <c:pt idx="41">
                  <c:v>10.901490905396662</c:v>
                </c:pt>
                <c:pt idx="42">
                  <c:v>11.062374153282178</c:v>
                </c:pt>
                <c:pt idx="43">
                  <c:v>11.233743613080453</c:v>
                </c:pt>
                <c:pt idx="44">
                  <c:v>11.415896923980876</c:v>
                </c:pt>
                <c:pt idx="45">
                  <c:v>11.609406378373803</c:v>
                </c:pt>
                <c:pt idx="46">
                  <c:v>11.814333670905617</c:v>
                </c:pt>
                <c:pt idx="47">
                  <c:v>12.031153482395286</c:v>
                </c:pt>
                <c:pt idx="48">
                  <c:v>12.260230811583943</c:v>
                </c:pt>
                <c:pt idx="49">
                  <c:v>12.50173914965529</c:v>
                </c:pt>
                <c:pt idx="50">
                  <c:v>12.756056532510449</c:v>
                </c:pt>
                <c:pt idx="51">
                  <c:v>13.023787273203713</c:v>
                </c:pt>
                <c:pt idx="52">
                  <c:v>13.304095188567771</c:v>
                </c:pt>
                <c:pt idx="53">
                  <c:v>13.598196594051096</c:v>
                </c:pt>
                <c:pt idx="54">
                  <c:v>13.906159128215048</c:v>
                </c:pt>
                <c:pt idx="55">
                  <c:v>14.227943221679514</c:v>
                </c:pt>
                <c:pt idx="56">
                  <c:v>14.564035775055014</c:v>
                </c:pt>
                <c:pt idx="57">
                  <c:v>14.914011834130159</c:v>
                </c:pt>
                <c:pt idx="58">
                  <c:v>15.278501949290817</c:v>
                </c:pt>
                <c:pt idx="59">
                  <c:v>15.657293258821936</c:v>
                </c:pt>
                <c:pt idx="60">
                  <c:v>16.050636106322131</c:v>
                </c:pt>
                <c:pt idx="61">
                  <c:v>16.458297353049133</c:v>
                </c:pt>
                <c:pt idx="62">
                  <c:v>16.880487446016854</c:v>
                </c:pt>
                <c:pt idx="63">
                  <c:v>17.316945694508405</c:v>
                </c:pt>
                <c:pt idx="64">
                  <c:v>17.76772297835646</c:v>
                </c:pt>
                <c:pt idx="65">
                  <c:v>18.232597309831668</c:v>
                </c:pt>
                <c:pt idx="66">
                  <c:v>18.711397853816003</c:v>
                </c:pt>
                <c:pt idx="67">
                  <c:v>19.203992206586637</c:v>
                </c:pt>
                <c:pt idx="68">
                  <c:v>19.710470321045729</c:v>
                </c:pt>
                <c:pt idx="69">
                  <c:v>20.231108286789343</c:v>
                </c:pt>
                <c:pt idx="70">
                  <c:v>20.761817117604849</c:v>
                </c:pt>
                <c:pt idx="71">
                  <c:v>21.307101003532516</c:v>
                </c:pt>
                <c:pt idx="72">
                  <c:v>21.863660531174389</c:v>
                </c:pt>
                <c:pt idx="73">
                  <c:v>22.431826376566143</c:v>
                </c:pt>
                <c:pt idx="74">
                  <c:v>23.010829925119616</c:v>
                </c:pt>
                <c:pt idx="75">
                  <c:v>23.597457732033966</c:v>
                </c:pt>
                <c:pt idx="76">
                  <c:v>24.19961366147901</c:v>
                </c:pt>
                <c:pt idx="77">
                  <c:v>24.805409230476808</c:v>
                </c:pt>
                <c:pt idx="78">
                  <c:v>25.422761877099909</c:v>
                </c:pt>
                <c:pt idx="79">
                  <c:v>26.049677282753606</c:v>
                </c:pt>
                <c:pt idx="80">
                  <c:v>26.676886338019528</c:v>
                </c:pt>
                <c:pt idx="81">
                  <c:v>27.314078243346792</c:v>
                </c:pt>
                <c:pt idx="82">
                  <c:v>27.9588186568092</c:v>
                </c:pt>
                <c:pt idx="83">
                  <c:v>28.607019505326249</c:v>
                </c:pt>
                <c:pt idx="84">
                  <c:v>29.251498789522152</c:v>
                </c:pt>
                <c:pt idx="85">
                  <c:v>29.901270971062374</c:v>
                </c:pt>
                <c:pt idx="86">
                  <c:v>30.55485079627131</c:v>
                </c:pt>
                <c:pt idx="87">
                  <c:v>31.212025874953142</c:v>
                </c:pt>
                <c:pt idx="88">
                  <c:v>31.865268009574379</c:v>
                </c:pt>
                <c:pt idx="89">
                  <c:v>32.515114189081402</c:v>
                </c:pt>
                <c:pt idx="90">
                  <c:v>33.156110995216807</c:v>
                </c:pt>
                <c:pt idx="91">
                  <c:v>33.806926026767457</c:v>
                </c:pt>
                <c:pt idx="92">
                  <c:v>34.431847949472839</c:v>
                </c:pt>
                <c:pt idx="93">
                  <c:v>35.056606154901999</c:v>
                </c:pt>
                <c:pt idx="94">
                  <c:v>35.675799730595557</c:v>
                </c:pt>
                <c:pt idx="95">
                  <c:v>36.28287325258146</c:v>
                </c:pt>
                <c:pt idx="96">
                  <c:v>36.885266678215906</c:v>
                </c:pt>
                <c:pt idx="97">
                  <c:v>37.467335179427053</c:v>
                </c:pt>
                <c:pt idx="98">
                  <c:v>38.037879111786268</c:v>
                </c:pt>
                <c:pt idx="99">
                  <c:v>17.035565658325456</c:v>
                </c:pt>
                <c:pt idx="100">
                  <c:v>16.905576749155273</c:v>
                </c:pt>
                <c:pt idx="101">
                  <c:v>16.758514782438112</c:v>
                </c:pt>
                <c:pt idx="102">
                  <c:v>16.599845681870786</c:v>
                </c:pt>
                <c:pt idx="103">
                  <c:v>16.427719247765587</c:v>
                </c:pt>
                <c:pt idx="104">
                  <c:v>16.248769472825433</c:v>
                </c:pt>
                <c:pt idx="105">
                  <c:v>16.045416887641629</c:v>
                </c:pt>
                <c:pt idx="106">
                  <c:v>15.835392217108776</c:v>
                </c:pt>
                <c:pt idx="107">
                  <c:v>15.615577286117253</c:v>
                </c:pt>
                <c:pt idx="108">
                  <c:v>15.380949591043992</c:v>
                </c:pt>
                <c:pt idx="109">
                  <c:v>15.139896486379154</c:v>
                </c:pt>
                <c:pt idx="110">
                  <c:v>14.888663650999719</c:v>
                </c:pt>
                <c:pt idx="111">
                  <c:v>14.622274925500964</c:v>
                </c:pt>
                <c:pt idx="112">
                  <c:v>14.348919031745206</c:v>
                </c:pt>
                <c:pt idx="113">
                  <c:v>14.060849930443336</c:v>
                </c:pt>
                <c:pt idx="114">
                  <c:v>13.767482693069345</c:v>
                </c:pt>
                <c:pt idx="115">
                  <c:v>13.461665659517898</c:v>
                </c:pt>
                <c:pt idx="116">
                  <c:v>13.147987717171098</c:v>
                </c:pt>
                <c:pt idx="117">
                  <c:v>12.827949204795141</c:v>
                </c:pt>
                <c:pt idx="118">
                  <c:v>12.499385159780031</c:v>
                </c:pt>
                <c:pt idx="119">
                  <c:v>12.162198813037753</c:v>
                </c:pt>
                <c:pt idx="120">
                  <c:v>11.821944979779618</c:v>
                </c:pt>
                <c:pt idx="121">
                  <c:v>11.466686818956536</c:v>
                </c:pt>
                <c:pt idx="122">
                  <c:v>11.108899840384929</c:v>
                </c:pt>
                <c:pt idx="123">
                  <c:v>10.744710930166315</c:v>
                </c:pt>
                <c:pt idx="124">
                  <c:v>10.379603068831264</c:v>
                </c:pt>
                <c:pt idx="125">
                  <c:v>10.000107436886472</c:v>
                </c:pt>
                <c:pt idx="126">
                  <c:v>9.6185603358959426</c:v>
                </c:pt>
                <c:pt idx="127">
                  <c:v>9.2331068086295449</c:v>
                </c:pt>
                <c:pt idx="128">
                  <c:v>8.8442407536517393</c:v>
                </c:pt>
                <c:pt idx="129">
                  <c:v>8.4461148416477787</c:v>
                </c:pt>
                <c:pt idx="130">
                  <c:v>8.0485366716539275</c:v>
                </c:pt>
                <c:pt idx="131">
                  <c:v>7.6445992489967338</c:v>
                </c:pt>
                <c:pt idx="132">
                  <c:v>7.2353193414280241</c:v>
                </c:pt>
                <c:pt idx="133">
                  <c:v>6.8185537190220158</c:v>
                </c:pt>
                <c:pt idx="134">
                  <c:v>6.398464131764924</c:v>
                </c:pt>
                <c:pt idx="135">
                  <c:v>5.9781065100605613</c:v>
                </c:pt>
                <c:pt idx="136">
                  <c:v>5.5516907761881304</c:v>
                </c:pt>
                <c:pt idx="137">
                  <c:v>5.1273199973920116</c:v>
                </c:pt>
                <c:pt idx="138">
                  <c:v>4.6917089372239111</c:v>
                </c:pt>
                <c:pt idx="139">
                  <c:v>4.2611484132203987</c:v>
                </c:pt>
                <c:pt idx="140">
                  <c:v>3.8236206859473474</c:v>
                </c:pt>
                <c:pt idx="141">
                  <c:v>3.3952936878881639</c:v>
                </c:pt>
                <c:pt idx="142">
                  <c:v>2.9580291880405802</c:v>
                </c:pt>
                <c:pt idx="143">
                  <c:v>2.5167497536072316</c:v>
                </c:pt>
                <c:pt idx="144">
                  <c:v>2.0786427767351117</c:v>
                </c:pt>
                <c:pt idx="145">
                  <c:v>1.6365127729845512</c:v>
                </c:pt>
                <c:pt idx="146">
                  <c:v>1.1930988153129261</c:v>
                </c:pt>
                <c:pt idx="147">
                  <c:v>0.74706614361298962</c:v>
                </c:pt>
                <c:pt idx="148">
                  <c:v>0.29427204560685633</c:v>
                </c:pt>
                <c:pt idx="149">
                  <c:v>-0.15383284176578566</c:v>
                </c:pt>
                <c:pt idx="150">
                  <c:v>-0.59976443510651001</c:v>
                </c:pt>
                <c:pt idx="151">
                  <c:v>-1.0455739306750902</c:v>
                </c:pt>
                <c:pt idx="152">
                  <c:v>-1.4868663000582294</c:v>
                </c:pt>
                <c:pt idx="153">
                  <c:v>-1.9328616772887197</c:v>
                </c:pt>
                <c:pt idx="154">
                  <c:v>-2.3747902488732588</c:v>
                </c:pt>
                <c:pt idx="155">
                  <c:v>-2.8193275393719026</c:v>
                </c:pt>
                <c:pt idx="156">
                  <c:v>-3.2603030672810158</c:v>
                </c:pt>
                <c:pt idx="157">
                  <c:v>-3.7015857297036323</c:v>
                </c:pt>
                <c:pt idx="158">
                  <c:v>-4.1401795648380348</c:v>
                </c:pt>
                <c:pt idx="159">
                  <c:v>-4.5766289202287611</c:v>
                </c:pt>
                <c:pt idx="160">
                  <c:v>-5.0083435483389103</c:v>
                </c:pt>
                <c:pt idx="161">
                  <c:v>-5.4387726402033989</c:v>
                </c:pt>
                <c:pt idx="162">
                  <c:v>-5.8656522583762785</c:v>
                </c:pt>
                <c:pt idx="163">
                  <c:v>-6.2863720863448327</c:v>
                </c:pt>
                <c:pt idx="164">
                  <c:v>-6.7087997185614237</c:v>
                </c:pt>
                <c:pt idx="165">
                  <c:v>-7.1253158508516785</c:v>
                </c:pt>
                <c:pt idx="166">
                  <c:v>-7.5404841971053793</c:v>
                </c:pt>
                <c:pt idx="167">
                  <c:v>-7.9484194314064016</c:v>
                </c:pt>
                <c:pt idx="168">
                  <c:v>-8.3597220136989439</c:v>
                </c:pt>
                <c:pt idx="169">
                  <c:v>-8.7638290073297807</c:v>
                </c:pt>
                <c:pt idx="170">
                  <c:v>-9.1587440325243001</c:v>
                </c:pt>
                <c:pt idx="171">
                  <c:v>-9.5479926108544433</c:v>
                </c:pt>
                <c:pt idx="172">
                  <c:v>-9.9282776804459907</c:v>
                </c:pt>
                <c:pt idx="173">
                  <c:v>-10.306403961869792</c:v>
                </c:pt>
                <c:pt idx="174">
                  <c:v>-10.673263337734555</c:v>
                </c:pt>
                <c:pt idx="175">
                  <c:v>-11.03817429420263</c:v>
                </c:pt>
                <c:pt idx="176">
                  <c:v>-11.393498581618662</c:v>
                </c:pt>
                <c:pt idx="177">
                  <c:v>-11.743181948714124</c:v>
                </c:pt>
                <c:pt idx="178">
                  <c:v>-12.084436840469307</c:v>
                </c:pt>
                <c:pt idx="179">
                  <c:v>-12.415889586141372</c:v>
                </c:pt>
                <c:pt idx="180">
                  <c:v>-12.73781426404129</c:v>
                </c:pt>
                <c:pt idx="181">
                  <c:v>-13.050796546022442</c:v>
                </c:pt>
                <c:pt idx="182">
                  <c:v>-13.354492123872072</c:v>
                </c:pt>
                <c:pt idx="183">
                  <c:v>-13.644967892898167</c:v>
                </c:pt>
                <c:pt idx="184">
                  <c:v>-13.929668175225514</c:v>
                </c:pt>
                <c:pt idx="185">
                  <c:v>-14.200715709769959</c:v>
                </c:pt>
                <c:pt idx="186">
                  <c:v>-14.463023298227283</c:v>
                </c:pt>
                <c:pt idx="187">
                  <c:v>-14.719631315357248</c:v>
                </c:pt>
                <c:pt idx="188">
                  <c:v>-14.956427166393842</c:v>
                </c:pt>
                <c:pt idx="189">
                  <c:v>-15.188373335172422</c:v>
                </c:pt>
                <c:pt idx="190">
                  <c:v>-15.403131091696379</c:v>
                </c:pt>
                <c:pt idx="191">
                  <c:v>-15.604343924130282</c:v>
                </c:pt>
                <c:pt idx="192">
                  <c:v>-15.79084580575231</c:v>
                </c:pt>
                <c:pt idx="193">
                  <c:v>-15.962711334061536</c:v>
                </c:pt>
                <c:pt idx="194">
                  <c:v>-16.123442485814085</c:v>
                </c:pt>
                <c:pt idx="195">
                  <c:v>-16.270120729899478</c:v>
                </c:pt>
                <c:pt idx="196">
                  <c:v>-16.402738632822313</c:v>
                </c:pt>
                <c:pt idx="197">
                  <c:v>-38.174444145143994</c:v>
                </c:pt>
                <c:pt idx="198">
                  <c:v>-37.628839136085524</c:v>
                </c:pt>
                <c:pt idx="199">
                  <c:v>-37.068079540292324</c:v>
                </c:pt>
                <c:pt idx="200">
                  <c:v>-36.49478052938651</c:v>
                </c:pt>
                <c:pt idx="201">
                  <c:v>-35.909744675790293</c:v>
                </c:pt>
                <c:pt idx="202">
                  <c:v>-35.314827348615601</c:v>
                </c:pt>
                <c:pt idx="203">
                  <c:v>-34.712109120361731</c:v>
                </c:pt>
                <c:pt idx="204">
                  <c:v>-34.102130314432813</c:v>
                </c:pt>
                <c:pt idx="205">
                  <c:v>-33.486421568149908</c:v>
                </c:pt>
                <c:pt idx="206">
                  <c:v>-32.865562749638187</c:v>
                </c:pt>
                <c:pt idx="207">
                  <c:v>-32.242350670151069</c:v>
                </c:pt>
                <c:pt idx="208">
                  <c:v>-31.61737635824786</c:v>
                </c:pt>
                <c:pt idx="209">
                  <c:v>-30.993367564964622</c:v>
                </c:pt>
                <c:pt idx="210">
                  <c:v>-30.368843481753515</c:v>
                </c:pt>
                <c:pt idx="211">
                  <c:v>-29.745487262054503</c:v>
                </c:pt>
                <c:pt idx="212">
                  <c:v>-29.121479329718117</c:v>
                </c:pt>
                <c:pt idx="213">
                  <c:v>-28.505193730016337</c:v>
                </c:pt>
                <c:pt idx="214">
                  <c:v>-27.894555503246174</c:v>
                </c:pt>
                <c:pt idx="215">
                  <c:v>-27.289229589891193</c:v>
                </c:pt>
                <c:pt idx="216">
                  <c:v>-26.688697143712378</c:v>
                </c:pt>
                <c:pt idx="217">
                  <c:v>-26.096195787026339</c:v>
                </c:pt>
                <c:pt idx="218">
                  <c:v>-25.511628911462843</c:v>
                </c:pt>
                <c:pt idx="219">
                  <c:v>-24.93284740256901</c:v>
                </c:pt>
                <c:pt idx="220">
                  <c:v>-24.367122433745209</c:v>
                </c:pt>
                <c:pt idx="221">
                  <c:v>-23.809969180848519</c:v>
                </c:pt>
                <c:pt idx="222">
                  <c:v>-23.262245867280711</c:v>
                </c:pt>
                <c:pt idx="223">
                  <c:v>-22.725709653070489</c:v>
                </c:pt>
                <c:pt idx="224">
                  <c:v>-22.199795454404224</c:v>
                </c:pt>
                <c:pt idx="225">
                  <c:v>-21.687182356682239</c:v>
                </c:pt>
                <c:pt idx="226">
                  <c:v>-21.184826126133885</c:v>
                </c:pt>
                <c:pt idx="227">
                  <c:v>-20.694744152164485</c:v>
                </c:pt>
                <c:pt idx="228">
                  <c:v>-20.217358356383244</c:v>
                </c:pt>
                <c:pt idx="229">
                  <c:v>-19.752845845955285</c:v>
                </c:pt>
                <c:pt idx="230">
                  <c:v>-19.300848793333774</c:v>
                </c:pt>
                <c:pt idx="231">
                  <c:v>-18.860582453646611</c:v>
                </c:pt>
                <c:pt idx="232">
                  <c:v>-18.43474946541204</c:v>
                </c:pt>
                <c:pt idx="233">
                  <c:v>-18.02130772175272</c:v>
                </c:pt>
                <c:pt idx="234">
                  <c:v>-17.619988341872549</c:v>
                </c:pt>
                <c:pt idx="235">
                  <c:v>-17.232840259873608</c:v>
                </c:pt>
                <c:pt idx="236">
                  <c:v>-16.857991660097124</c:v>
                </c:pt>
                <c:pt idx="237">
                  <c:v>-16.495644156641102</c:v>
                </c:pt>
                <c:pt idx="238">
                  <c:v>-16.146390120709146</c:v>
                </c:pt>
                <c:pt idx="239">
                  <c:v>-15.809568350646096</c:v>
                </c:pt>
                <c:pt idx="240">
                  <c:v>-15.485229521412739</c:v>
                </c:pt>
                <c:pt idx="241">
                  <c:v>-15.173139813967667</c:v>
                </c:pt>
                <c:pt idx="242">
                  <c:v>-14.872874893350144</c:v>
                </c:pt>
                <c:pt idx="243">
                  <c:v>-14.58470215114453</c:v>
                </c:pt>
                <c:pt idx="244">
                  <c:v>-14.308068930068153</c:v>
                </c:pt>
                <c:pt idx="245">
                  <c:v>-14.042982158385643</c:v>
                </c:pt>
                <c:pt idx="246">
                  <c:v>-13.788843081865895</c:v>
                </c:pt>
                <c:pt idx="247">
                  <c:v>-13.545714560089039</c:v>
                </c:pt>
                <c:pt idx="248">
                  <c:v>-13.313261724923414</c:v>
                </c:pt>
                <c:pt idx="249">
                  <c:v>-13.091092846942118</c:v>
                </c:pt>
                <c:pt idx="250">
                  <c:v>-12.87904811114108</c:v>
                </c:pt>
                <c:pt idx="251">
                  <c:v>-12.676967870520528</c:v>
                </c:pt>
                <c:pt idx="252">
                  <c:v>-12.484273477274245</c:v>
                </c:pt>
                <c:pt idx="253">
                  <c:v>-12.30090995160184</c:v>
                </c:pt>
                <c:pt idx="254">
                  <c:v>-12.126508580815345</c:v>
                </c:pt>
                <c:pt idx="255">
                  <c:v>-11.960756862935598</c:v>
                </c:pt>
                <c:pt idx="256">
                  <c:v>-11.803438710163832</c:v>
                </c:pt>
                <c:pt idx="257">
                  <c:v>-11.654147176351671</c:v>
                </c:pt>
                <c:pt idx="258">
                  <c:v>-11.512724046835748</c:v>
                </c:pt>
                <c:pt idx="259">
                  <c:v>-11.378799219705597</c:v>
                </c:pt>
                <c:pt idx="260">
                  <c:v>-11.252114191634899</c:v>
                </c:pt>
                <c:pt idx="261">
                  <c:v>-11.132414499509739</c:v>
                </c:pt>
                <c:pt idx="262">
                  <c:v>-11.019405752210973</c:v>
                </c:pt>
                <c:pt idx="263">
                  <c:v>-10.912779391446589</c:v>
                </c:pt>
                <c:pt idx="264">
                  <c:v>-10.81232342014809</c:v>
                </c:pt>
                <c:pt idx="265">
                  <c:v>-10.71778137927844</c:v>
                </c:pt>
                <c:pt idx="266">
                  <c:v>-10.628876940692498</c:v>
                </c:pt>
                <c:pt idx="267">
                  <c:v>-10.545338761446329</c:v>
                </c:pt>
                <c:pt idx="268">
                  <c:v>-10.466997518262545</c:v>
                </c:pt>
                <c:pt idx="269">
                  <c:v>-10.393565251916842</c:v>
                </c:pt>
                <c:pt idx="270">
                  <c:v>-10.324825100447924</c:v>
                </c:pt>
                <c:pt idx="271">
                  <c:v>-10.260562267340234</c:v>
                </c:pt>
                <c:pt idx="272">
                  <c:v>-10.20056604308332</c:v>
                </c:pt>
                <c:pt idx="273">
                  <c:v>-10.144645866010325</c:v>
                </c:pt>
                <c:pt idx="274">
                  <c:v>-10.092589768019733</c:v>
                </c:pt>
                <c:pt idx="275">
                  <c:v>-10.044202526033681</c:v>
                </c:pt>
                <c:pt idx="276">
                  <c:v>-9.9993231164366971</c:v>
                </c:pt>
                <c:pt idx="277">
                  <c:v>-9.9577854450430046</c:v>
                </c:pt>
                <c:pt idx="278">
                  <c:v>-9.9193941327487565</c:v>
                </c:pt>
                <c:pt idx="279">
                  <c:v>-9.8840559781938939</c:v>
                </c:pt>
                <c:pt idx="280">
                  <c:v>-9.8515684262618581</c:v>
                </c:pt>
                <c:pt idx="281">
                  <c:v>-9.8218284089267609</c:v>
                </c:pt>
                <c:pt idx="282">
                  <c:v>-9.7946866467978442</c:v>
                </c:pt>
                <c:pt idx="283">
                  <c:v>-9.7700281158061753</c:v>
                </c:pt>
                <c:pt idx="284">
                  <c:v>-9.7477502546657391</c:v>
                </c:pt>
                <c:pt idx="285">
                  <c:v>-9.7277515556621257</c:v>
                </c:pt>
                <c:pt idx="286">
                  <c:v>-9.7099353632153562</c:v>
                </c:pt>
                <c:pt idx="287">
                  <c:v>-9.6942120229638888</c:v>
                </c:pt>
                <c:pt idx="288">
                  <c:v>-9.6805360496808923</c:v>
                </c:pt>
                <c:pt idx="289">
                  <c:v>-9.668807056231131</c:v>
                </c:pt>
                <c:pt idx="290">
                  <c:v>-9.6589794692015101</c:v>
                </c:pt>
                <c:pt idx="291">
                  <c:v>-9.6510031420500351</c:v>
                </c:pt>
                <c:pt idx="292">
                  <c:v>-9.6448498990698148</c:v>
                </c:pt>
                <c:pt idx="293">
                  <c:v>-9.6404695364551127</c:v>
                </c:pt>
                <c:pt idx="294">
                  <c:v>-9.6378472432633266</c:v>
                </c:pt>
                <c:pt idx="295">
                  <c:v>-9.6369741329289038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80-45D6-BF32-54BA6D0BA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93247"/>
        <c:axId val="1503803727"/>
      </c:scatterChart>
      <c:valAx>
        <c:axId val="167339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</a:t>
                </a:r>
                <a:r>
                  <a:rPr lang="en-GB" baseline="0">
                    <a:solidFill>
                      <a:schemeClr val="tx1"/>
                    </a:solidFill>
                  </a:rPr>
                  <a:t> [s]</a:t>
                </a:r>
                <a:endParaRPr lang="en-GB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0127914543128"/>
              <c:y val="0.90337027935202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03727"/>
        <c:crosses val="autoZero"/>
        <c:crossBetween val="midCat"/>
      </c:valAx>
      <c:valAx>
        <c:axId val="15038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</a:t>
                </a:r>
                <a:r>
                  <a:rPr lang="en-GB" baseline="-25000">
                    <a:solidFill>
                      <a:schemeClr val="tx1"/>
                    </a:solidFill>
                  </a:rPr>
                  <a:t>m</a:t>
                </a:r>
                <a:r>
                  <a:rPr lang="en-GB">
                    <a:solidFill>
                      <a:schemeClr val="tx1"/>
                    </a:solidFill>
                  </a:rPr>
                  <a:t>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93247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legend>
      <c:legendPos val="r"/>
      <c:layout>
        <c:manualLayout>
          <c:xMode val="edge"/>
          <c:yMode val="edge"/>
          <c:x val="0.1324343832020998"/>
          <c:y val="0.15313489908589012"/>
          <c:w val="0.16199290518372703"/>
          <c:h val="0.23455791148014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image" Target="../media/image3.jpe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</xdr:colOff>
      <xdr:row>0</xdr:row>
      <xdr:rowOff>121920</xdr:rowOff>
    </xdr:from>
    <xdr:to>
      <xdr:col>12</xdr:col>
      <xdr:colOff>579520</xdr:colOff>
      <xdr:row>2</xdr:row>
      <xdr:rowOff>127936</xdr:rowOff>
    </xdr:to>
    <xdr:pic>
      <xdr:nvPicPr>
        <xdr:cNvPr id="7" name="Picture 6" descr="Logo, company name&#10;&#10;Description automatically generated">
          <a:extLst>
            <a:ext uri="{FF2B5EF4-FFF2-40B4-BE49-F238E27FC236}">
              <a16:creationId xmlns:a16="http://schemas.microsoft.com/office/drawing/2014/main" id="{D9EAF289-4F03-4BFF-9893-36199EA0A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19" t="17674" r="26000" b="23525"/>
        <a:stretch/>
      </xdr:blipFill>
      <xdr:spPr>
        <a:xfrm>
          <a:off x="6431280" y="121920"/>
          <a:ext cx="571900" cy="486076"/>
        </a:xfrm>
        <a:prstGeom prst="rect">
          <a:avLst/>
        </a:prstGeom>
      </xdr:spPr>
    </xdr:pic>
    <xdr:clientData/>
  </xdr:twoCellAnchor>
  <xdr:twoCellAnchor editAs="oneCell">
    <xdr:from>
      <xdr:col>9</xdr:col>
      <xdr:colOff>487680</xdr:colOff>
      <xdr:row>1</xdr:row>
      <xdr:rowOff>7620</xdr:rowOff>
    </xdr:from>
    <xdr:to>
      <xdr:col>11</xdr:col>
      <xdr:colOff>483325</xdr:colOff>
      <xdr:row>2</xdr:row>
      <xdr:rowOff>64770</xdr:rowOff>
    </xdr:to>
    <xdr:pic>
      <xdr:nvPicPr>
        <xdr:cNvPr id="8" name="Afbeelding 5">
          <a:extLst>
            <a:ext uri="{FF2B5EF4-FFF2-40B4-BE49-F238E27FC236}">
              <a16:creationId xmlns:a16="http://schemas.microsoft.com/office/drawing/2014/main" id="{CE165EBD-0517-41F4-ACD0-DF81B59D1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920" y="190500"/>
          <a:ext cx="1214845" cy="354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0</xdr:rowOff>
    </xdr:from>
    <xdr:to>
      <xdr:col>21</xdr:col>
      <xdr:colOff>15240</xdr:colOff>
      <xdr:row>26</xdr:row>
      <xdr:rowOff>73440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87F5D7E-E1A2-41DA-BA14-E11C8C35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21</xdr:col>
      <xdr:colOff>22860</xdr:colOff>
      <xdr:row>13</xdr:row>
      <xdr:rowOff>12480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0244BC8-6EBC-4373-BBE5-95E2B352B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</xdr:colOff>
      <xdr:row>0</xdr:row>
      <xdr:rowOff>83820</xdr:rowOff>
    </xdr:from>
    <xdr:to>
      <xdr:col>16</xdr:col>
      <xdr:colOff>39370</xdr:colOff>
      <xdr:row>13</xdr:row>
      <xdr:rowOff>6520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20C408-08F1-466B-A576-3739C9B67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</xdr:colOff>
      <xdr:row>0</xdr:row>
      <xdr:rowOff>83820</xdr:rowOff>
    </xdr:from>
    <xdr:to>
      <xdr:col>20</xdr:col>
      <xdr:colOff>42620</xdr:colOff>
      <xdr:row>13</xdr:row>
      <xdr:rowOff>6520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BC8521-B2F1-4F00-B251-82CFE4E0B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30480</xdr:colOff>
      <xdr:row>0</xdr:row>
      <xdr:rowOff>83820</xdr:rowOff>
    </xdr:from>
    <xdr:to>
      <xdr:col>24</xdr:col>
      <xdr:colOff>42620</xdr:colOff>
      <xdr:row>13</xdr:row>
      <xdr:rowOff>6520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DA6572-D365-41E3-BC49-78BC0CCDC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30480</xdr:colOff>
      <xdr:row>0</xdr:row>
      <xdr:rowOff>83820</xdr:rowOff>
    </xdr:from>
    <xdr:to>
      <xdr:col>28</xdr:col>
      <xdr:colOff>42620</xdr:colOff>
      <xdr:row>13</xdr:row>
      <xdr:rowOff>6520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89E4D45-0450-400F-B4D6-DC9B326B8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27543</xdr:colOff>
      <xdr:row>13</xdr:row>
      <xdr:rowOff>9181</xdr:rowOff>
    </xdr:from>
    <xdr:to>
      <xdr:col>20</xdr:col>
      <xdr:colOff>27543</xdr:colOff>
      <xdr:row>27</xdr:row>
      <xdr:rowOff>9181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CD15492-DCF2-403C-99A9-13B9F8432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27543</xdr:colOff>
      <xdr:row>13</xdr:row>
      <xdr:rowOff>9181</xdr:rowOff>
    </xdr:from>
    <xdr:to>
      <xdr:col>28</xdr:col>
      <xdr:colOff>27543</xdr:colOff>
      <xdr:row>27</xdr:row>
      <xdr:rowOff>9181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D54E5B7-B89F-4F88-9B4D-6A9D69E04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22</xdr:col>
      <xdr:colOff>502086</xdr:colOff>
      <xdr:row>14</xdr:row>
      <xdr:rowOff>79705</xdr:rowOff>
    </xdr:from>
    <xdr:to>
      <xdr:col>25</xdr:col>
      <xdr:colOff>391595</xdr:colOff>
      <xdr:row>15</xdr:row>
      <xdr:rowOff>161503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8A7975-C82D-4B50-B9E6-74179DF5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3866" y="2792425"/>
          <a:ext cx="1714499" cy="2761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12</xdr:col>
      <xdr:colOff>15240</xdr:colOff>
      <xdr:row>10</xdr:row>
      <xdr:rowOff>121140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163411E-16E3-4605-8DA3-197407DA4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21030</xdr:colOff>
      <xdr:row>10</xdr:row>
      <xdr:rowOff>121140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CDDF9ED-8FF9-4D66-BEC2-D356D3385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20</xdr:col>
      <xdr:colOff>21030</xdr:colOff>
      <xdr:row>10</xdr:row>
      <xdr:rowOff>121140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658976B-C009-4942-9735-7250E4B31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24</xdr:col>
      <xdr:colOff>21030</xdr:colOff>
      <xdr:row>10</xdr:row>
      <xdr:rowOff>121140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A823C1-BFF6-4BA6-AB90-9B7D386EF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</xdr:row>
      <xdr:rowOff>124460</xdr:rowOff>
    </xdr:from>
    <xdr:to>
      <xdr:col>16</xdr:col>
      <xdr:colOff>0</xdr:colOff>
      <xdr:row>21</xdr:row>
      <xdr:rowOff>151130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086687-23AA-4852-9325-B788FB4EC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UAntwerp">
  <a:themeElements>
    <a:clrScheme name="Kleuren_universiteitAntwerpen">
      <a:dk1>
        <a:srgbClr val="002E65"/>
      </a:dk1>
      <a:lt1>
        <a:srgbClr val="FFFFFF"/>
      </a:lt1>
      <a:dk2>
        <a:srgbClr val="002E65"/>
      </a:dk2>
      <a:lt2>
        <a:srgbClr val="BBCCCC"/>
      </a:lt2>
      <a:accent1>
        <a:srgbClr val="002E65"/>
      </a:accent1>
      <a:accent2>
        <a:srgbClr val="EA2C38"/>
      </a:accent2>
      <a:accent3>
        <a:srgbClr val="44B8F3"/>
      </a:accent3>
      <a:accent4>
        <a:srgbClr val="ADA500"/>
      </a:accent4>
      <a:accent5>
        <a:srgbClr val="AC242A"/>
      </a:accent5>
      <a:accent6>
        <a:srgbClr val="65A812"/>
      </a:accent6>
      <a:hlink>
        <a:srgbClr val="006CA9"/>
      </a:hlink>
      <a:folHlink>
        <a:srgbClr val="B100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accent1"/>
        </a:solidFill>
        <a:ln>
          <a:noFill/>
        </a:ln>
        <a:extLs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a:spPr>
      <a:bodyPr lIns="180000" tIns="180000" rIns="180000" bIns="180000" anchor="ctr"/>
      <a:lstStyle>
        <a:defPPr marL="179388" indent="-179388">
          <a:spcAft>
            <a:spcPts val="450"/>
          </a:spcAft>
          <a:buFont typeface="Arial" charset="0"/>
          <a:buChar char="•"/>
          <a:defRPr sz="1600" dirty="0">
            <a:latin typeface="Verdana" charset="0"/>
            <a:ea typeface="Verdana Regular" charset="0"/>
            <a:cs typeface="Verdana Regular" charset="0"/>
            <a:sym typeface="Securitas Sans Light" charset="0"/>
          </a:defRPr>
        </a:defPPr>
      </a:lstStyle>
    </a:spDef>
    <a:lnDef>
      <a:spPr>
        <a:ln>
          <a:tailEnd type="arrow"/>
        </a:ln>
        <a:effectLst/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2800" b="1" dirty="0">
            <a:solidFill>
              <a:schemeClr val="bg1"/>
            </a:solidFill>
            <a:latin typeface="Gotham" panose="02000603040000020004" pitchFamily="2" charset="0"/>
            <a:ea typeface="Verdana" panose="020B0604030504040204" pitchFamily="34" charset="0"/>
            <a:cs typeface="Verdana" panose="020B060403050404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UAntwerp" id="{1D1379AE-4743-4803-9D35-C0D1FE793AAE}" vid="{44F15588-DFEB-4C67-93E5-2379B388FF0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AIM43001.2020.9158893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nick.vanoosterwyck@uantwerp.be" TargetMode="External"/><Relationship Id="rId1" Type="http://schemas.openxmlformats.org/officeDocument/2006/relationships/hyperlink" Target="https://support.microsoft.com/en-us/office/load-the-solver-add-in-in-excel-612926fc-d53b-46b4-872c-e24772f078c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exceljet.net/dynamic-array-formulas-in-excel" TargetMode="External"/><Relationship Id="rId4" Type="http://schemas.openxmlformats.org/officeDocument/2006/relationships/hyperlink" Target="https://doi.org/10.1109/ICCA.2019.889972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7535-4B54-4A2E-BB88-A5C13C7932B3}">
  <dimension ref="B2:M60"/>
  <sheetViews>
    <sheetView tabSelected="1" zoomScaleNormal="100" workbookViewId="0">
      <selection activeCell="G63" sqref="G63"/>
    </sheetView>
  </sheetViews>
  <sheetFormatPr defaultRowHeight="14.4"/>
  <cols>
    <col min="1" max="2" width="2.44140625" customWidth="1"/>
    <col min="13" max="13" width="8.88671875" style="32"/>
  </cols>
  <sheetData>
    <row r="2" spans="2:13" ht="23.4">
      <c r="B2" s="3" t="s">
        <v>0</v>
      </c>
    </row>
    <row r="4" spans="2:13" ht="44.1" customHeight="1">
      <c r="B4" s="72" t="s">
        <v>1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</row>
    <row r="6" spans="2:13">
      <c r="B6" s="34" t="s">
        <v>2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35"/>
    </row>
    <row r="7" spans="2:13">
      <c r="B7" s="34"/>
      <c r="C7" s="34" t="s">
        <v>3</v>
      </c>
      <c r="D7" s="19"/>
      <c r="E7" s="19"/>
      <c r="F7" s="19"/>
      <c r="G7" s="19"/>
      <c r="H7" s="19"/>
      <c r="I7" s="19"/>
      <c r="J7" s="19"/>
      <c r="K7" s="19"/>
      <c r="L7" s="19"/>
      <c r="M7" s="35"/>
    </row>
    <row r="8" spans="2:13">
      <c r="B8" s="19"/>
      <c r="C8" s="19" t="s">
        <v>148</v>
      </c>
      <c r="D8" s="19"/>
      <c r="E8" s="19"/>
      <c r="F8" s="19"/>
      <c r="G8" s="19"/>
      <c r="H8" s="19"/>
      <c r="I8" s="19"/>
      <c r="J8" s="19"/>
      <c r="K8" s="19"/>
      <c r="L8" s="19"/>
      <c r="M8" s="35"/>
    </row>
    <row r="9" spans="2:13">
      <c r="B9" s="19"/>
      <c r="C9" s="19" t="s">
        <v>4</v>
      </c>
      <c r="D9" s="19"/>
      <c r="E9" s="19"/>
      <c r="F9" s="19"/>
      <c r="G9" s="19"/>
      <c r="H9" s="19"/>
      <c r="I9" s="19"/>
      <c r="J9" s="19"/>
      <c r="K9" s="19"/>
      <c r="L9" s="19"/>
      <c r="M9" s="35"/>
    </row>
    <row r="10" spans="2:13">
      <c r="B10" s="19"/>
      <c r="C10" s="19" t="s">
        <v>5</v>
      </c>
      <c r="D10" s="19"/>
      <c r="E10" s="19"/>
      <c r="F10" s="19"/>
      <c r="G10" s="19"/>
      <c r="H10" s="19"/>
      <c r="I10" s="19"/>
      <c r="J10" s="19"/>
      <c r="K10" s="19"/>
      <c r="L10" s="19"/>
      <c r="M10" s="35"/>
    </row>
    <row r="11" spans="2:13">
      <c r="B11" s="19"/>
      <c r="C11" s="19" t="s">
        <v>6</v>
      </c>
      <c r="D11" s="19"/>
      <c r="E11" s="19"/>
      <c r="F11" s="19"/>
      <c r="G11" s="19"/>
      <c r="H11" s="19"/>
      <c r="I11" s="19"/>
      <c r="J11" s="19"/>
      <c r="K11" s="19"/>
      <c r="L11" s="19"/>
      <c r="M11" s="35"/>
    </row>
    <row r="12" spans="2:13">
      <c r="B12" s="19"/>
      <c r="C12" s="19" t="s">
        <v>7</v>
      </c>
      <c r="D12" s="19"/>
      <c r="E12" s="19"/>
      <c r="F12" s="19"/>
      <c r="G12" s="19"/>
      <c r="H12" s="19"/>
      <c r="I12" s="19"/>
      <c r="J12" s="19"/>
      <c r="K12" s="19"/>
      <c r="L12" s="19"/>
      <c r="M12" s="35"/>
    </row>
    <row r="13" spans="2:13">
      <c r="B13" s="19"/>
      <c r="C13" s="19" t="s">
        <v>8</v>
      </c>
      <c r="D13" s="19"/>
      <c r="E13" s="19"/>
      <c r="F13" s="19"/>
      <c r="G13" s="19"/>
      <c r="H13" s="19"/>
      <c r="I13" s="19"/>
      <c r="J13" s="19"/>
      <c r="K13" s="19"/>
      <c r="L13" s="19"/>
      <c r="M13" s="35"/>
    </row>
    <row r="14" spans="2:13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35"/>
    </row>
    <row r="15" spans="2:13">
      <c r="B15" s="19"/>
      <c r="C15" s="34" t="s">
        <v>9</v>
      </c>
      <c r="D15" s="19"/>
      <c r="E15" s="19"/>
      <c r="F15" s="19"/>
      <c r="G15" s="19"/>
      <c r="H15" s="19"/>
      <c r="I15" s="19"/>
      <c r="J15" s="19"/>
      <c r="K15" s="19"/>
      <c r="L15" s="19"/>
      <c r="M15" s="35"/>
    </row>
    <row r="16" spans="2:13" ht="60" customHeight="1">
      <c r="B16" s="19"/>
      <c r="C16" s="71" t="s">
        <v>10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8" spans="2:13">
      <c r="B18" s="34" t="s">
        <v>11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35"/>
    </row>
    <row r="19" spans="2:13">
      <c r="B19" s="19"/>
      <c r="C19" s="19" t="s">
        <v>12</v>
      </c>
      <c r="D19" s="19"/>
      <c r="E19" s="19"/>
      <c r="F19" s="19"/>
      <c r="G19" s="19"/>
      <c r="H19" s="19"/>
      <c r="I19" s="19"/>
      <c r="J19" s="19"/>
      <c r="K19" s="19"/>
      <c r="L19" s="19"/>
      <c r="M19" s="35"/>
    </row>
    <row r="20" spans="2:13">
      <c r="B20" s="19"/>
      <c r="C20" s="19" t="s">
        <v>13</v>
      </c>
      <c r="D20" s="19"/>
      <c r="E20" s="19"/>
      <c r="F20" s="19"/>
      <c r="G20" s="19"/>
      <c r="H20" s="19"/>
      <c r="I20" s="19"/>
      <c r="J20" s="19"/>
      <c r="K20" s="19"/>
      <c r="L20" s="19"/>
      <c r="M20" s="35"/>
    </row>
    <row r="21" spans="2:13">
      <c r="B21" s="19"/>
      <c r="C21" s="19" t="s">
        <v>14</v>
      </c>
      <c r="D21" s="19"/>
      <c r="E21" s="19"/>
      <c r="F21" s="19"/>
      <c r="G21" s="19"/>
      <c r="H21" s="19"/>
      <c r="I21" s="19"/>
      <c r="J21" s="19"/>
      <c r="K21" s="19"/>
      <c r="L21" s="19"/>
      <c r="M21" s="35"/>
    </row>
    <row r="22" spans="2:13">
      <c r="B22" s="19"/>
      <c r="C22" s="19" t="s">
        <v>15</v>
      </c>
      <c r="D22" s="19"/>
      <c r="E22" s="19"/>
      <c r="F22" s="19"/>
      <c r="G22" s="19"/>
      <c r="H22" s="19"/>
      <c r="I22" s="19"/>
      <c r="J22" s="19"/>
      <c r="K22" s="19"/>
      <c r="L22" s="19"/>
      <c r="M22" s="35"/>
    </row>
    <row r="23" spans="2:13">
      <c r="B23" s="19"/>
      <c r="C23" s="19" t="s">
        <v>16</v>
      </c>
      <c r="D23" s="19"/>
      <c r="E23" s="19"/>
      <c r="F23" s="19"/>
      <c r="G23" s="19"/>
      <c r="H23" s="19"/>
      <c r="I23" s="19"/>
      <c r="J23" s="19"/>
      <c r="K23" s="19"/>
      <c r="L23" s="19"/>
      <c r="M23" s="35"/>
    </row>
    <row r="24" spans="2:13"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6"/>
    </row>
    <row r="25" spans="2:13">
      <c r="B25" s="34" t="s">
        <v>136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35"/>
    </row>
    <row r="26" spans="2:13">
      <c r="B26" s="19"/>
      <c r="C26" s="19" t="s">
        <v>137</v>
      </c>
      <c r="D26" s="19"/>
      <c r="E26" s="19"/>
      <c r="F26" s="19"/>
      <c r="G26" s="19"/>
      <c r="H26" s="19"/>
      <c r="I26" s="19"/>
      <c r="J26" s="19"/>
      <c r="K26" s="19"/>
      <c r="L26" s="19"/>
      <c r="M26" s="35"/>
    </row>
    <row r="27" spans="2:13">
      <c r="B27" s="19"/>
      <c r="C27" s="19" t="s">
        <v>139</v>
      </c>
      <c r="D27" s="19"/>
      <c r="E27" s="19"/>
      <c r="F27" s="19"/>
      <c r="G27" s="19"/>
      <c r="H27" s="19"/>
      <c r="I27" s="19"/>
      <c r="J27" s="19"/>
      <c r="K27" s="19"/>
      <c r="L27" s="19"/>
      <c r="M27" s="35"/>
    </row>
    <row r="28" spans="2:13">
      <c r="B28" s="19"/>
      <c r="C28" s="19" t="s">
        <v>138</v>
      </c>
      <c r="D28" s="36" t="s">
        <v>20</v>
      </c>
      <c r="E28" s="19"/>
      <c r="F28" s="19"/>
      <c r="G28" s="19"/>
      <c r="H28" s="19"/>
      <c r="I28" s="19"/>
      <c r="J28" s="19"/>
      <c r="K28" s="19"/>
      <c r="L28" s="19"/>
      <c r="M28" s="35"/>
    </row>
    <row r="30" spans="2:13">
      <c r="B30" s="34" t="s">
        <v>17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35"/>
    </row>
    <row r="31" spans="2:13">
      <c r="B31" s="19"/>
      <c r="C31" s="19" t="s">
        <v>18</v>
      </c>
      <c r="D31" s="19"/>
      <c r="E31" s="19"/>
      <c r="F31" s="19"/>
      <c r="G31" s="19"/>
      <c r="H31" s="19"/>
      <c r="I31" s="19"/>
      <c r="J31" s="19"/>
      <c r="K31" s="19"/>
      <c r="L31" s="19"/>
      <c r="M31" s="35"/>
    </row>
    <row r="32" spans="2:13">
      <c r="B32" s="19"/>
      <c r="C32" s="19" t="s">
        <v>19</v>
      </c>
      <c r="D32" s="19"/>
      <c r="E32" s="19"/>
      <c r="F32" s="19"/>
      <c r="G32" s="19"/>
      <c r="H32" s="19"/>
      <c r="I32" s="19"/>
      <c r="J32" s="19"/>
      <c r="K32" s="19"/>
      <c r="L32" s="19"/>
      <c r="M32" s="35"/>
    </row>
    <row r="33" spans="2:13">
      <c r="B33" s="19"/>
      <c r="C33" s="19" t="s">
        <v>138</v>
      </c>
      <c r="D33" s="36" t="s">
        <v>20</v>
      </c>
      <c r="E33" s="19"/>
      <c r="F33" s="19"/>
      <c r="G33" s="19"/>
      <c r="H33" s="19"/>
      <c r="I33" s="19"/>
      <c r="J33" s="19"/>
      <c r="K33" s="19"/>
      <c r="L33" s="19"/>
      <c r="M33" s="35"/>
    </row>
    <row r="34" spans="2:13">
      <c r="D34" s="18"/>
    </row>
    <row r="35" spans="2:13">
      <c r="B35" s="34" t="s">
        <v>150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35"/>
    </row>
    <row r="36" spans="2:13">
      <c r="B36" s="34"/>
      <c r="C36" s="19" t="s">
        <v>149</v>
      </c>
      <c r="D36" s="19"/>
      <c r="E36" s="19"/>
      <c r="F36" s="19"/>
      <c r="G36" s="19"/>
      <c r="H36" s="19"/>
      <c r="I36" s="19"/>
      <c r="J36" s="19"/>
      <c r="K36" s="19"/>
      <c r="L36" s="19"/>
      <c r="M36" s="35"/>
    </row>
    <row r="37" spans="2:13">
      <c r="B37" s="34"/>
      <c r="C37" s="19" t="s">
        <v>21</v>
      </c>
      <c r="D37" s="19"/>
      <c r="E37" s="19"/>
      <c r="F37" s="19"/>
      <c r="G37" s="19"/>
      <c r="H37" s="19"/>
      <c r="I37" s="19"/>
      <c r="J37" s="19"/>
      <c r="K37" s="19"/>
      <c r="L37" s="19"/>
      <c r="M37" s="35"/>
    </row>
    <row r="38" spans="2:13" ht="14.4" customHeight="1">
      <c r="B38" s="34"/>
      <c r="C38" s="19" t="s">
        <v>22</v>
      </c>
      <c r="D38" s="19"/>
      <c r="E38" s="19"/>
      <c r="F38" s="19"/>
      <c r="G38" s="19"/>
      <c r="H38" s="19"/>
      <c r="I38" s="19"/>
      <c r="J38" s="19"/>
      <c r="K38" s="19"/>
      <c r="L38" s="19"/>
      <c r="M38" s="35"/>
    </row>
    <row r="39" spans="2:13">
      <c r="B39" s="34"/>
      <c r="C39" s="19" t="s">
        <v>151</v>
      </c>
      <c r="D39" s="19"/>
      <c r="E39" s="19"/>
      <c r="F39" s="19"/>
      <c r="G39" s="19"/>
      <c r="H39" s="19"/>
      <c r="I39" s="19"/>
      <c r="J39" s="19"/>
      <c r="K39" s="19"/>
      <c r="L39" s="19"/>
      <c r="M39" s="35"/>
    </row>
    <row r="40" spans="2:13">
      <c r="B40" s="1"/>
    </row>
    <row r="41" spans="2:13">
      <c r="B41" s="34" t="s">
        <v>23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35"/>
    </row>
    <row r="42" spans="2:13" ht="14.4" customHeight="1">
      <c r="B42" s="19"/>
      <c r="C42" s="19" t="s">
        <v>152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2:13">
      <c r="B43" s="19"/>
      <c r="C43" s="19" t="s">
        <v>154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spans="2:13">
      <c r="B44" s="19"/>
      <c r="C44" s="19" t="s">
        <v>153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6" spans="2:13">
      <c r="B46" s="34" t="s">
        <v>24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35"/>
    </row>
    <row r="47" spans="2:13">
      <c r="B47" s="19"/>
      <c r="C47" s="19" t="s">
        <v>25</v>
      </c>
      <c r="D47" s="19"/>
      <c r="E47" s="19"/>
      <c r="F47" s="19"/>
      <c r="G47" s="19"/>
      <c r="H47" s="19"/>
      <c r="I47" s="19"/>
      <c r="J47" s="19"/>
      <c r="K47" s="19"/>
      <c r="L47" s="19"/>
      <c r="M47" s="35"/>
    </row>
    <row r="48" spans="2:13">
      <c r="B48" s="19"/>
      <c r="C48" s="19" t="s">
        <v>26</v>
      </c>
      <c r="D48" s="19"/>
      <c r="E48" s="19"/>
      <c r="F48" s="19"/>
      <c r="G48" s="19"/>
      <c r="H48" s="19"/>
      <c r="I48" s="19"/>
      <c r="J48" s="19"/>
      <c r="K48" s="19"/>
      <c r="L48" s="19"/>
      <c r="M48" s="35"/>
    </row>
    <row r="49" spans="2:13">
      <c r="B49" s="19"/>
      <c r="C49" s="19" t="s">
        <v>27</v>
      </c>
      <c r="D49" s="19"/>
      <c r="E49" s="19"/>
      <c r="F49" s="19"/>
      <c r="G49" s="19"/>
      <c r="H49" s="19"/>
      <c r="I49" s="19"/>
      <c r="J49" s="19"/>
      <c r="K49" s="19"/>
      <c r="L49" s="19"/>
      <c r="M49" s="35"/>
    </row>
    <row r="50" spans="2:13">
      <c r="B50" s="19"/>
      <c r="C50" s="19" t="s">
        <v>28</v>
      </c>
      <c r="D50" s="19"/>
      <c r="E50" s="19"/>
      <c r="F50" s="19"/>
      <c r="G50" s="19"/>
      <c r="H50" s="19"/>
      <c r="I50" s="19"/>
      <c r="J50" s="19"/>
      <c r="K50" s="19"/>
      <c r="L50" s="19"/>
      <c r="M50" s="35"/>
    </row>
    <row r="52" spans="2:13">
      <c r="B52" s="34" t="s">
        <v>29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35"/>
    </row>
    <row r="53" spans="2:13" ht="14.4" customHeight="1">
      <c r="B53" s="19"/>
      <c r="C53" s="19" t="s">
        <v>30</v>
      </c>
      <c r="D53" s="19"/>
      <c r="E53" s="19"/>
      <c r="F53" s="19"/>
      <c r="G53" s="19"/>
      <c r="H53" s="19"/>
      <c r="I53" s="19"/>
      <c r="J53" s="19"/>
      <c r="K53" s="19"/>
      <c r="L53" s="19"/>
      <c r="M53" s="35"/>
    </row>
    <row r="54" spans="2:13" ht="14.4" customHeight="1">
      <c r="B54" s="19"/>
      <c r="C54" s="19" t="s">
        <v>31</v>
      </c>
      <c r="D54" s="36" t="s">
        <v>32</v>
      </c>
      <c r="E54" s="19"/>
      <c r="F54" s="19"/>
      <c r="G54" s="19"/>
      <c r="H54" s="19"/>
      <c r="I54" s="19"/>
      <c r="J54" s="19"/>
      <c r="K54" s="19"/>
      <c r="L54" s="19"/>
      <c r="M54" s="35"/>
    </row>
    <row r="56" spans="2:13">
      <c r="B56" s="34" t="s">
        <v>33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35"/>
    </row>
    <row r="57" spans="2:13" ht="43.2" customHeight="1">
      <c r="B57" s="34"/>
      <c r="C57" s="71" t="s">
        <v>140</v>
      </c>
      <c r="D57" s="71"/>
      <c r="E57" s="71"/>
      <c r="F57" s="71"/>
      <c r="G57" s="71"/>
      <c r="H57" s="71"/>
      <c r="I57" s="71"/>
      <c r="J57" s="71"/>
      <c r="K57" s="71"/>
      <c r="L57" s="71"/>
      <c r="M57" s="37" t="s">
        <v>20</v>
      </c>
    </row>
    <row r="58" spans="2:13" ht="43.2" customHeight="1">
      <c r="B58" s="34"/>
      <c r="C58" s="71" t="s">
        <v>141</v>
      </c>
      <c r="D58" s="71"/>
      <c r="E58" s="71"/>
      <c r="F58" s="71"/>
      <c r="G58" s="71"/>
      <c r="H58" s="71"/>
      <c r="I58" s="71"/>
      <c r="J58" s="71"/>
      <c r="K58" s="71"/>
      <c r="L58" s="71"/>
      <c r="M58" s="37" t="s">
        <v>20</v>
      </c>
    </row>
    <row r="60" spans="2:13">
      <c r="M60" s="7" t="s">
        <v>155</v>
      </c>
    </row>
  </sheetData>
  <mergeCells count="4">
    <mergeCell ref="B4:M4"/>
    <mergeCell ref="C58:L58"/>
    <mergeCell ref="C16:M16"/>
    <mergeCell ref="C57:L57"/>
  </mergeCells>
  <hyperlinks>
    <hyperlink ref="D33" r:id="rId1" xr:uid="{71FE1E44-F461-4E85-B286-27FE8D076DBF}"/>
    <hyperlink ref="D54" r:id="rId2" xr:uid="{7A87AC8E-A9D4-494A-9D26-A37ADAAD62E3}"/>
    <hyperlink ref="M57" r:id="rId3" xr:uid="{847A20D8-84D2-4589-96BB-5303FB5049EC}"/>
    <hyperlink ref="M58" r:id="rId4" display="link" xr:uid="{F1ED52C8-E006-4001-B049-D5AAE8265573}"/>
    <hyperlink ref="D28" r:id="rId5" xr:uid="{E2A350EB-F2A3-41D8-8C18-C7AE77163D7D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4BE1-03E9-4DC2-9295-DAE707F72880}">
  <sheetPr codeName="Sheet3"/>
  <dimension ref="B1:K3608"/>
  <sheetViews>
    <sheetView workbookViewId="0">
      <selection activeCell="T43" sqref="T43"/>
    </sheetView>
  </sheetViews>
  <sheetFormatPr defaultRowHeight="14.4"/>
  <cols>
    <col min="1" max="1" width="2.109375" customWidth="1"/>
    <col min="2" max="2" width="3.44140625" customWidth="1"/>
    <col min="3" max="5" width="8.88671875" style="20"/>
    <col min="6" max="6" width="10" style="20" customWidth="1"/>
    <col min="7" max="8" width="8.88671875" style="20"/>
    <col min="9" max="9" width="5" style="2" bestFit="1" customWidth="1"/>
    <col min="10" max="10" width="10.44140625" customWidth="1"/>
    <col min="11" max="11" width="11.88671875" customWidth="1"/>
    <col min="12" max="12" width="4.44140625" customWidth="1"/>
  </cols>
  <sheetData>
    <row r="1" spans="2:11" ht="8.4" customHeight="1">
      <c r="C1"/>
      <c r="D1"/>
      <c r="E1"/>
      <c r="F1"/>
      <c r="G1"/>
      <c r="H1"/>
    </row>
    <row r="2" spans="2:11" ht="23.4">
      <c r="B2" s="3" t="s">
        <v>34</v>
      </c>
      <c r="C2"/>
      <c r="D2"/>
      <c r="E2"/>
      <c r="F2"/>
      <c r="G2"/>
      <c r="H2"/>
    </row>
    <row r="3" spans="2:11" ht="14.4" customHeight="1">
      <c r="C3"/>
      <c r="D3"/>
      <c r="E3"/>
      <c r="F3"/>
      <c r="G3"/>
      <c r="H3"/>
    </row>
    <row r="4" spans="2:11" ht="14.4" customHeight="1">
      <c r="C4" s="20" t="s">
        <v>35</v>
      </c>
      <c r="F4"/>
      <c r="G4"/>
      <c r="H4"/>
    </row>
    <row r="5" spans="2:11" ht="14.4" customHeight="1">
      <c r="C5"/>
      <c r="D5"/>
      <c r="E5"/>
      <c r="F5"/>
      <c r="G5"/>
      <c r="H5"/>
    </row>
    <row r="6" spans="2:11" ht="14.4" customHeight="1">
      <c r="C6" s="75" t="s">
        <v>36</v>
      </c>
      <c r="D6" s="76"/>
      <c r="E6" s="77" t="s">
        <v>37</v>
      </c>
      <c r="F6" s="78"/>
      <c r="G6" s="73" t="s">
        <v>38</v>
      </c>
      <c r="H6" s="74"/>
      <c r="I6" s="79" t="s">
        <v>39</v>
      </c>
      <c r="J6" s="79"/>
      <c r="K6" s="79"/>
    </row>
    <row r="7" spans="2:11" ht="30">
      <c r="C7" s="25" t="s">
        <v>40</v>
      </c>
      <c r="D7" s="25" t="s">
        <v>41</v>
      </c>
      <c r="E7" s="27" t="s">
        <v>42</v>
      </c>
      <c r="F7" s="28" t="s">
        <v>43</v>
      </c>
      <c r="G7" s="29" t="s">
        <v>40</v>
      </c>
      <c r="H7" s="29" t="s">
        <v>44</v>
      </c>
      <c r="I7" s="30" t="s">
        <v>45</v>
      </c>
      <c r="J7" s="31" t="s">
        <v>40</v>
      </c>
      <c r="K7" s="31" t="s">
        <v>46</v>
      </c>
    </row>
    <row r="8" spans="2:11" s="8" customFormat="1">
      <c r="C8" s="20">
        <v>0</v>
      </c>
      <c r="D8" s="20">
        <v>0.1025359665978</v>
      </c>
      <c r="E8" s="20">
        <v>0</v>
      </c>
      <c r="F8" s="20">
        <v>0</v>
      </c>
      <c r="G8" s="20">
        <v>0</v>
      </c>
      <c r="H8" s="20">
        <v>3.6499468900000002E-3</v>
      </c>
      <c r="I8" s="2" cm="1">
        <f t="array" aca="1" ref="I8:I3608" ca="1">ROW(INDIRECT(1&amp;":"&amp;COUNT(prop.J_x)))</f>
        <v>1</v>
      </c>
      <c r="J8" cm="1">
        <f t="array" aca="1" ref="J8:J3608" ca="1">prop.J_x</f>
        <v>0</v>
      </c>
      <c r="K8" s="26" cm="1">
        <f t="array" aca="1" ref="K8:K3608" ca="1">(IFERROR(INDEX(prop.J_y,prop.dJ_i+1),INDEX(prop.J_y,COUNT(prop.J_x)))-INDEX(prop.J_y,prop.dJ_i-1))/(IFERROR(INDEX(prop.J_x,prop.dJ_i+1),INDEX(prop.J_x,COUNT(prop.J_x)))-INDEX(prop.J_x,prop.dJ_i-1))</f>
        <v>6.4224695402142974E-5</v>
      </c>
    </row>
    <row r="9" spans="2:11">
      <c r="C9" s="20">
        <v>1.7453292519943299E-2</v>
      </c>
      <c r="D9" s="20">
        <v>0.12380594846490001</v>
      </c>
      <c r="E9" s="24"/>
      <c r="G9" s="20">
        <v>1.7453292519943296E-3</v>
      </c>
      <c r="H9" s="20">
        <v>3.650058983239586E-3</v>
      </c>
      <c r="I9" s="2">
        <f ca="1"/>
        <v>2</v>
      </c>
      <c r="J9">
        <f ca="1"/>
        <v>1.7453292519943296E-3</v>
      </c>
      <c r="K9">
        <f ca="1"/>
        <v>8.6716022407723383E-5</v>
      </c>
    </row>
    <row r="10" spans="2:11">
      <c r="C10" s="20">
        <v>3.4906585039886591E-2</v>
      </c>
      <c r="D10" s="20">
        <v>0.14494880092700002</v>
      </c>
      <c r="G10" s="20">
        <v>3.4906585039886592E-3</v>
      </c>
      <c r="H10" s="20">
        <v>3.6502495860210498E-3</v>
      </c>
      <c r="I10" s="2">
        <f ca="1"/>
        <v>3</v>
      </c>
      <c r="J10">
        <f ca="1"/>
        <v>3.4906585039886592E-3</v>
      </c>
      <c r="K10">
        <f ca="1"/>
        <v>1.3167710345682852E-4</v>
      </c>
    </row>
    <row r="11" spans="2:11">
      <c r="C11" s="20">
        <v>5.2359877559829883E-2</v>
      </c>
      <c r="D11" s="20">
        <v>0.1659316659956</v>
      </c>
      <c r="G11" s="20">
        <v>5.2359877559829881E-3</v>
      </c>
      <c r="H11" s="20">
        <v>3.6505186230405481E-3</v>
      </c>
      <c r="I11" s="2">
        <f ca="1"/>
        <v>4</v>
      </c>
      <c r="J11">
        <f ca="1"/>
        <v>5.2359877559829881E-3</v>
      </c>
      <c r="K11">
        <f ca="1"/>
        <v>1.7659553756860995E-4</v>
      </c>
    </row>
    <row r="12" spans="2:11">
      <c r="C12" s="20">
        <v>6.9813170079773182E-2</v>
      </c>
      <c r="D12" s="20">
        <v>0.1867223085775</v>
      </c>
      <c r="G12" s="20">
        <v>6.9813170079773184E-3</v>
      </c>
      <c r="H12" s="20">
        <v>3.6508660207360301E-3</v>
      </c>
      <c r="I12" s="2">
        <f ca="1"/>
        <v>5</v>
      </c>
      <c r="J12">
        <f ca="1"/>
        <v>6.9813170079773184E-3</v>
      </c>
      <c r="K12">
        <f ca="1"/>
        <v>2.2147090454396171E-4</v>
      </c>
    </row>
    <row r="13" spans="2:11">
      <c r="C13" s="20">
        <v>8.7266462599716474E-2</v>
      </c>
      <c r="D13" s="20">
        <v>0.20728917531969998</v>
      </c>
      <c r="G13" s="20">
        <v>8.7266462599716477E-3</v>
      </c>
      <c r="H13" s="20">
        <v>3.6512917023368806E-3</v>
      </c>
      <c r="I13" s="2">
        <f ca="1"/>
        <v>6</v>
      </c>
      <c r="J13">
        <f ca="1"/>
        <v>8.7266462599716477E-3</v>
      </c>
      <c r="K13">
        <f ca="1"/>
        <v>2.6630168608472596E-4</v>
      </c>
    </row>
    <row r="14" spans="2:11">
      <c r="C14" s="20">
        <v>0.10471975511965977</v>
      </c>
      <c r="D14" s="20">
        <v>0.2276014495474</v>
      </c>
      <c r="G14" s="20">
        <v>1.0471975511965976E-2</v>
      </c>
      <c r="H14" s="20">
        <v>3.6517955889811883E-3</v>
      </c>
      <c r="I14" s="2">
        <f ca="1"/>
        <v>7</v>
      </c>
      <c r="J14">
        <f ca="1"/>
        <v>1.0471975511965976E-2</v>
      </c>
      <c r="K14">
        <f ca="1"/>
        <v>3.1108836148086288E-4</v>
      </c>
    </row>
    <row r="15" spans="2:11">
      <c r="C15" s="20">
        <v>0.12217304763960307</v>
      </c>
      <c r="D15" s="20">
        <v>0.24762910224279999</v>
      </c>
      <c r="G15" s="20">
        <v>1.2217304763960306E-2</v>
      </c>
      <c r="H15" s="20">
        <v>3.6523776055713757E-3</v>
      </c>
      <c r="I15" s="2">
        <f ca="1"/>
        <v>8</v>
      </c>
      <c r="J15">
        <f ca="1"/>
        <v>1.2217304763960306E-2</v>
      </c>
      <c r="K15">
        <f ca="1"/>
        <v>3.5582836357785173E-4</v>
      </c>
    </row>
    <row r="16" spans="2:11">
      <c r="C16" s="20">
        <v>0.13962634015954636</v>
      </c>
      <c r="D16" s="20">
        <v>0.26734293903060008</v>
      </c>
      <c r="G16" s="20">
        <v>1.3962634015954637E-2</v>
      </c>
      <c r="H16" s="20">
        <v>3.6530376642844717E-3</v>
      </c>
      <c r="I16" s="2">
        <f ca="1"/>
        <v>9</v>
      </c>
      <c r="J16">
        <f ca="1"/>
        <v>1.3962634015954637E-2</v>
      </c>
      <c r="K16">
        <f ca="1"/>
        <v>4.0051923355347404E-4</v>
      </c>
    </row>
    <row r="17" spans="3:11">
      <c r="C17" s="20">
        <v>0.15707963267948966</v>
      </c>
      <c r="D17" s="20">
        <v>0.28671464314150003</v>
      </c>
      <c r="G17" s="20">
        <v>1.5707963267948963E-2</v>
      </c>
      <c r="H17" s="20">
        <v>3.6537756814399901E-3</v>
      </c>
      <c r="I17" s="2">
        <f ca="1"/>
        <v>10</v>
      </c>
      <c r="J17">
        <f ca="1"/>
        <v>1.5707963267948963E-2</v>
      </c>
      <c r="K17">
        <f ca="1"/>
        <v>4.4516428047657351E-4</v>
      </c>
    </row>
    <row r="18" spans="3:11">
      <c r="C18" s="20">
        <v>0.17453292519943295</v>
      </c>
      <c r="D18" s="20">
        <v>0.30571681440319998</v>
      </c>
      <c r="G18" s="20">
        <v>1.7453292519943295E-2</v>
      </c>
      <c r="H18" s="20">
        <v>3.6545915807657892E-3</v>
      </c>
      <c r="I18" s="2">
        <f ca="1"/>
        <v>11</v>
      </c>
      <c r="J18">
        <f ca="1"/>
        <v>1.7453292519943295E-2</v>
      </c>
      <c r="K18">
        <f ca="1"/>
        <v>4.8976414941880226E-4</v>
      </c>
    </row>
    <row r="19" spans="3:11">
      <c r="C19" s="20">
        <v>0.19198621771937624</v>
      </c>
      <c r="D19" s="20">
        <v>0.3243230042586</v>
      </c>
      <c r="G19" s="20">
        <v>1.9198621771937627E-2</v>
      </c>
      <c r="H19" s="20">
        <v>3.6554852808331076E-3</v>
      </c>
      <c r="I19" s="2">
        <f ca="1"/>
        <v>12</v>
      </c>
      <c r="J19">
        <f ca="1"/>
        <v>1.9198621771937627E-2</v>
      </c>
      <c r="K19">
        <f ca="1"/>
        <v>5.3431340733565915E-4</v>
      </c>
    </row>
    <row r="20" spans="3:11">
      <c r="C20" s="20">
        <v>0.20943951023931953</v>
      </c>
      <c r="D20" s="20">
        <v>0.3425077468885</v>
      </c>
      <c r="G20" s="20">
        <v>2.0943951023931952E-2</v>
      </c>
      <c r="H20" s="20">
        <v>3.6564566864049006E-3</v>
      </c>
      <c r="I20" s="2">
        <f ca="1"/>
        <v>13</v>
      </c>
      <c r="J20">
        <f ca="1"/>
        <v>2.0943951023931952E-2</v>
      </c>
      <c r="K20">
        <f ca="1"/>
        <v>5.7881196559104585E-4</v>
      </c>
    </row>
    <row r="21" spans="3:11">
      <c r="C21" s="20">
        <v>0.22689280275926285</v>
      </c>
      <c r="D21" s="20">
        <v>0.36024658650769997</v>
      </c>
      <c r="G21" s="20">
        <v>2.2689280275926284E-2</v>
      </c>
      <c r="H21" s="20">
        <v>3.6575057157430084E-3</v>
      </c>
      <c r="I21" s="2">
        <f ca="1"/>
        <v>14</v>
      </c>
      <c r="J21">
        <f ca="1"/>
        <v>2.2689280275926284E-2</v>
      </c>
      <c r="K21">
        <f ca="1"/>
        <v>6.2325187815227584E-4</v>
      </c>
    </row>
    <row r="22" spans="3:11">
      <c r="C22" s="20">
        <v>0.24434609527920614</v>
      </c>
      <c r="D22" s="20">
        <v>0.37751610092509996</v>
      </c>
      <c r="G22" s="20">
        <v>2.4434609527920613E-2</v>
      </c>
      <c r="H22" s="20">
        <v>3.6586322458734997E-3</v>
      </c>
      <c r="I22" s="2">
        <f ca="1"/>
        <v>15</v>
      </c>
      <c r="J22">
        <f ca="1"/>
        <v>2.4434609527920613E-2</v>
      </c>
      <c r="K22">
        <f ca="1"/>
        <v>6.6764128309666293E-4</v>
      </c>
    </row>
    <row r="23" spans="3:11">
      <c r="C23" s="20">
        <v>0.26179938779914941</v>
      </c>
      <c r="D23" s="20">
        <v>0.39429392147729997</v>
      </c>
      <c r="G23" s="20">
        <v>2.6179938779914941E-2</v>
      </c>
      <c r="H23" s="20">
        <v>3.6598362234654637E-3</v>
      </c>
      <c r="I23" s="2">
        <f ca="1"/>
        <v>16</v>
      </c>
      <c r="J23">
        <f ca="1"/>
        <v>2.6179938779914941E-2</v>
      </c>
      <c r="K23">
        <f ca="1"/>
        <v>7.1198885195694454E-4</v>
      </c>
    </row>
    <row r="24" spans="3:11">
      <c r="C24" s="20">
        <v>0.27925268031909273</v>
      </c>
      <c r="D24" s="20">
        <v>0.41055874945650001</v>
      </c>
      <c r="G24" s="20">
        <v>2.7925268031909273E-2</v>
      </c>
      <c r="H24" s="20">
        <v>3.6611175558143283E-3</v>
      </c>
      <c r="I24" s="2">
        <f ca="1"/>
        <v>17</v>
      </c>
      <c r="J24">
        <f ca="1"/>
        <v>2.7925268031909273E-2</v>
      </c>
      <c r="K24">
        <f ca="1"/>
        <v>7.5626037953222013E-4</v>
      </c>
    </row>
    <row r="25" spans="3:11">
      <c r="C25" s="20">
        <v>0.29670597283903605</v>
      </c>
      <c r="D25" s="20">
        <v>0.4262903691587</v>
      </c>
      <c r="G25" s="20">
        <v>2.9670597283903605E-2</v>
      </c>
      <c r="H25" s="20">
        <v>3.6624760701905075E-3</v>
      </c>
      <c r="I25" s="2">
        <f ca="1"/>
        <v>18</v>
      </c>
      <c r="J25">
        <f ca="1"/>
        <v>2.9670597283903605E-2</v>
      </c>
      <c r="K25">
        <f ca="1"/>
        <v>8.0048449517670711E-4</v>
      </c>
    </row>
    <row r="26" spans="3:11">
      <c r="C26" s="20">
        <v>0.31415926535897931</v>
      </c>
      <c r="D26" s="20">
        <v>0.44146965770519997</v>
      </c>
      <c r="G26" s="20">
        <v>3.1415926535897927E-2</v>
      </c>
      <c r="H26" s="20">
        <v>3.663911773824728E-3</v>
      </c>
      <c r="I26" s="2">
        <f ca="1"/>
        <v>19</v>
      </c>
      <c r="J26">
        <f ca="1"/>
        <v>3.1415926535897927E-2</v>
      </c>
      <c r="K26">
        <f ca="1"/>
        <v>8.4467686444238512E-4</v>
      </c>
    </row>
    <row r="27" spans="3:11">
      <c r="C27" s="20">
        <v>0.33161255787892258</v>
      </c>
      <c r="D27" s="20">
        <v>0.45607859177170001</v>
      </c>
      <c r="G27" s="20">
        <v>3.3161255787892259E-2</v>
      </c>
      <c r="H27" s="20">
        <v>3.6654245486704958E-3</v>
      </c>
      <c r="I27" s="2">
        <f ca="1"/>
        <v>20</v>
      </c>
      <c r="J27">
        <f ca="1"/>
        <v>3.3161255787892259E-2</v>
      </c>
      <c r="K27">
        <f ca="1"/>
        <v>8.8877124686286924E-4</v>
      </c>
    </row>
    <row r="28" spans="3:11">
      <c r="C28" s="20">
        <v>0.3490658503988659</v>
      </c>
      <c r="D28" s="20">
        <v>0.47010025139420003</v>
      </c>
      <c r="G28" s="20">
        <v>3.4906585039886591E-2</v>
      </c>
      <c r="H28" s="20">
        <v>3.6670141707356905E-3</v>
      </c>
      <c r="I28" s="2">
        <f ca="1"/>
        <v>21</v>
      </c>
      <c r="J28">
        <f ca="1"/>
        <v>3.4906585039886591E-2</v>
      </c>
      <c r="K28">
        <f ca="1"/>
        <v>9.3281550411330343E-4</v>
      </c>
    </row>
    <row r="29" spans="3:11">
      <c r="C29" s="20">
        <v>0.36651914291880922</v>
      </c>
      <c r="D29" s="20">
        <v>0.48351882100800003</v>
      </c>
      <c r="G29" s="20">
        <v>3.6651914291880923E-2</v>
      </c>
      <c r="H29" s="20">
        <v>3.6686806890425814E-3</v>
      </c>
      <c r="I29" s="2">
        <f ca="1"/>
        <v>22</v>
      </c>
      <c r="J29">
        <f ca="1"/>
        <v>3.6651914291880923E-2</v>
      </c>
      <c r="K29">
        <f ca="1"/>
        <v>9.7684038459904064E-4</v>
      </c>
    </row>
    <row r="30" spans="3:11">
      <c r="C30" s="20">
        <v>0.38397243543875248</v>
      </c>
      <c r="D30" s="20">
        <v>0.49631958788030001</v>
      </c>
      <c r="G30" s="20">
        <v>3.8397243543875255E-2</v>
      </c>
      <c r="H30" s="20">
        <v>3.6704239869312307E-3</v>
      </c>
      <c r="I30" s="2">
        <f ca="1"/>
        <v>23</v>
      </c>
      <c r="J30">
        <f ca="1"/>
        <v>3.8397243543875255E-2</v>
      </c>
      <c r="K30">
        <f ca="1"/>
        <v>1.0207516208945509E-3</v>
      </c>
    </row>
    <row r="31" spans="3:11">
      <c r="C31" s="20">
        <v>0.40142572795869574</v>
      </c>
      <c r="D31" s="20">
        <v>0.50848893811639995</v>
      </c>
      <c r="G31" s="20">
        <v>4.0142572795869587E-2</v>
      </c>
      <c r="H31" s="20">
        <v>3.6722437843685171E-3</v>
      </c>
      <c r="I31" s="2">
        <f ca="1"/>
        <v>24</v>
      </c>
      <c r="J31">
        <f ca="1"/>
        <v>4.0142572795869587E-2</v>
      </c>
      <c r="K31">
        <f ca="1"/>
        <v>1.0646114730637867E-3</v>
      </c>
    </row>
    <row r="32" spans="3:11">
      <c r="C32" s="20">
        <v>0.41887902047863906</v>
      </c>
      <c r="D32" s="20">
        <v>0.52001435037749999</v>
      </c>
      <c r="G32" s="20">
        <v>4.1887902047863905E-2</v>
      </c>
      <c r="H32" s="20">
        <v>3.6741401820231247E-3</v>
      </c>
      <c r="I32" s="2">
        <f ca="1"/>
        <v>25</v>
      </c>
      <c r="J32">
        <f ca="1"/>
        <v>4.1887902047863905E-2</v>
      </c>
      <c r="K32">
        <f ca="1"/>
        <v>1.1084632954885048E-3</v>
      </c>
    </row>
    <row r="33" spans="3:11">
      <c r="C33" s="20">
        <v>0.43633231299858238</v>
      </c>
      <c r="D33" s="20">
        <v>0.53088438751599998</v>
      </c>
      <c r="G33" s="20">
        <v>4.3633231299858237E-2</v>
      </c>
      <c r="H33" s="20">
        <v>3.6761130511972734E-3</v>
      </c>
      <c r="I33" s="2">
        <f ca="1"/>
        <v>26</v>
      </c>
      <c r="J33">
        <f ca="1"/>
        <v>4.3633231299858237E-2</v>
      </c>
      <c r="K33">
        <f ca="1"/>
        <v>1.1521813304233713E-3</v>
      </c>
    </row>
    <row r="34" spans="3:11">
      <c r="C34" s="20">
        <v>0.4537856055185257</v>
      </c>
      <c r="D34" s="20">
        <v>0.54108868625999995</v>
      </c>
      <c r="G34" s="20">
        <v>4.5378560551852569E-2</v>
      </c>
      <c r="H34" s="20">
        <v>3.678162053582304E-3</v>
      </c>
      <c r="I34" s="2">
        <f ca="1"/>
        <v>27</v>
      </c>
      <c r="J34">
        <f ca="1"/>
        <v>4.5378560551852569E-2</v>
      </c>
      <c r="K34">
        <f ca="1"/>
        <v>1.1958174609812155E-3</v>
      </c>
    </row>
    <row r="35" spans="3:11">
      <c r="C35" s="20">
        <v>0.47123889803846897</v>
      </c>
      <c r="D35" s="20">
        <v>0.55061794512969997</v>
      </c>
      <c r="G35" s="20">
        <v>4.7123889803846894E-2</v>
      </c>
      <c r="H35" s="20">
        <v>3.6802872415866656E-3</v>
      </c>
      <c r="I35" s="2">
        <f ca="1"/>
        <v>28</v>
      </c>
      <c r="J35">
        <f ca="1"/>
        <v>4.7123889803846894E-2</v>
      </c>
      <c r="K35">
        <f ca="1"/>
        <v>1.2394458572473255E-3</v>
      </c>
    </row>
    <row r="36" spans="3:11">
      <c r="C36" s="20">
        <v>0.48869219055841229</v>
      </c>
      <c r="D36" s="20">
        <v>0.55946391073629997</v>
      </c>
      <c r="G36" s="20">
        <v>4.8869219055841226E-2</v>
      </c>
      <c r="H36" s="20">
        <v>3.6824885358041379E-3</v>
      </c>
      <c r="I36" s="2">
        <f ca="1"/>
        <v>29</v>
      </c>
      <c r="J36">
        <f ca="1"/>
        <v>4.8869219055841226E-2</v>
      </c>
      <c r="K36">
        <f ca="1"/>
        <v>1.2830448986590416E-3</v>
      </c>
    </row>
    <row r="37" spans="3:11">
      <c r="C37" s="20">
        <v>0.50614548307835561</v>
      </c>
      <c r="D37" s="20">
        <v>0.56761936260829993</v>
      </c>
      <c r="G37" s="20">
        <v>5.0614548307835558E-2</v>
      </c>
      <c r="H37" s="20">
        <v>3.684765913173169E-3</v>
      </c>
      <c r="I37" s="2">
        <f ca="1"/>
        <v>30</v>
      </c>
      <c r="J37">
        <f ca="1"/>
        <v>5.0614548307835558E-2</v>
      </c>
      <c r="K37">
        <f ca="1"/>
        <v>1.3265876530729765E-3</v>
      </c>
    </row>
    <row r="38" spans="3:11">
      <c r="C38" s="20">
        <v>0.52359877559829882</v>
      </c>
      <c r="D38" s="20">
        <v>0.57507809672499988</v>
      </c>
      <c r="G38" s="20">
        <v>5.2359877559829883E-2</v>
      </c>
      <c r="H38" s="20">
        <v>3.6871192002766234E-3</v>
      </c>
      <c r="I38" s="2">
        <f ca="1"/>
        <v>31</v>
      </c>
      <c r="J38">
        <f ca="1"/>
        <v>5.2359877559829883E-2</v>
      </c>
      <c r="K38">
        <f ca="1"/>
        <v>1.369949554402336E-3</v>
      </c>
    </row>
    <row r="39" spans="3:11">
      <c r="C39" s="20">
        <v>0.54105206811824214</v>
      </c>
      <c r="D39" s="20">
        <v>0.58183490786820002</v>
      </c>
      <c r="G39" s="20">
        <v>5.4105206811824215E-2</v>
      </c>
      <c r="H39" s="20">
        <v>3.689547939235279E-3</v>
      </c>
      <c r="I39" s="2">
        <f ca="1"/>
        <v>32</v>
      </c>
      <c r="J39">
        <f ca="1"/>
        <v>5.4105206811824215E-2</v>
      </c>
      <c r="K39">
        <f ca="1"/>
        <v>1.4132189429658755E-3</v>
      </c>
    </row>
    <row r="40" spans="3:11">
      <c r="C40" s="20">
        <v>0.55850536063818546</v>
      </c>
      <c r="D40" s="20">
        <v>0.58788557096719996</v>
      </c>
      <c r="G40" s="20">
        <v>5.5850536063818547E-2</v>
      </c>
      <c r="H40" s="20">
        <v>3.6920522649978851E-3</v>
      </c>
      <c r="I40" s="2">
        <f ca="1"/>
        <v>33</v>
      </c>
      <c r="J40">
        <f ca="1"/>
        <v>5.5850536063818547E-2</v>
      </c>
      <c r="K40">
        <f ca="1"/>
        <v>1.456516338791863E-3</v>
      </c>
    </row>
    <row r="41" spans="3:11">
      <c r="C41" s="20">
        <v>0.57595865315812877</v>
      </c>
      <c r="D41" s="20">
        <v>0.59322682150740014</v>
      </c>
      <c r="G41" s="20">
        <v>5.7595865315812872E-2</v>
      </c>
      <c r="H41" s="20">
        <v>3.6946321403794813E-3</v>
      </c>
      <c r="I41" s="2">
        <f ca="1"/>
        <v>34</v>
      </c>
      <c r="J41">
        <f ca="1"/>
        <v>5.7595865315812872E-2</v>
      </c>
      <c r="K41">
        <f ca="1"/>
        <v>1.4997289348058405E-3</v>
      </c>
    </row>
    <row r="42" spans="3:11">
      <c r="C42" s="20">
        <v>0.59341194567807209</v>
      </c>
      <c r="D42" s="20">
        <v>0.59785633521390003</v>
      </c>
      <c r="G42" s="20">
        <v>5.9341194567807211E-2</v>
      </c>
      <c r="H42" s="20">
        <v>3.697287306557843E-3</v>
      </c>
      <c r="I42" s="2">
        <f ca="1"/>
        <v>35</v>
      </c>
      <c r="J42">
        <f ca="1"/>
        <v>5.9341194567807211E-2</v>
      </c>
      <c r="K42">
        <f ca="1"/>
        <v>1.5428553981880532E-3</v>
      </c>
    </row>
    <row r="43" spans="3:11">
      <c r="C43" s="20">
        <v>0.6108652381980153</v>
      </c>
      <c r="D43" s="20">
        <v>0.6017727070751</v>
      </c>
      <c r="G43" s="20">
        <v>6.1086523819801536E-2</v>
      </c>
      <c r="H43" s="20">
        <v>3.7000177216955912E-3</v>
      </c>
      <c r="I43" s="2">
        <f ca="1"/>
        <v>36</v>
      </c>
      <c r="J43">
        <f ca="1"/>
        <v>6.1086523819801536E-2</v>
      </c>
      <c r="K43">
        <f ca="1"/>
        <v>1.5859945233542381E-3</v>
      </c>
    </row>
    <row r="44" spans="3:11">
      <c r="C44" s="20">
        <v>0.62831853071795862</v>
      </c>
      <c r="D44" s="20">
        <v>0.60497542979230001</v>
      </c>
      <c r="G44" s="20">
        <v>6.2831853071795854E-2</v>
      </c>
      <c r="H44" s="20">
        <v>3.7028234718280689E-3</v>
      </c>
      <c r="I44" s="2">
        <f ca="1"/>
        <v>37</v>
      </c>
      <c r="J44">
        <f ca="1"/>
        <v>6.2831853071795854E-2</v>
      </c>
      <c r="K44">
        <f ca="1"/>
        <v>1.6290827124971386E-3</v>
      </c>
    </row>
    <row r="45" spans="3:11">
      <c r="C45" s="20">
        <v>0.64577182323790194</v>
      </c>
      <c r="D45" s="20">
        <v>0.60746487186319997</v>
      </c>
      <c r="G45" s="20">
        <v>6.4577182323790186E-2</v>
      </c>
      <c r="H45" s="20">
        <v>3.7057042931196702E-3</v>
      </c>
      <c r="I45" s="2">
        <f ca="1"/>
        <v>38</v>
      </c>
      <c r="J45">
        <f ca="1"/>
        <v>6.4577182323790186E-2</v>
      </c>
      <c r="K45">
        <f ca="1"/>
        <v>1.6719203217485394E-3</v>
      </c>
    </row>
    <row r="46" spans="3:11">
      <c r="C46" s="20">
        <v>0.66322511575784515</v>
      </c>
      <c r="D46" s="20">
        <v>0.60924225527240006</v>
      </c>
      <c r="G46" s="20">
        <v>6.6322511575784518E-2</v>
      </c>
      <c r="H46" s="20">
        <v>3.7086595747171719E-3</v>
      </c>
      <c r="I46" s="2">
        <f ca="1"/>
        <v>39</v>
      </c>
      <c r="J46">
        <f ca="1"/>
        <v>6.6322511575784518E-2</v>
      </c>
      <c r="K46">
        <f ca="1"/>
        <v>1.7146483230200754E-3</v>
      </c>
    </row>
    <row r="47" spans="3:11">
      <c r="C47" s="20">
        <v>0.68067840827778847</v>
      </c>
      <c r="D47" s="20">
        <v>0.61030963296889995</v>
      </c>
      <c r="G47" s="20">
        <v>6.8067840827778864E-2</v>
      </c>
      <c r="H47" s="20">
        <v>3.7116895448697702E-3</v>
      </c>
      <c r="I47" s="2">
        <f ca="1"/>
        <v>40</v>
      </c>
      <c r="J47">
        <f ca="1"/>
        <v>6.8067840827778864E-2</v>
      </c>
      <c r="K47">
        <f ca="1"/>
        <v>1.7574443407565104E-3</v>
      </c>
    </row>
    <row r="48" spans="3:11">
      <c r="C48" s="20">
        <v>0.69813170079773179</v>
      </c>
      <c r="D48" s="20">
        <v>0.61066986617510011</v>
      </c>
      <c r="G48" s="20">
        <v>6.9813170079773182E-2</v>
      </c>
      <c r="H48" s="20">
        <v>3.7147942127505203E-3</v>
      </c>
      <c r="I48" s="2">
        <f ca="1"/>
        <v>41</v>
      </c>
      <c r="J48">
        <f ca="1"/>
        <v>6.9813170079773182E-2</v>
      </c>
      <c r="K48">
        <f ca="1"/>
        <v>1.8001460500320558E-3</v>
      </c>
    </row>
    <row r="49" spans="3:11">
      <c r="C49" s="20">
        <v>0.715584993317675</v>
      </c>
      <c r="D49" s="20">
        <v>0.61032660164670005</v>
      </c>
      <c r="G49" s="20">
        <v>7.15584993317675E-2</v>
      </c>
      <c r="H49" s="20">
        <v>3.7179732399877361E-3</v>
      </c>
      <c r="I49" s="2">
        <f ca="1"/>
        <v>42</v>
      </c>
      <c r="J49">
        <f ca="1"/>
        <v>7.15584993317675E-2</v>
      </c>
      <c r="K49">
        <f ca="1"/>
        <v>1.8428294281169306E-3</v>
      </c>
    </row>
    <row r="50" spans="3:11">
      <c r="C50" s="20">
        <v>0.73303828583761843</v>
      </c>
      <c r="D50" s="20">
        <v>0.60928424886920007</v>
      </c>
      <c r="G50" s="20">
        <v>7.3303828583761846E-2</v>
      </c>
      <c r="H50" s="20">
        <v>3.7212269009651773E-3</v>
      </c>
      <c r="I50" s="2">
        <f ca="1"/>
        <v>43</v>
      </c>
      <c r="J50">
        <f ca="1"/>
        <v>7.3303828583761846E-2</v>
      </c>
      <c r="K50">
        <f ca="1"/>
        <v>1.8854981911480347E-3</v>
      </c>
    </row>
    <row r="51" spans="3:11">
      <c r="C51" s="20">
        <v>0.75049157835756164</v>
      </c>
      <c r="D51" s="20">
        <v>0.60754795736369993</v>
      </c>
      <c r="G51" s="20">
        <v>7.5049157835756164E-2</v>
      </c>
      <c r="H51" s="20">
        <v>3.7245548702829223E-3</v>
      </c>
      <c r="I51" s="2">
        <f ca="1"/>
        <v>44</v>
      </c>
      <c r="J51">
        <f ca="1"/>
        <v>7.5049157835756164E-2</v>
      </c>
      <c r="K51">
        <f ca="1"/>
        <v>1.9278591549727446E-3</v>
      </c>
    </row>
    <row r="52" spans="3:11">
      <c r="C52" s="20">
        <v>0.76794487087750496</v>
      </c>
      <c r="D52" s="20">
        <v>0.60512359408959993</v>
      </c>
      <c r="G52" s="20">
        <v>7.679448708775051E-2</v>
      </c>
      <c r="H52" s="20">
        <v>3.7279563989189753E-3</v>
      </c>
      <c r="I52" s="2">
        <f ca="1"/>
        <v>45</v>
      </c>
      <c r="J52">
        <f ca="1"/>
        <v>7.679448708775051E-2</v>
      </c>
      <c r="K52">
        <f ca="1"/>
        <v>1.970094183780427E-3</v>
      </c>
    </row>
    <row r="53" spans="3:11">
      <c r="C53" s="20">
        <v>0.78539816339744828</v>
      </c>
      <c r="D53" s="20">
        <v>0.60201772099850004</v>
      </c>
      <c r="G53" s="20">
        <v>7.8539816339744828E-2</v>
      </c>
      <c r="H53" s="20">
        <v>3.731431796299194E-3</v>
      </c>
      <c r="I53" s="2">
        <f ca="1"/>
        <v>46</v>
      </c>
      <c r="J53">
        <f ca="1"/>
        <v>7.8539816339744828E-2</v>
      </c>
      <c r="K53">
        <f ca="1"/>
        <v>2.012428062811517E-3</v>
      </c>
    </row>
    <row r="54" spans="3:11">
      <c r="C54" s="20">
        <v>0.80285145591739149</v>
      </c>
      <c r="D54" s="20">
        <v>0.59823757283029999</v>
      </c>
      <c r="G54" s="20">
        <v>8.0285145591739174E-2</v>
      </c>
      <c r="H54" s="20">
        <v>3.7349810980500937E-3</v>
      </c>
      <c r="I54" s="2">
        <f ca="1"/>
        <v>47</v>
      </c>
      <c r="J54">
        <f ca="1"/>
        <v>8.0285145591739174E-2</v>
      </c>
      <c r="K54">
        <f ca="1"/>
        <v>2.0546587730872821E-3</v>
      </c>
    </row>
    <row r="55" spans="3:11">
      <c r="C55" s="20">
        <v>0.82030474843733492</v>
      </c>
      <c r="D55" s="20">
        <v>0.59379103515119991</v>
      </c>
      <c r="G55" s="20">
        <v>8.2030474843733478E-2</v>
      </c>
      <c r="H55" s="20">
        <v>3.738603908418266E-3</v>
      </c>
      <c r="I55" s="2">
        <f ca="1"/>
        <v>48</v>
      </c>
      <c r="J55">
        <f ca="1"/>
        <v>8.2030474843733478E-2</v>
      </c>
      <c r="K55">
        <f ca="1"/>
        <v>2.0968808856934714E-3</v>
      </c>
    </row>
    <row r="56" spans="3:11">
      <c r="C56" s="20">
        <v>0.83775804095727813</v>
      </c>
      <c r="D56" s="20">
        <v>0.58868662268860006</v>
      </c>
      <c r="G56" s="20">
        <v>8.377580409572781E-2</v>
      </c>
      <c r="H56" s="20">
        <v>3.7423005931455909E-3</v>
      </c>
      <c r="I56" s="2">
        <f ca="1"/>
        <v>49</v>
      </c>
      <c r="J56">
        <f ca="1"/>
        <v>8.377580409572781E-2</v>
      </c>
      <c r="K56">
        <f ca="1"/>
        <v>2.1390986633538036E-3</v>
      </c>
    </row>
    <row r="57" spans="3:11">
      <c r="C57" s="20">
        <v>0.85521133347722145</v>
      </c>
      <c r="D57" s="20">
        <v>0.58293345797639995</v>
      </c>
      <c r="G57" s="20">
        <v>8.5521133347722156E-2</v>
      </c>
      <c r="H57" s="20">
        <v>3.7460707713583728E-3</v>
      </c>
      <c r="I57" s="2">
        <f ca="1"/>
        <v>50</v>
      </c>
      <c r="J57">
        <f ca="1"/>
        <v>8.5521133347722156E-2</v>
      </c>
      <c r="K57">
        <f ca="1"/>
        <v>2.1809476800938319E-3</v>
      </c>
    </row>
    <row r="58" spans="3:11">
      <c r="C58" s="20">
        <v>0.87266462599716477</v>
      </c>
      <c r="D58" s="20">
        <v>0.5765412503852001</v>
      </c>
      <c r="G58" s="20">
        <v>8.7266462599716474E-2</v>
      </c>
      <c r="H58" s="20">
        <v>3.7499135367118647E-3</v>
      </c>
      <c r="I58" s="2">
        <f ca="1"/>
        <v>51</v>
      </c>
      <c r="J58">
        <f ca="1"/>
        <v>8.7266462599716474E-2</v>
      </c>
      <c r="K58">
        <f ca="1"/>
        <v>2.2226544232895528E-3</v>
      </c>
    </row>
    <row r="59" spans="3:11">
      <c r="C59" s="20">
        <v>0.89011791851710798</v>
      </c>
      <c r="D59" s="20">
        <v>0.56952027547499995</v>
      </c>
      <c r="G59" s="20">
        <v>8.9011791851710792E-2</v>
      </c>
      <c r="H59" s="20">
        <v>3.7538292989224564E-3</v>
      </c>
      <c r="I59" s="2">
        <f ca="1"/>
        <v>52</v>
      </c>
      <c r="J59">
        <f ca="1"/>
        <v>8.9011791851710792E-2</v>
      </c>
      <c r="K59">
        <f ca="1"/>
        <v>2.2644988293282734E-3</v>
      </c>
    </row>
    <row r="60" spans="3:11">
      <c r="C60" s="20">
        <v>0.90757121103705141</v>
      </c>
      <c r="D60" s="20">
        <v>0.56188135479229995</v>
      </c>
      <c r="G60" s="20">
        <v>9.0757121103705138E-2</v>
      </c>
      <c r="H60" s="20">
        <v>3.7578181288077319E-3</v>
      </c>
      <c r="I60" s="2">
        <f ca="1"/>
        <v>53</v>
      </c>
      <c r="J60">
        <f ca="1"/>
        <v>9.0757121103705138E-2</v>
      </c>
      <c r="K60">
        <f ca="1"/>
        <v>2.3062305399076618E-3</v>
      </c>
    </row>
    <row r="61" spans="3:11">
      <c r="C61" s="20">
        <v>0.92502450355699462</v>
      </c>
      <c r="D61" s="20">
        <v>0.55363583601029998</v>
      </c>
      <c r="G61" s="20">
        <v>9.250245035569947E-2</v>
      </c>
      <c r="H61" s="20">
        <v>3.7618795621687435E-3</v>
      </c>
      <c r="I61" s="2">
        <f ca="1"/>
        <v>54</v>
      </c>
      <c r="J61">
        <f ca="1"/>
        <v>9.250245035569947E-2</v>
      </c>
      <c r="K61">
        <f ca="1"/>
        <v>2.3478383902036412E-3</v>
      </c>
    </row>
    <row r="62" spans="3:11">
      <c r="C62" s="20">
        <v>0.94247779607693793</v>
      </c>
      <c r="D62" s="20">
        <v>0.54479557355539998</v>
      </c>
      <c r="G62" s="20">
        <v>9.4247779607693788E-2</v>
      </c>
      <c r="H62" s="20">
        <v>3.7660136308504872E-3</v>
      </c>
      <c r="I62" s="2">
        <f ca="1"/>
        <v>55</v>
      </c>
      <c r="J62">
        <f ca="1"/>
        <v>9.4247779607693788E-2</v>
      </c>
      <c r="K62">
        <f ca="1"/>
        <v>2.3893948498075897E-3</v>
      </c>
    </row>
    <row r="63" spans="3:11">
      <c r="C63" s="20">
        <v>0.95993108859688125</v>
      </c>
      <c r="D63" s="20">
        <v>0.53537290958640005</v>
      </c>
      <c r="G63" s="20">
        <v>9.599310885968812E-2</v>
      </c>
      <c r="H63" s="20">
        <v>3.7702201236206111E-3</v>
      </c>
      <c r="I63" s="2">
        <f ca="1"/>
        <v>56</v>
      </c>
      <c r="J63">
        <f ca="1"/>
        <v>9.599310885968812E-2</v>
      </c>
      <c r="K63">
        <f ca="1"/>
        <v>2.4308457622627499E-3</v>
      </c>
    </row>
    <row r="64" spans="3:11">
      <c r="C64" s="20">
        <v>0.97738438111682457</v>
      </c>
      <c r="D64" s="20">
        <v>0.52538065542839985</v>
      </c>
      <c r="G64" s="20">
        <v>9.7738438111682452E-2</v>
      </c>
      <c r="H64" s="20">
        <v>3.7744988832824145E-3</v>
      </c>
      <c r="I64" s="2">
        <f ca="1"/>
        <v>57</v>
      </c>
      <c r="J64">
        <f ca="1"/>
        <v>9.7738438111682452E-2</v>
      </c>
      <c r="K64">
        <f ca="1"/>
        <v>2.4722121736416355E-3</v>
      </c>
    </row>
    <row r="65" spans="3:11">
      <c r="C65" s="20">
        <v>0.99483767363676778</v>
      </c>
      <c r="D65" s="20">
        <v>0.51483207347280002</v>
      </c>
      <c r="G65" s="20">
        <v>9.948376736367677E-2</v>
      </c>
      <c r="H65" s="20">
        <v>3.7788497720681975E-3</v>
      </c>
      <c r="I65" s="2">
        <f ca="1"/>
        <v>58</v>
      </c>
      <c r="J65">
        <f ca="1"/>
        <v>9.948376736367677E-2</v>
      </c>
      <c r="K65">
        <f ca="1"/>
        <v>2.51363890986999E-3</v>
      </c>
    </row>
    <row r="66" spans="3:11">
      <c r="C66" s="20">
        <v>1.0122909661567112</v>
      </c>
      <c r="D66" s="20">
        <v>0.50374085941620006</v>
      </c>
      <c r="G66" s="20">
        <v>0.10122909661567112</v>
      </c>
      <c r="H66" s="20">
        <v>3.783273138319109E-3</v>
      </c>
      <c r="I66" s="2">
        <f ca="1"/>
        <v>59</v>
      </c>
      <c r="J66">
        <f ca="1"/>
        <v>0.10122909661567112</v>
      </c>
      <c r="K66">
        <f ca="1"/>
        <v>2.5550373942662902E-3</v>
      </c>
    </row>
    <row r="67" spans="3:11">
      <c r="C67" s="20">
        <v>1.0297442586766543</v>
      </c>
      <c r="D67" s="20">
        <v>0.492121124992</v>
      </c>
      <c r="G67" s="20">
        <v>0.10297442586766543</v>
      </c>
      <c r="H67" s="20">
        <v>3.7877685350765022E-3</v>
      </c>
      <c r="I67" s="2">
        <f ca="1"/>
        <v>60</v>
      </c>
      <c r="J67">
        <f ca="1"/>
        <v>0.10297442586766543</v>
      </c>
      <c r="K67">
        <f ca="1"/>
        <v>2.5959622993775842E-3</v>
      </c>
    </row>
    <row r="68" spans="3:11">
      <c r="C68" s="20">
        <v>1.0471975511965976</v>
      </c>
      <c r="D68" s="20">
        <v>0.47998738107650002</v>
      </c>
      <c r="G68" s="20">
        <v>0.10471975511965977</v>
      </c>
      <c r="H68" s="20">
        <v>3.7923347561954653E-3</v>
      </c>
      <c r="I68" s="2">
        <f ca="1"/>
        <v>61</v>
      </c>
      <c r="J68">
        <f ca="1"/>
        <v>0.10471975511965977</v>
      </c>
      <c r="K68">
        <f ca="1"/>
        <v>2.6367171009538028E-3</v>
      </c>
    </row>
    <row r="69" spans="3:11">
      <c r="C69" s="20">
        <v>1.064650843716541</v>
      </c>
      <c r="D69" s="20">
        <v>0.46735452122900001</v>
      </c>
      <c r="G69" s="20">
        <v>0.10646508437165408</v>
      </c>
      <c r="H69" s="20">
        <v>3.7969724140475588E-3</v>
      </c>
      <c r="I69" s="2">
        <f ca="1"/>
        <v>62</v>
      </c>
      <c r="J69">
        <f ca="1"/>
        <v>0.10646508437165408</v>
      </c>
      <c r="K69">
        <f ca="1"/>
        <v>2.6776869526080396E-3</v>
      </c>
    </row>
    <row r="70" spans="3:11">
      <c r="C70" s="20">
        <v>1.0821041362364843</v>
      </c>
      <c r="D70" s="20">
        <v>0.45423780560709998</v>
      </c>
      <c r="G70" s="20">
        <v>0.10821041362364843</v>
      </c>
      <c r="H70" s="20">
        <v>3.801681646927606E-3</v>
      </c>
      <c r="I70" s="2">
        <f ca="1"/>
        <v>63</v>
      </c>
      <c r="J70">
        <f ca="1"/>
        <v>0.10821041362364843</v>
      </c>
      <c r="K70">
        <f ca="1"/>
        <v>2.7185267033639311E-3</v>
      </c>
    </row>
    <row r="71" spans="3:11">
      <c r="C71" s="20">
        <v>1.0995574287564276</v>
      </c>
      <c r="D71" s="20">
        <v>0.44065284525179998</v>
      </c>
      <c r="G71" s="20">
        <v>0.10995574287564275</v>
      </c>
      <c r="H71" s="20">
        <v>3.8064618624029764E-3</v>
      </c>
      <c r="I71" s="2">
        <f ca="1"/>
        <v>64</v>
      </c>
      <c r="J71">
        <f ca="1"/>
        <v>0.10995574287564275</v>
      </c>
      <c r="K71">
        <f ca="1"/>
        <v>2.7592212621606509E-3</v>
      </c>
    </row>
    <row r="72" spans="3:11">
      <c r="C72" s="20">
        <v>1.1170107212763709</v>
      </c>
      <c r="D72" s="20">
        <v>0.42661558678950001</v>
      </c>
      <c r="G72" s="20">
        <v>0.11170107212763709</v>
      </c>
      <c r="H72" s="20">
        <v>3.8113131460907534E-3</v>
      </c>
      <c r="I72" s="2">
        <f ca="1"/>
        <v>65</v>
      </c>
      <c r="J72">
        <f ca="1"/>
        <v>0.11170107212763709</v>
      </c>
      <c r="K72">
        <f ca="1"/>
        <v>2.7998701078789756E-3</v>
      </c>
    </row>
    <row r="73" spans="3:11">
      <c r="C73" s="20">
        <v>1.1344640137963142</v>
      </c>
      <c r="D73" s="20">
        <v>0.41214229742640002</v>
      </c>
      <c r="G73" s="20">
        <v>0.11344640137963143</v>
      </c>
      <c r="H73" s="20">
        <v>3.8162352528051079E-3</v>
      </c>
      <c r="I73" s="2">
        <f ca="1"/>
        <v>66</v>
      </c>
      <c r="J73">
        <f ca="1"/>
        <v>0.11344640137963143</v>
      </c>
      <c r="K73">
        <f ca="1"/>
        <v>2.8403997959337056E-3</v>
      </c>
    </row>
    <row r="74" spans="3:11">
      <c r="C74" s="20">
        <v>1.1519173063162575</v>
      </c>
      <c r="D74" s="20">
        <v>0.39724955033620002</v>
      </c>
      <c r="G74" s="20">
        <v>0.11519173063162574</v>
      </c>
      <c r="H74" s="20">
        <v>3.821228011793157E-3</v>
      </c>
      <c r="I74" s="2">
        <f ca="1"/>
        <v>67</v>
      </c>
      <c r="J74">
        <f ca="1"/>
        <v>0.11519173063162574</v>
      </c>
      <c r="K74">
        <f ca="1"/>
        <v>2.8808391674200679E-3</v>
      </c>
    </row>
    <row r="75" spans="3:11">
      <c r="C75" s="20">
        <v>1.1693705988362006</v>
      </c>
      <c r="D75" s="20">
        <v>0.3819542103136</v>
      </c>
      <c r="G75" s="20">
        <v>0.11693705988362009</v>
      </c>
      <c r="H75" s="20">
        <v>3.8262912785434863E-3</v>
      </c>
      <c r="I75" s="2">
        <f ca="1"/>
        <v>68</v>
      </c>
      <c r="J75">
        <f ca="1"/>
        <v>0.11693705988362009</v>
      </c>
      <c r="K75">
        <f ca="1"/>
        <v>2.9211838118878915E-3</v>
      </c>
    </row>
    <row r="76" spans="3:11">
      <c r="C76" s="20">
        <v>1.1868238913561442</v>
      </c>
      <c r="D76" s="20">
        <v>0.36627341977850003</v>
      </c>
      <c r="G76" s="20">
        <v>0.11868238913561442</v>
      </c>
      <c r="H76" s="20">
        <v>3.8314248669078376E-3</v>
      </c>
      <c r="I76" s="2">
        <f ca="1"/>
        <v>69</v>
      </c>
      <c r="J76">
        <f ca="1"/>
        <v>0.11868238913561442</v>
      </c>
      <c r="K76">
        <f ca="1"/>
        <v>2.9614282897269858E-3</v>
      </c>
    </row>
    <row r="77" spans="3:11">
      <c r="C77" s="20">
        <v>1.2042771838760873</v>
      </c>
      <c r="D77" s="20">
        <v>0.3502245850313</v>
      </c>
      <c r="G77" s="20">
        <v>0.12042771838760873</v>
      </c>
      <c r="H77" s="20">
        <v>3.8366286133869744E-3</v>
      </c>
      <c r="I77" s="2">
        <f ca="1"/>
        <v>70</v>
      </c>
      <c r="J77">
        <f ca="1"/>
        <v>0.12042771838760873</v>
      </c>
      <c r="K77">
        <f ca="1"/>
        <v>3.0015764697247128E-3</v>
      </c>
    </row>
    <row r="78" spans="3:11">
      <c r="C78" s="20">
        <v>1.2217304763960306</v>
      </c>
      <c r="D78" s="20">
        <v>0.33382536277240005</v>
      </c>
      <c r="G78" s="20">
        <v>0.12217304763960307</v>
      </c>
      <c r="H78" s="20">
        <v>3.8419023453372544E-3</v>
      </c>
      <c r="I78" s="2">
        <f ca="1"/>
        <v>71</v>
      </c>
      <c r="J78">
        <f ca="1"/>
        <v>0.12217304763960307</v>
      </c>
      <c r="K78">
        <f ca="1"/>
        <v>3.0418298374033132E-3</v>
      </c>
    </row>
    <row r="79" spans="3:11">
      <c r="C79" s="20">
        <v>1.2391837689159739</v>
      </c>
      <c r="D79" s="20">
        <v>0.31709364685710001</v>
      </c>
      <c r="G79" s="20">
        <v>0.12391837689159739</v>
      </c>
      <c r="H79" s="20">
        <v>3.8472466025765927E-3</v>
      </c>
      <c r="I79" s="2">
        <f ca="1"/>
        <v>72</v>
      </c>
      <c r="J79">
        <f ca="1"/>
        <v>0.12391837689159739</v>
      </c>
      <c r="K79">
        <f ca="1"/>
        <v>3.0820723849519578E-3</v>
      </c>
    </row>
    <row r="80" spans="3:11">
      <c r="C80" s="20">
        <v>1.2566370614359172</v>
      </c>
      <c r="D80" s="20">
        <v>0.3000475552813</v>
      </c>
      <c r="G80" s="20">
        <v>0.12566370614359171</v>
      </c>
      <c r="H80" s="20">
        <v>3.8526608075176954E-3</v>
      </c>
      <c r="I80" s="2">
        <f ca="1"/>
        <v>73</v>
      </c>
      <c r="J80">
        <f ca="1"/>
        <v>0.12566370614359171</v>
      </c>
      <c r="K80">
        <f ca="1"/>
        <v>3.1216860846821743E-3</v>
      </c>
    </row>
    <row r="81" spans="3:11">
      <c r="C81" s="20">
        <v>1.2740903539558606</v>
      </c>
      <c r="D81" s="20">
        <v>0.28270541734189997</v>
      </c>
      <c r="G81" s="20">
        <v>0.12740903539558604</v>
      </c>
      <c r="H81" s="20">
        <v>3.8581433426548716E-3</v>
      </c>
      <c r="I81" s="2">
        <f ca="1"/>
        <v>74</v>
      </c>
      <c r="J81">
        <f ca="1"/>
        <v>0.12740903539558604</v>
      </c>
      <c r="K81">
        <f ca="1"/>
        <v>3.1610903495744554E-3</v>
      </c>
    </row>
    <row r="82" spans="3:11">
      <c r="C82" s="20">
        <v>1.2915436464758039</v>
      </c>
      <c r="D82" s="20">
        <v>0.26508576097520004</v>
      </c>
      <c r="G82" s="20">
        <v>0.12915436464758037</v>
      </c>
      <c r="H82" s="20">
        <v>3.863695094428314E-3</v>
      </c>
      <c r="I82" s="2">
        <f ca="1"/>
        <v>75</v>
      </c>
      <c r="J82">
        <f ca="1"/>
        <v>0.12915436464758037</v>
      </c>
      <c r="K82">
        <f ca="1"/>
        <v>3.2008165264569631E-3</v>
      </c>
    </row>
    <row r="83" spans="3:11">
      <c r="C83" s="20">
        <v>1.3089969389957472</v>
      </c>
      <c r="D83" s="20">
        <v>0.24720730026139998</v>
      </c>
      <c r="G83" s="20">
        <v>0.1308996938995747</v>
      </c>
      <c r="H83" s="20">
        <v>3.869316300082656E-3</v>
      </c>
      <c r="I83" s="2">
        <f ca="1"/>
        <v>76</v>
      </c>
      <c r="J83">
        <f ca="1"/>
        <v>0.1308996938995747</v>
      </c>
      <c r="K83">
        <f ca="1"/>
        <v>3.240390760289087E-3</v>
      </c>
    </row>
    <row r="84" spans="3:11">
      <c r="C84" s="20">
        <v>1.3264502315156903</v>
      </c>
      <c r="D84" s="20">
        <v>0.22908892300589997</v>
      </c>
      <c r="G84" s="20">
        <v>0.13264502315156904</v>
      </c>
      <c r="H84" s="20">
        <v>3.8750061919919634E-3</v>
      </c>
      <c r="I84" s="2">
        <f ca="1"/>
        <v>77</v>
      </c>
      <c r="J84">
        <f ca="1"/>
        <v>0.13264502315156904</v>
      </c>
      <c r="K84">
        <f ca="1"/>
        <v>3.2797913484381522E-3</v>
      </c>
    </row>
    <row r="85" spans="3:11">
      <c r="C85" s="20">
        <v>1.3439035240356338</v>
      </c>
      <c r="D85" s="20">
        <v>0.21074967845839998</v>
      </c>
      <c r="G85" s="20">
        <v>0.1343903524035634</v>
      </c>
      <c r="H85" s="20">
        <v>3.8807649316443902E-3</v>
      </c>
      <c r="I85" s="2">
        <f ca="1"/>
        <v>78</v>
      </c>
      <c r="J85">
        <f ca="1"/>
        <v>0.1343903524035634</v>
      </c>
      <c r="K85">
        <f ca="1"/>
        <v>3.3191553726900952E-3</v>
      </c>
    </row>
    <row r="86" spans="3:11">
      <c r="C86" s="20">
        <v>1.3613568165555769</v>
      </c>
      <c r="D86" s="20">
        <v>0.19220876507319998</v>
      </c>
      <c r="G86" s="20">
        <v>0.13613568165555773</v>
      </c>
      <c r="H86" s="20">
        <v>3.8865922299197038E-3</v>
      </c>
      <c r="I86" s="2">
        <f ca="1"/>
        <v>79</v>
      </c>
      <c r="J86">
        <f ca="1"/>
        <v>0.13613568165555773</v>
      </c>
      <c r="K86">
        <f ca="1"/>
        <v>3.3583828190662697E-3</v>
      </c>
    </row>
    <row r="87" spans="3:11">
      <c r="C87" s="20">
        <v>1.3788101090755203</v>
      </c>
      <c r="D87" s="20">
        <v>0.17348551836080001</v>
      </c>
      <c r="G87" s="20">
        <v>0.13788101090755203</v>
      </c>
      <c r="H87" s="20">
        <v>3.8924878991914132E-3</v>
      </c>
      <c r="I87" s="2">
        <f ca="1"/>
        <v>80</v>
      </c>
      <c r="J87">
        <f ca="1"/>
        <v>0.13788101090755203</v>
      </c>
      <c r="K87">
        <f ca="1"/>
        <v>3.3975132437423579E-3</v>
      </c>
    </row>
    <row r="88" spans="3:11">
      <c r="C88" s="20">
        <v>1.3962634015954636</v>
      </c>
      <c r="D88" s="20">
        <v>0.15459939867879999</v>
      </c>
      <c r="G88" s="20">
        <v>0.13962634015954636</v>
      </c>
      <c r="H88" s="20">
        <v>3.8984517884163871E-3</v>
      </c>
      <c r="I88" s="2">
        <f ca="1"/>
        <v>81</v>
      </c>
      <c r="J88">
        <f ca="1"/>
        <v>0.13962634015954636</v>
      </c>
      <c r="K88">
        <f ca="1"/>
        <v>3.4365410347609441E-3</v>
      </c>
    </row>
    <row r="89" spans="3:11">
      <c r="C89" s="20">
        <v>1.4137166941154069</v>
      </c>
      <c r="D89" s="20">
        <v>0.13556997913179999</v>
      </c>
      <c r="G89" s="20">
        <v>0.14137166941154072</v>
      </c>
      <c r="H89" s="20">
        <v>3.9044836903787076E-3</v>
      </c>
      <c r="I89" s="2">
        <f ca="1"/>
        <v>82</v>
      </c>
      <c r="J89">
        <f ca="1"/>
        <v>0.14137166941154072</v>
      </c>
      <c r="K89">
        <f ca="1"/>
        <v>3.4754589765132061E-3</v>
      </c>
    </row>
    <row r="90" spans="3:11">
      <c r="C90" s="20">
        <v>1.43116998663535</v>
      </c>
      <c r="D90" s="20">
        <v>0.1164169333314</v>
      </c>
      <c r="G90" s="20">
        <v>0.143116998663535</v>
      </c>
      <c r="H90" s="20">
        <v>3.9105834288480166E-3</v>
      </c>
      <c r="I90" s="2">
        <f ca="1"/>
        <v>83</v>
      </c>
      <c r="J90">
        <f ca="1"/>
        <v>0.143116998663535</v>
      </c>
      <c r="K90">
        <f ca="1"/>
        <v>3.5142727318403263E-3</v>
      </c>
    </row>
    <row r="91" spans="3:11">
      <c r="C91" s="20">
        <v>1.4486232791552935</v>
      </c>
      <c r="D91" s="20">
        <v>9.7160023152000008E-2</v>
      </c>
      <c r="G91" s="20">
        <v>0.14486232791552933</v>
      </c>
      <c r="H91" s="20">
        <v>3.9167508163754413E-3</v>
      </c>
      <c r="I91" s="2">
        <f ca="1"/>
        <v>84</v>
      </c>
      <c r="J91">
        <f ca="1"/>
        <v>0.14486232791552933</v>
      </c>
      <c r="K91">
        <f ca="1"/>
        <v>3.5532455325695128E-3</v>
      </c>
    </row>
    <row r="92" spans="3:11">
      <c r="C92" s="20">
        <v>1.4660765716752369</v>
      </c>
      <c r="D92" s="20">
        <v>7.7819086394800008E-2</v>
      </c>
      <c r="G92" s="20">
        <v>0.14660765716752369</v>
      </c>
      <c r="H92" s="20">
        <v>3.9229865955830402E-3</v>
      </c>
      <c r="I92" s="2">
        <f ca="1"/>
        <v>85</v>
      </c>
      <c r="J92">
        <f ca="1"/>
        <v>0.14660765716752369</v>
      </c>
      <c r="K92">
        <f ca="1"/>
        <v>3.5922258919605342E-3</v>
      </c>
    </row>
    <row r="93" spans="3:11">
      <c r="C93" s="20">
        <v>1.4835298641951802</v>
      </c>
      <c r="D93" s="20">
        <v>5.8414024377899998E-2</v>
      </c>
      <c r="G93" s="20">
        <v>0.14835298641951802</v>
      </c>
      <c r="H93" s="20">
        <v>3.9292900502334617E-3</v>
      </c>
      <c r="I93" s="2">
        <f ca="1"/>
        <v>86</v>
      </c>
      <c r="J93">
        <f ca="1"/>
        <v>0.14835298641951802</v>
      </c>
      <c r="K93">
        <f ca="1"/>
        <v>3.6304083537784149E-3</v>
      </c>
    </row>
    <row r="94" spans="3:11">
      <c r="C94" s="20">
        <v>1.5009831567151233</v>
      </c>
      <c r="D94" s="20">
        <v>3.89647892839E-2</v>
      </c>
      <c r="G94" s="20">
        <v>0.15009831567151233</v>
      </c>
      <c r="H94" s="20">
        <v>3.9356591113761082E-3</v>
      </c>
      <c r="I94" s="2">
        <f ca="1"/>
        <v>87</v>
      </c>
      <c r="J94">
        <f ca="1"/>
        <v>0.15009831567151233</v>
      </c>
      <c r="K94">
        <f ca="1"/>
        <v>3.6683397416420994E-3</v>
      </c>
    </row>
    <row r="95" spans="3:11">
      <c r="C95" s="20">
        <v>1.5184364492350666</v>
      </c>
      <c r="D95" s="20">
        <v>1.9491371489199997E-2</v>
      </c>
      <c r="G95" s="20">
        <v>0.15184364492350666</v>
      </c>
      <c r="H95" s="20">
        <v>3.9420949715481442E-3</v>
      </c>
      <c r="I95" s="2">
        <f ca="1"/>
        <v>88</v>
      </c>
      <c r="J95">
        <f ca="1"/>
        <v>0.15184364492350666</v>
      </c>
      <c r="K95">
        <f ca="1"/>
        <v>3.7067128688521916E-3</v>
      </c>
    </row>
    <row r="96" spans="3:11">
      <c r="C96" s="20">
        <v>1.5358897417550099</v>
      </c>
      <c r="D96" s="20">
        <v>1.37865795E-5</v>
      </c>
      <c r="G96" s="20">
        <v>0.15358897417550102</v>
      </c>
      <c r="H96" s="20">
        <v>3.9485979801736114E-3</v>
      </c>
      <c r="I96" s="2">
        <f ca="1"/>
        <v>89</v>
      </c>
      <c r="J96">
        <f ca="1"/>
        <v>0.15358897417550102</v>
      </c>
      <c r="K96">
        <f ca="1"/>
        <v>3.7449117643985411E-3</v>
      </c>
    </row>
    <row r="97" spans="3:11">
      <c r="C97" s="20">
        <v>1.5533430342749535</v>
      </c>
      <c r="D97" s="20">
        <v>-1.9447937755000002E-2</v>
      </c>
      <c r="G97" s="20">
        <v>0.15533430342749532</v>
      </c>
      <c r="H97" s="20">
        <v>3.9551671796452291E-3</v>
      </c>
      <c r="I97" s="2">
        <f ca="1"/>
        <v>90</v>
      </c>
      <c r="J97">
        <f ca="1"/>
        <v>0.15533430342749532</v>
      </c>
      <c r="K97">
        <f ca="1"/>
        <v>3.7829073902168739E-3</v>
      </c>
    </row>
    <row r="98" spans="3:11">
      <c r="C98" s="20">
        <v>1.5707963267948966</v>
      </c>
      <c r="D98" s="20">
        <v>-3.8873775144399998E-2</v>
      </c>
      <c r="G98" s="20">
        <v>0.15707963267948966</v>
      </c>
      <c r="H98" s="20">
        <v>3.9618028180250734E-3</v>
      </c>
      <c r="I98" s="2">
        <f ca="1"/>
        <v>91</v>
      </c>
      <c r="J98">
        <f ca="1"/>
        <v>0.15707963267948966</v>
      </c>
      <c r="K98">
        <f ca="1"/>
        <v>3.820878276806678E-3</v>
      </c>
    </row>
    <row r="99" spans="3:11">
      <c r="C99" s="20">
        <v>1.5882496193148399</v>
      </c>
      <c r="D99" s="20">
        <v>-5.82437141477E-2</v>
      </c>
      <c r="G99" s="20">
        <v>0.15882496193148399</v>
      </c>
      <c r="H99" s="20">
        <v>3.9685045608948699E-3</v>
      </c>
      <c r="I99" s="2">
        <f ca="1"/>
        <v>92</v>
      </c>
      <c r="J99">
        <f ca="1"/>
        <v>0.15882496193148399</v>
      </c>
      <c r="K99">
        <f ca="1"/>
        <v>3.8586951800822656E-3</v>
      </c>
    </row>
    <row r="100" spans="3:11">
      <c r="C100" s="20">
        <v>1.605702911834783</v>
      </c>
      <c r="D100" s="20">
        <v>-7.7537772201900002E-2</v>
      </c>
      <c r="G100" s="20">
        <v>0.16057029118347835</v>
      </c>
      <c r="H100" s="20">
        <v>3.9752722051697277E-3</v>
      </c>
      <c r="I100" s="2">
        <f ca="1"/>
        <v>93</v>
      </c>
      <c r="J100">
        <f ca="1"/>
        <v>0.16057029118347835</v>
      </c>
      <c r="K100">
        <f ca="1"/>
        <v>3.8964093348014387E-3</v>
      </c>
    </row>
    <row r="101" spans="3:11">
      <c r="C101" s="20">
        <v>1.6231562043547263</v>
      </c>
      <c r="D101" s="20">
        <v>-9.6736009879500012E-2</v>
      </c>
      <c r="G101" s="20">
        <v>0.16231562043547265</v>
      </c>
      <c r="H101" s="20">
        <v>3.9821055952744154E-3</v>
      </c>
      <c r="I101" s="2">
        <f ca="1"/>
        <v>94</v>
      </c>
      <c r="J101">
        <f ca="1"/>
        <v>0.16231562043547265</v>
      </c>
      <c r="K101">
        <f ca="1"/>
        <v>3.9340138405057849E-3</v>
      </c>
    </row>
    <row r="102" spans="3:11">
      <c r="C102" s="20">
        <v>1.6406094968746698</v>
      </c>
      <c r="D102" s="20">
        <v>-0.1158185454462</v>
      </c>
      <c r="G102" s="20">
        <v>0.16406094968746696</v>
      </c>
      <c r="H102" s="20">
        <v>3.9890045040368981E-3</v>
      </c>
      <c r="I102" s="2">
        <f ca="1"/>
        <v>95</v>
      </c>
      <c r="J102">
        <f ca="1"/>
        <v>0.16406094968746696</v>
      </c>
      <c r="K102">
        <f ca="1"/>
        <v>3.9714996415735606E-3</v>
      </c>
    </row>
    <row r="103" spans="3:11">
      <c r="C103" s="20">
        <v>1.6580627893946132</v>
      </c>
      <c r="D103" s="20">
        <v>-0.13476556981209997</v>
      </c>
      <c r="G103" s="20">
        <v>0.16580627893946129</v>
      </c>
      <c r="H103" s="20">
        <v>3.9959687442718619E-3</v>
      </c>
      <c r="I103" s="2">
        <f ca="1"/>
        <v>96</v>
      </c>
      <c r="J103">
        <f ca="1"/>
        <v>0.16580627893946129</v>
      </c>
      <c r="K103">
        <f ca="1"/>
        <v>4.0092035473711669E-3</v>
      </c>
    </row>
    <row r="104" spans="3:11">
      <c r="C104" s="20">
        <v>1.6755160819145563</v>
      </c>
      <c r="D104" s="20">
        <v>-0.15355736183349999</v>
      </c>
      <c r="G104" s="20">
        <v>0.16755160819145562</v>
      </c>
      <c r="H104" s="20">
        <v>4.0029992644937508E-3</v>
      </c>
      <c r="I104" s="2">
        <f ca="1"/>
        <v>97</v>
      </c>
      <c r="J104">
        <f ca="1"/>
        <v>0.16755160819145562</v>
      </c>
      <c r="K104">
        <f ca="1"/>
        <v>4.0469341095566184E-3</v>
      </c>
    </row>
    <row r="105" spans="3:11">
      <c r="C105" s="20">
        <v>1.6929693744344996</v>
      </c>
      <c r="D105" s="20">
        <v>-0.1721743040267</v>
      </c>
      <c r="G105" s="20">
        <v>0.16929693744344995</v>
      </c>
      <c r="H105" s="20">
        <v>4.0100952092364675E-3</v>
      </c>
      <c r="I105" s="2">
        <f ca="1"/>
        <v>98</v>
      </c>
      <c r="J105">
        <f ca="1"/>
        <v>0.16929693744344995</v>
      </c>
      <c r="K105">
        <f ca="1"/>
        <v>4.0836987437259005E-3</v>
      </c>
    </row>
    <row r="106" spans="3:11">
      <c r="C106" s="20">
        <v>1.7104226669544429</v>
      </c>
      <c r="D106" s="20">
        <v>-0.19059689867919999</v>
      </c>
      <c r="G106" s="20">
        <v>0.17104226669544431</v>
      </c>
      <c r="H106" s="20">
        <v>4.0172540622412656E-3</v>
      </c>
      <c r="I106" s="2">
        <f ca="1"/>
        <v>99</v>
      </c>
      <c r="J106">
        <f ca="1"/>
        <v>0.17104226669544431</v>
      </c>
      <c r="K106">
        <f ca="1"/>
        <v>4.1201722126688912E-3</v>
      </c>
    </row>
    <row r="107" spans="3:11">
      <c r="C107" s="20">
        <v>1.7278759594743864</v>
      </c>
      <c r="D107" s="20">
        <v>-0.20880578442709999</v>
      </c>
      <c r="G107" s="20">
        <v>0.17278759594743864</v>
      </c>
      <c r="H107" s="20">
        <v>4.0244773234085181E-3</v>
      </c>
      <c r="I107" s="2">
        <f ca="1"/>
        <v>100</v>
      </c>
      <c r="J107">
        <f ca="1"/>
        <v>0.17278759594743864</v>
      </c>
      <c r="K107">
        <f ca="1"/>
        <v>4.1572086041126955E-3</v>
      </c>
    </row>
    <row r="108" spans="3:11">
      <c r="C108" s="20">
        <v>1.7453292519943295</v>
      </c>
      <c r="D108" s="20">
        <v>-0.22678175322959998</v>
      </c>
      <c r="G108" s="20">
        <v>0.17453292519943295</v>
      </c>
      <c r="H108" s="20">
        <v>4.0317654578080663E-3</v>
      </c>
      <c r="I108" s="2">
        <f ca="1"/>
        <v>101</v>
      </c>
      <c r="J108">
        <f ca="1"/>
        <v>0.17453292519943295</v>
      </c>
      <c r="K108">
        <f ca="1"/>
        <v>4.1940500313296294E-3</v>
      </c>
    </row>
    <row r="109" spans="3:11">
      <c r="C109" s="20">
        <v>1.7627825445142729</v>
      </c>
      <c r="D109" s="20">
        <v>-0.24450576785959999</v>
      </c>
      <c r="G109" s="20">
        <v>0.17627825445142728</v>
      </c>
      <c r="H109" s="20">
        <v>4.0391173198165327E-3</v>
      </c>
      <c r="I109" s="2">
        <f ca="1"/>
        <v>102</v>
      </c>
      <c r="J109">
        <f ca="1"/>
        <v>0.17627825445142728</v>
      </c>
      <c r="K109">
        <f ca="1"/>
        <v>4.2306597531501719E-3</v>
      </c>
    </row>
    <row r="110" spans="3:11">
      <c r="C110" s="20">
        <v>1.780235837034216</v>
      </c>
      <c r="D110" s="20">
        <v>-0.2619589797786</v>
      </c>
      <c r="G110" s="20">
        <v>0.17802358370342158</v>
      </c>
      <c r="H110" s="20">
        <v>4.0465332462528824E-3</v>
      </c>
      <c r="I110" s="2">
        <f ca="1"/>
        <v>103</v>
      </c>
      <c r="J110">
        <f ca="1"/>
        <v>0.17802358370342158</v>
      </c>
      <c r="K110">
        <f ca="1"/>
        <v>4.2672579506782722E-3</v>
      </c>
    </row>
    <row r="111" spans="3:11">
      <c r="C111" s="20">
        <v>1.7976891295541593</v>
      </c>
      <c r="D111" s="20">
        <v>-0.27912274763770001</v>
      </c>
      <c r="G111" s="20">
        <v>0.17976891295541597</v>
      </c>
      <c r="H111" s="20">
        <v>4.0540128600707812E-3</v>
      </c>
      <c r="I111" s="2">
        <f ca="1"/>
        <v>104</v>
      </c>
      <c r="J111">
        <f ca="1"/>
        <v>0.17976891295541597</v>
      </c>
      <c r="K111">
        <f ca="1"/>
        <v>4.3036861940395407E-3</v>
      </c>
    </row>
    <row r="112" spans="3:11">
      <c r="C112" s="20">
        <v>1.8151424220741028</v>
      </c>
      <c r="D112" s="20">
        <v>-0.29597865608680002</v>
      </c>
      <c r="G112" s="20">
        <v>0.18151424220741028</v>
      </c>
      <c r="H112" s="20">
        <v>4.0615559450646052E-3</v>
      </c>
      <c r="I112" s="2">
        <f ca="1"/>
        <v>105</v>
      </c>
      <c r="J112">
        <f ca="1"/>
        <v>0.18151424220741028</v>
      </c>
      <c r="K112">
        <f ca="1"/>
        <v>4.3400072603389595E-3</v>
      </c>
    </row>
    <row r="113" spans="3:11">
      <c r="C113" s="20">
        <v>1.8325957145940461</v>
      </c>
      <c r="D113" s="20">
        <v>-0.31250853520969996</v>
      </c>
      <c r="G113" s="20">
        <v>0.18325957145940461</v>
      </c>
      <c r="H113" s="20">
        <v>4.0691623433214558E-3</v>
      </c>
      <c r="I113" s="2">
        <f ca="1"/>
        <v>106</v>
      </c>
      <c r="J113">
        <f ca="1"/>
        <v>0.18325957145940461</v>
      </c>
      <c r="K113">
        <f ca="1"/>
        <v>4.3762129507673459E-3</v>
      </c>
    </row>
    <row r="114" spans="3:11">
      <c r="C114" s="20">
        <v>1.8500490071139892</v>
      </c>
      <c r="D114" s="20">
        <v>-0.3286944803595</v>
      </c>
      <c r="G114" s="20">
        <v>0.18500490071139894</v>
      </c>
      <c r="H114" s="20">
        <v>4.0768318100164666E-3</v>
      </c>
      <c r="I114" s="2">
        <f ca="1"/>
        <v>107</v>
      </c>
      <c r="J114">
        <f ca="1"/>
        <v>0.18500490071139894</v>
      </c>
      <c r="K114">
        <f ca="1"/>
        <v>4.4122924911553178E-3</v>
      </c>
    </row>
    <row r="115" spans="3:11">
      <c r="C115" s="20">
        <v>1.8675022996339325</v>
      </c>
      <c r="D115" s="20">
        <v>-0.34451887258590003</v>
      </c>
      <c r="G115" s="20">
        <v>0.1867502299633933</v>
      </c>
      <c r="H115" s="20">
        <v>4.0845641496277925E-3</v>
      </c>
      <c r="I115" s="2">
        <f ca="1"/>
        <v>108</v>
      </c>
      <c r="J115">
        <f ca="1"/>
        <v>0.1867502299633933</v>
      </c>
      <c r="K115">
        <f ca="1"/>
        <v>4.4482551455818781E-3</v>
      </c>
    </row>
    <row r="116" spans="3:11">
      <c r="C116" s="20">
        <v>1.8849555921538759</v>
      </c>
      <c r="D116" s="20">
        <v>-0.35996439936629998</v>
      </c>
      <c r="G116" s="20">
        <v>0.18849555921538758</v>
      </c>
      <c r="H116" s="20">
        <v>4.0923591496683032E-3</v>
      </c>
      <c r="I116" s="2">
        <f ca="1"/>
        <v>109</v>
      </c>
      <c r="J116">
        <f ca="1"/>
        <v>0.18849555921538758</v>
      </c>
      <c r="K116">
        <f ca="1"/>
        <v>4.4840956254451284E-3</v>
      </c>
    </row>
    <row r="117" spans="3:11">
      <c r="C117" s="20">
        <v>1.902408884673819</v>
      </c>
      <c r="D117" s="20">
        <v>-0.37501407604680004</v>
      </c>
      <c r="G117" s="20">
        <v>0.19024088846738194</v>
      </c>
      <c r="H117" s="20">
        <v>4.1002165961554508E-3</v>
      </c>
      <c r="I117" s="2">
        <f ca="1"/>
        <v>110</v>
      </c>
      <c r="J117">
        <f ca="1"/>
        <v>0.19024088846738194</v>
      </c>
      <c r="K117">
        <f ca="1"/>
        <v>4.5198145380653081E-3</v>
      </c>
    </row>
    <row r="118" spans="3:11">
      <c r="C118" s="20">
        <v>1.9198621771937625</v>
      </c>
      <c r="D118" s="20">
        <v>-0.38965126746209994</v>
      </c>
      <c r="G118" s="20">
        <v>0.19198621771937624</v>
      </c>
      <c r="H118" s="20">
        <v>4.1081362787220525E-3</v>
      </c>
      <c r="I118" s="2">
        <f ca="1"/>
        <v>111</v>
      </c>
      <c r="J118">
        <f ca="1"/>
        <v>0.19198621771937624</v>
      </c>
      <c r="K118">
        <f ca="1"/>
        <v>4.5554117586961663E-3</v>
      </c>
    </row>
    <row r="119" spans="3:11">
      <c r="C119" s="20">
        <v>1.9373154697137058</v>
      </c>
      <c r="D119" s="20">
        <v>-0.40385971023829997</v>
      </c>
      <c r="G119" s="20">
        <v>0.1937315469713706</v>
      </c>
      <c r="H119" s="20">
        <v>4.1161179829501135E-3</v>
      </c>
      <c r="I119" s="2">
        <f ca="1"/>
        <v>112</v>
      </c>
      <c r="J119">
        <f ca="1"/>
        <v>0.1937315469713706</v>
      </c>
      <c r="K119">
        <f ca="1"/>
        <v>4.5908862975701705E-3</v>
      </c>
    </row>
    <row r="120" spans="3:11">
      <c r="C120" s="20">
        <v>1.9547687622336491</v>
      </c>
      <c r="D120" s="20">
        <v>-0.41762353531840002</v>
      </c>
      <c r="G120" s="20">
        <v>0.1954768762233649</v>
      </c>
      <c r="H120" s="20">
        <v>4.1241614950175108E-3</v>
      </c>
      <c r="I120" s="2">
        <f ca="1"/>
        <v>113</v>
      </c>
      <c r="J120">
        <f ca="1"/>
        <v>0.1954768762233649</v>
      </c>
      <c r="K120">
        <f ca="1"/>
        <v>4.6262380069618109E-3</v>
      </c>
    </row>
    <row r="121" spans="3:11">
      <c r="C121" s="20">
        <v>1.9722220547535922</v>
      </c>
      <c r="D121" s="20">
        <v>-0.43092729100429999</v>
      </c>
      <c r="G121" s="20">
        <v>0.19722220547535921</v>
      </c>
      <c r="H121" s="20">
        <v>4.1322665999905901E-3</v>
      </c>
      <c r="I121" s="2">
        <f ca="1"/>
        <v>114</v>
      </c>
      <c r="J121">
        <f ca="1"/>
        <v>0.19722220547535921</v>
      </c>
      <c r="K121">
        <f ca="1"/>
        <v>4.6614662861182935E-3</v>
      </c>
    </row>
    <row r="122" spans="3:11">
      <c r="C122" s="20">
        <v>1.9896753472735356</v>
      </c>
      <c r="D122" s="20">
        <v>-0.44375596621429997</v>
      </c>
      <c r="G122" s="20">
        <v>0.19896753472735354</v>
      </c>
      <c r="H122" s="20">
        <v>4.140433081950206E-3</v>
      </c>
      <c r="I122" s="2">
        <f ca="1"/>
        <v>115</v>
      </c>
      <c r="J122">
        <f ca="1"/>
        <v>0.19896753472735354</v>
      </c>
      <c r="K122">
        <f ca="1"/>
        <v>4.6965706787280336E-3</v>
      </c>
    </row>
    <row r="123" spans="3:11">
      <c r="C123" s="20">
        <v>2.0071286397934789</v>
      </c>
      <c r="D123" s="20">
        <v>-0.45609501419700005</v>
      </c>
      <c r="G123" s="20">
        <v>0.20071286397934787</v>
      </c>
      <c r="H123" s="20">
        <v>4.1486607243698759E-3</v>
      </c>
      <c r="I123" s="2">
        <f ca="1"/>
        <v>116</v>
      </c>
      <c r="J123">
        <f ca="1"/>
        <v>0.20071286397934787</v>
      </c>
      <c r="K123">
        <f ca="1"/>
        <v>4.7319921182092904E-3</v>
      </c>
    </row>
    <row r="124" spans="3:11">
      <c r="C124" s="20">
        <v>2.0245819323134224</v>
      </c>
      <c r="D124" s="20">
        <v>-0.46793037635720003</v>
      </c>
      <c r="G124" s="20">
        <v>0.20245819323134223</v>
      </c>
      <c r="H124" s="20">
        <v>4.1569508504784407E-3</v>
      </c>
      <c r="I124" s="2">
        <f ca="1"/>
        <v>117</v>
      </c>
      <c r="J124">
        <f ca="1"/>
        <v>0.20245819323134223</v>
      </c>
      <c r="K124">
        <f ca="1"/>
        <v>4.7674791218992709E-3</v>
      </c>
    </row>
    <row r="125" spans="3:11">
      <c r="C125" s="20">
        <v>2.0420352248333655</v>
      </c>
      <c r="D125" s="20">
        <v>-0.47924850639139999</v>
      </c>
      <c r="G125" s="20">
        <v>0.20420352248333654</v>
      </c>
      <c r="H125" s="20">
        <v>4.165302365909322E-3</v>
      </c>
      <c r="I125" s="2">
        <f ca="1"/>
        <v>118</v>
      </c>
      <c r="J125">
        <f ca="1"/>
        <v>0.20420352248333654</v>
      </c>
      <c r="K125">
        <f ca="1"/>
        <v>4.8017019464091431E-3</v>
      </c>
    </row>
    <row r="126" spans="3:11">
      <c r="C126" s="20">
        <v>2.0594885173533086</v>
      </c>
      <c r="D126" s="20">
        <v>-0.49003639452160003</v>
      </c>
      <c r="G126" s="20">
        <v>0.20594885173533087</v>
      </c>
      <c r="H126" s="20">
        <v>4.1737119522112925E-3</v>
      </c>
      <c r="I126" s="2">
        <f ca="1"/>
        <v>119</v>
      </c>
      <c r="J126">
        <f ca="1"/>
        <v>0.20594885173533087</v>
      </c>
      <c r="K126">
        <f ca="1"/>
        <v>4.8355636786346166E-3</v>
      </c>
    </row>
    <row r="127" spans="3:11">
      <c r="C127" s="20">
        <v>2.0769418098732522</v>
      </c>
      <c r="D127" s="20">
        <v>-0.50028159185429999</v>
      </c>
      <c r="G127" s="20">
        <v>0.2076941809873252</v>
      </c>
      <c r="H127" s="20">
        <v>4.1821816673857266E-3</v>
      </c>
      <c r="I127" s="2">
        <f ca="1"/>
        <v>120</v>
      </c>
      <c r="J127">
        <f ca="1"/>
        <v>0.2076941809873252</v>
      </c>
      <c r="K127">
        <f ca="1"/>
        <v>4.8702082222966533E-3</v>
      </c>
    </row>
    <row r="128" spans="3:11">
      <c r="C128" s="20">
        <v>2.0943951023931953</v>
      </c>
      <c r="D128" s="20">
        <v>-0.50997223472859998</v>
      </c>
      <c r="G128" s="20">
        <v>0.20943951023931953</v>
      </c>
      <c r="H128" s="20">
        <v>4.1907121859586479E-3</v>
      </c>
      <c r="I128" s="2">
        <f ca="1"/>
        <v>121</v>
      </c>
      <c r="J128">
        <f ca="1"/>
        <v>0.20943951023931953</v>
      </c>
      <c r="K128">
        <f ca="1"/>
        <v>4.9046228020908789E-3</v>
      </c>
    </row>
    <row r="129" spans="3:11">
      <c r="C129" s="20">
        <v>2.1118483949131388</v>
      </c>
      <c r="D129" s="20">
        <v>-0.51909706900529995</v>
      </c>
      <c r="G129" s="20">
        <v>0.21118483949131389</v>
      </c>
      <c r="H129" s="20">
        <v>4.199302030678702E-3</v>
      </c>
      <c r="I129" s="2">
        <f ca="1"/>
        <v>122</v>
      </c>
      <c r="J129">
        <f ca="1"/>
        <v>0.21118483949131389</v>
      </c>
      <c r="K129">
        <f ca="1"/>
        <v>4.9387574947400625E-3</v>
      </c>
    </row>
    <row r="130" spans="3:11">
      <c r="C130" s="20">
        <v>2.1293016874330819</v>
      </c>
      <c r="D130" s="20">
        <v>-0.52764547423590002</v>
      </c>
      <c r="G130" s="20">
        <v>0.21293016874330817</v>
      </c>
      <c r="H130" s="20">
        <v>4.2079517018067999E-3</v>
      </c>
      <c r="I130" s="2">
        <f ca="1"/>
        <v>123</v>
      </c>
      <c r="J130">
        <f ca="1"/>
        <v>0.21293016874330817</v>
      </c>
      <c r="K130">
        <f ca="1"/>
        <v>4.9729067138078115E-3</v>
      </c>
    </row>
    <row r="131" spans="3:11">
      <c r="C131" s="20">
        <v>2.1467549799530254</v>
      </c>
      <c r="D131" s="20">
        <v>-0.53560748759050014</v>
      </c>
      <c r="G131" s="20">
        <v>0.21467549799530256</v>
      </c>
      <c r="H131" s="20">
        <v>4.2166607497887976E-3</v>
      </c>
      <c r="I131" s="2">
        <f ca="1"/>
        <v>124</v>
      </c>
      <c r="J131">
        <f ca="1"/>
        <v>0.21467549799530256</v>
      </c>
      <c r="K131">
        <f ca="1"/>
        <v>5.0068596949183562E-3</v>
      </c>
    </row>
    <row r="132" spans="3:11">
      <c r="C132" s="20">
        <v>2.1642082724729685</v>
      </c>
      <c r="D132" s="20">
        <v>-0.54297382747629996</v>
      </c>
      <c r="G132" s="20">
        <v>0.21642082724729686</v>
      </c>
      <c r="H132" s="20">
        <v>4.2254289391791449E-3</v>
      </c>
      <c r="I132" s="2">
        <f ca="1"/>
        <v>125</v>
      </c>
      <c r="J132">
        <f ca="1"/>
        <v>0.21642082724729686</v>
      </c>
      <c r="K132">
        <f ca="1"/>
        <v>5.0407000659224745E-3</v>
      </c>
    </row>
    <row r="133" spans="3:11">
      <c r="C133" s="20">
        <v>2.1816615649929116</v>
      </c>
      <c r="D133" s="20">
        <v>-0.54973591666690003</v>
      </c>
      <c r="G133" s="20">
        <v>0.21816615649929119</v>
      </c>
      <c r="H133" s="20">
        <v>4.2342561123399659E-3</v>
      </c>
      <c r="I133" s="2">
        <f ca="1"/>
        <v>126</v>
      </c>
      <c r="J133">
        <f ca="1"/>
        <v>0.21816615649929119</v>
      </c>
      <c r="K133">
        <f ca="1"/>
        <v>5.0744172414114311E-3</v>
      </c>
    </row>
    <row r="134" spans="3:11">
      <c r="C134" s="20">
        <v>2.1991148575128552</v>
      </c>
      <c r="D134" s="20">
        <v>-0.55588590502000002</v>
      </c>
      <c r="G134" s="20">
        <v>0.2199114857512855</v>
      </c>
      <c r="H134" s="20">
        <v>4.2431419968756642E-3</v>
      </c>
      <c r="I134" s="2">
        <f ca="1"/>
        <v>127</v>
      </c>
      <c r="J134">
        <f ca="1"/>
        <v>0.2199114857512855</v>
      </c>
      <c r="K134">
        <f ca="1"/>
        <v>5.107997212009021E-3</v>
      </c>
    </row>
    <row r="135" spans="3:11">
      <c r="C135" s="20">
        <v>2.2165681500327987</v>
      </c>
      <c r="D135" s="20">
        <v>-0.56141669141649997</v>
      </c>
      <c r="G135" s="20">
        <v>0.22165681500327983</v>
      </c>
      <c r="H135" s="20">
        <v>4.2520863862464155E-3</v>
      </c>
      <c r="I135" s="2">
        <f ca="1"/>
        <v>128</v>
      </c>
      <c r="J135">
        <f ca="1"/>
        <v>0.22165681500327983</v>
      </c>
      <c r="K135">
        <f ca="1"/>
        <v>5.1414525344498779E-3</v>
      </c>
    </row>
    <row r="136" spans="3:11">
      <c r="C136" s="20">
        <v>2.2340214425527418</v>
      </c>
      <c r="D136" s="20">
        <v>-0.56632194509709999</v>
      </c>
      <c r="G136" s="20">
        <v>0.22340214425527419</v>
      </c>
      <c r="H136" s="20">
        <v>4.2610890518878959E-3</v>
      </c>
      <c r="I136" s="2">
        <f ca="1"/>
        <v>129</v>
      </c>
      <c r="J136">
        <f ca="1"/>
        <v>0.22340214425527419</v>
      </c>
      <c r="K136">
        <f ca="1"/>
        <v>5.1747764133247796E-3</v>
      </c>
    </row>
    <row r="137" spans="3:11">
      <c r="C137" s="20">
        <v>2.2514747350726849</v>
      </c>
      <c r="D137" s="20">
        <v>-0.57059612594880005</v>
      </c>
      <c r="G137" s="20">
        <v>0.22514747350726852</v>
      </c>
      <c r="H137" s="20">
        <v>4.2701497635398277E-3</v>
      </c>
      <c r="I137" s="2">
        <f ca="1"/>
        <v>130</v>
      </c>
      <c r="J137">
        <f ca="1"/>
        <v>0.22514747350726852</v>
      </c>
      <c r="K137">
        <f ca="1"/>
        <v>5.2079699861250286E-3</v>
      </c>
    </row>
    <row r="138" spans="3:11">
      <c r="C138" s="20">
        <v>2.2689280275926285</v>
      </c>
      <c r="D138" s="20">
        <v>-0.57423450390190001</v>
      </c>
      <c r="G138" s="20">
        <v>0.22689280275926285</v>
      </c>
      <c r="H138" s="20">
        <v>4.279268296608481E-3</v>
      </c>
      <c r="I138" s="2">
        <f ca="1"/>
        <v>131</v>
      </c>
      <c r="J138">
        <f ca="1"/>
        <v>0.22689280275926285</v>
      </c>
      <c r="K138">
        <f ca="1"/>
        <v>5.2410333332800589E-3</v>
      </c>
    </row>
    <row r="139" spans="3:11">
      <c r="C139" s="20">
        <v>2.286381320112572</v>
      </c>
      <c r="D139" s="20">
        <v>-0.57723317727300005</v>
      </c>
      <c r="G139" s="20">
        <v>0.22863813201125718</v>
      </c>
      <c r="H139" s="20">
        <v>4.2884444211143298E-3</v>
      </c>
      <c r="I139" s="2">
        <f ca="1"/>
        <v>132</v>
      </c>
      <c r="J139">
        <f ca="1"/>
        <v>0.22863813201125718</v>
      </c>
      <c r="K139">
        <f ca="1"/>
        <v>5.2739652811873922E-3</v>
      </c>
    </row>
    <row r="140" spans="3:11">
      <c r="C140" s="20">
        <v>2.3038346126325151</v>
      </c>
      <c r="D140" s="20">
        <v>-0.57958908963130007</v>
      </c>
      <c r="G140" s="20">
        <v>0.23038346126325149</v>
      </c>
      <c r="H140" s="20">
        <v>4.2976779083669986E-3</v>
      </c>
      <c r="I140" s="2">
        <f ca="1"/>
        <v>133</v>
      </c>
      <c r="J140">
        <f ca="1"/>
        <v>0.23038346126325149</v>
      </c>
      <c r="K140">
        <f ca="1"/>
        <v>5.3067660350217512E-3</v>
      </c>
    </row>
    <row r="141" spans="3:11">
      <c r="C141" s="20">
        <v>2.3212879051524582</v>
      </c>
      <c r="D141" s="20">
        <v>-0.58130004550689995</v>
      </c>
      <c r="G141" s="20">
        <v>0.23212879051524585</v>
      </c>
      <c r="H141" s="20">
        <v>4.3069685291031567E-3</v>
      </c>
      <c r="I141" s="2">
        <f ca="1"/>
        <v>134</v>
      </c>
      <c r="J141">
        <f ca="1"/>
        <v>0.23212879051524585</v>
      </c>
      <c r="K141">
        <f ca="1"/>
        <v>5.3394350350644861E-3</v>
      </c>
    </row>
    <row r="142" spans="3:11">
      <c r="C142" s="20">
        <v>2.3387411976724013</v>
      </c>
      <c r="D142" s="20">
        <v>-0.58236472443840004</v>
      </c>
      <c r="G142" s="20">
        <v>0.23387411976724018</v>
      </c>
      <c r="H142" s="20">
        <v>4.3163160526786416E-3</v>
      </c>
      <c r="I142" s="2">
        <f ca="1"/>
        <v>135</v>
      </c>
      <c r="J142">
        <f ca="1"/>
        <v>0.23387411976724018</v>
      </c>
      <c r="K142">
        <f ca="1"/>
        <v>5.3719717741216146E-3</v>
      </c>
    </row>
    <row r="143" spans="3:11">
      <c r="C143" s="20">
        <v>2.3561944901923448</v>
      </c>
      <c r="D143" s="20">
        <v>-0.5827826935057</v>
      </c>
      <c r="G143" s="20">
        <v>0.23561944901923448</v>
      </c>
      <c r="H143" s="20">
        <v>4.3257202480596812E-3</v>
      </c>
      <c r="I143" s="2">
        <f ca="1"/>
        <v>136</v>
      </c>
      <c r="J143">
        <f ca="1"/>
        <v>0.23561944901923448</v>
      </c>
      <c r="K143">
        <f ca="1"/>
        <v>5.4043760404531684E-3</v>
      </c>
    </row>
    <row r="144" spans="3:11">
      <c r="C144" s="20">
        <v>2.3736477827122884</v>
      </c>
      <c r="D144" s="20">
        <v>-0.58255441799550001</v>
      </c>
      <c r="G144" s="20">
        <v>0.23736477827122884</v>
      </c>
      <c r="H144" s="20">
        <v>4.335180883863002E-3</v>
      </c>
      <c r="I144" s="2">
        <f ca="1"/>
        <v>137</v>
      </c>
      <c r="J144">
        <f ca="1"/>
        <v>0.23736477827122884</v>
      </c>
      <c r="K144">
        <f ca="1"/>
        <v>5.4366474729503214E-3</v>
      </c>
    </row>
    <row r="145" spans="3:11">
      <c r="C145" s="20">
        <v>2.3911010752322315</v>
      </c>
      <c r="D145" s="20">
        <v>-0.58168127020080007</v>
      </c>
      <c r="G145" s="20">
        <v>0.23911010752322315</v>
      </c>
      <c r="H145" s="20">
        <v>4.3446977277943237E-3</v>
      </c>
      <c r="I145" s="2">
        <f ca="1"/>
        <v>138</v>
      </c>
      <c r="J145">
        <f ca="1"/>
        <v>0.23911010752322315</v>
      </c>
      <c r="K145">
        <f ca="1"/>
        <v>5.4687856530543583E-3</v>
      </c>
    </row>
    <row r="146" spans="3:11">
      <c r="C146" s="20">
        <v>2.4085543677521746</v>
      </c>
      <c r="D146" s="20">
        <v>-0.58016553632029999</v>
      </c>
      <c r="G146" s="20">
        <v>0.24085543677521745</v>
      </c>
      <c r="H146" s="20">
        <v>4.3542705470093271E-3</v>
      </c>
      <c r="I146" s="2">
        <f ca="1"/>
        <v>139</v>
      </c>
      <c r="J146">
        <f ca="1"/>
        <v>0.24085543677521745</v>
      </c>
      <c r="K146">
        <f ca="1"/>
        <v>5.5007903099346181E-3</v>
      </c>
    </row>
    <row r="147" spans="3:11">
      <c r="C147" s="20">
        <v>2.4260076602721181</v>
      </c>
      <c r="D147" s="20">
        <v>-0.57801042108569989</v>
      </c>
      <c r="G147" s="20">
        <v>0.24260076602721178</v>
      </c>
      <c r="H147" s="20">
        <v>4.3638991082683553E-3</v>
      </c>
      <c r="I147" s="2">
        <f ca="1"/>
        <v>140</v>
      </c>
      <c r="J147">
        <f ca="1"/>
        <v>0.24260076602721178</v>
      </c>
      <c r="K147">
        <f ca="1"/>
        <v>5.5326610595021856E-3</v>
      </c>
    </row>
    <row r="148" spans="3:11">
      <c r="C148" s="20">
        <v>2.4434609527920612</v>
      </c>
      <c r="D148" s="20">
        <v>-0.57522005027760004</v>
      </c>
      <c r="G148" s="20">
        <v>0.24434609527920614</v>
      </c>
      <c r="H148" s="20">
        <v>4.3735831773863655E-3</v>
      </c>
      <c r="I148" s="2">
        <f ca="1"/>
        <v>141</v>
      </c>
      <c r="J148">
        <f ca="1"/>
        <v>0.24434609527920614</v>
      </c>
      <c r="K148">
        <f ca="1"/>
        <v>5.5649909046137517E-3</v>
      </c>
    </row>
    <row r="149" spans="3:11">
      <c r="C149" s="20">
        <v>2.4609142453120043</v>
      </c>
      <c r="D149" s="20">
        <v>-0.57179947090930006</v>
      </c>
      <c r="G149" s="20">
        <v>0.24609142453120048</v>
      </c>
      <c r="H149" s="20">
        <v>4.383324591094165E-3</v>
      </c>
      <c r="I149" s="2">
        <f ca="1"/>
        <v>142</v>
      </c>
      <c r="J149">
        <f ca="1"/>
        <v>0.24609142453120048</v>
      </c>
      <c r="K149">
        <f ca="1"/>
        <v>5.5974417999270342E-3</v>
      </c>
    </row>
    <row r="150" spans="3:11">
      <c r="C150" s="20">
        <v>2.4783675378319479</v>
      </c>
      <c r="D150" s="20">
        <v>-0.56775464898919992</v>
      </c>
      <c r="G150" s="20">
        <v>0.24783675378319478</v>
      </c>
      <c r="H150" s="20">
        <v>4.3931219352058622E-3</v>
      </c>
      <c r="I150" s="2">
        <f ca="1"/>
        <v>143</v>
      </c>
      <c r="J150">
        <f ca="1"/>
        <v>0.24783675378319478</v>
      </c>
      <c r="K150">
        <f ca="1"/>
        <v>5.6282276919699028E-3</v>
      </c>
    </row>
    <row r="151" spans="3:11">
      <c r="C151" s="20">
        <v>2.4958208303518914</v>
      </c>
      <c r="D151" s="20">
        <v>-0.56309246481700004</v>
      </c>
      <c r="G151" s="20">
        <v>0.24958208303518911</v>
      </c>
      <c r="H151" s="20">
        <v>4.4029708119495241E-3</v>
      </c>
      <c r="I151" s="2">
        <f ca="1"/>
        <v>144</v>
      </c>
      <c r="J151">
        <f ca="1"/>
        <v>0.24958208303518911</v>
      </c>
      <c r="K151">
        <f ca="1"/>
        <v>5.6585616236489496E-3</v>
      </c>
    </row>
    <row r="152" spans="3:11">
      <c r="C152" s="20">
        <v>2.5132741228718345</v>
      </c>
      <c r="D152" s="20">
        <v>-0.5578207057515</v>
      </c>
      <c r="G152" s="20">
        <v>0.25132741228718342</v>
      </c>
      <c r="H152" s="20">
        <v>4.4128740414577962E-3</v>
      </c>
      <c r="I152" s="2">
        <f ca="1"/>
        <v>145</v>
      </c>
      <c r="J152">
        <f ca="1"/>
        <v>0.25132741228718342</v>
      </c>
      <c r="K152">
        <f ca="1"/>
        <v>5.6899802191668529E-3</v>
      </c>
    </row>
    <row r="153" spans="3:11">
      <c r="C153" s="20">
        <v>2.5307274153917776</v>
      </c>
      <c r="D153" s="20">
        <v>-0.55194805639080002</v>
      </c>
      <c r="G153" s="20">
        <v>0.2530727415391778</v>
      </c>
      <c r="H153" s="20">
        <v>4.4228325897890863E-3</v>
      </c>
      <c r="I153" s="2">
        <f ca="1"/>
        <v>146</v>
      </c>
      <c r="J153">
        <f ca="1"/>
        <v>0.2530727415391778</v>
      </c>
      <c r="K153">
        <f ca="1"/>
        <v>5.721125522697666E-3</v>
      </c>
    </row>
    <row r="154" spans="3:11">
      <c r="C154" s="20">
        <v>2.5481807079117211</v>
      </c>
      <c r="D154" s="20">
        <v>-0.54548408612080002</v>
      </c>
      <c r="G154" s="20">
        <v>0.25481807079117208</v>
      </c>
      <c r="H154" s="20">
        <v>4.4328445369159874E-3</v>
      </c>
      <c r="I154" s="2">
        <f ca="1"/>
        <v>147</v>
      </c>
      <c r="J154">
        <f ca="1"/>
        <v>0.25481807079117208</v>
      </c>
      <c r="K154">
        <f ca="1"/>
        <v>5.751929278131185E-3</v>
      </c>
    </row>
    <row r="155" spans="3:11">
      <c r="C155" s="20">
        <v>2.5656340004316647</v>
      </c>
      <c r="D155" s="20">
        <v>-0.53843923402829996</v>
      </c>
      <c r="G155" s="20">
        <v>0.25656340004316641</v>
      </c>
      <c r="H155" s="20">
        <v>4.442910610638136E-3</v>
      </c>
      <c r="I155" s="2">
        <f ca="1"/>
        <v>148</v>
      </c>
      <c r="J155">
        <f ca="1"/>
        <v>0.25656340004316641</v>
      </c>
      <c r="K155">
        <f ca="1"/>
        <v>5.7827864481069646E-3</v>
      </c>
    </row>
    <row r="156" spans="3:11">
      <c r="C156" s="20">
        <v>2.5830872929516078</v>
      </c>
      <c r="D156" s="20">
        <v>-0.53082479119699988</v>
      </c>
      <c r="G156" s="20">
        <v>0.25830872929516074</v>
      </c>
      <c r="H156" s="20">
        <v>4.4530302696078224E-3</v>
      </c>
      <c r="I156" s="2">
        <f ca="1"/>
        <v>149</v>
      </c>
      <c r="J156">
        <f ca="1"/>
        <v>0.25830872929516074</v>
      </c>
      <c r="K156">
        <f ca="1"/>
        <v>5.8134154958704313E-3</v>
      </c>
    </row>
    <row r="157" spans="3:11">
      <c r="C157" s="20">
        <v>2.6005405854715509</v>
      </c>
      <c r="D157" s="20">
        <v>-0.52265288033619994</v>
      </c>
      <c r="G157" s="20">
        <v>0.26005405854715513</v>
      </c>
      <c r="H157" s="20">
        <v>4.4632032588760159E-3</v>
      </c>
      <c r="I157" s="2">
        <f ca="1"/>
        <v>150</v>
      </c>
      <c r="J157">
        <f ca="1"/>
        <v>0.26005405854715513</v>
      </c>
      <c r="K157">
        <f ca="1"/>
        <v>5.8439283125915151E-3</v>
      </c>
    </row>
    <row r="158" spans="3:11">
      <c r="C158" s="20">
        <v>2.6179938779914944</v>
      </c>
      <c r="D158" s="20">
        <v>-0.5139364328421</v>
      </c>
      <c r="G158" s="20">
        <v>0.26179938779914941</v>
      </c>
      <c r="H158" s="20">
        <v>4.4734294276688701E-3</v>
      </c>
      <c r="I158" s="2">
        <f ca="1"/>
        <v>151</v>
      </c>
      <c r="J158">
        <f ca="1"/>
        <v>0.26179938779914941</v>
      </c>
      <c r="K158">
        <f ca="1"/>
        <v>5.8743111449532466E-3</v>
      </c>
    </row>
    <row r="159" spans="3:11">
      <c r="C159" s="20">
        <v>2.6354471705114375</v>
      </c>
      <c r="D159" s="20">
        <v>-0.50468916332109992</v>
      </c>
      <c r="G159" s="20">
        <v>0.26354471705114374</v>
      </c>
      <c r="H159" s="20">
        <v>4.483708473029222E-3</v>
      </c>
      <c r="I159" s="2">
        <f ca="1"/>
        <v>152</v>
      </c>
      <c r="J159">
        <f ca="1"/>
        <v>0.26354471705114374</v>
      </c>
      <c r="K159">
        <f ca="1"/>
        <v>5.9045454992669028E-3</v>
      </c>
    </row>
    <row r="160" spans="3:11">
      <c r="C160" s="20">
        <v>2.6529004630313806</v>
      </c>
      <c r="D160" s="20">
        <v>-0.4949255416135</v>
      </c>
      <c r="G160" s="20">
        <v>0.26529004630313807</v>
      </c>
      <c r="H160" s="20">
        <v>4.4940401796280741E-3</v>
      </c>
      <c r="I160" s="2">
        <f ca="1"/>
        <v>153</v>
      </c>
      <c r="J160">
        <f ca="1"/>
        <v>0.26529004630313807</v>
      </c>
      <c r="K160">
        <f ca="1"/>
        <v>5.9346482606468234E-3</v>
      </c>
    </row>
    <row r="161" spans="3:11">
      <c r="C161" s="20">
        <v>2.6703537555513241</v>
      </c>
      <c r="D161" s="20">
        <v>-0.48466076243460005</v>
      </c>
      <c r="G161" s="20">
        <v>0.2670353755551324</v>
      </c>
      <c r="H161" s="20">
        <v>4.5044243034484304E-3</v>
      </c>
      <c r="I161" s="2">
        <f ca="1"/>
        <v>154</v>
      </c>
      <c r="J161">
        <f ca="1"/>
        <v>0.2670353755551324</v>
      </c>
      <c r="K161">
        <f ca="1"/>
        <v>5.9646107772567836E-3</v>
      </c>
    </row>
    <row r="162" spans="3:11">
      <c r="C162" s="20">
        <v>2.6878070480712677</v>
      </c>
      <c r="D162" s="20">
        <v>-0.47391071274969998</v>
      </c>
      <c r="G162" s="20">
        <v>0.26878070480712679</v>
      </c>
      <c r="H162" s="20">
        <v>4.5148605989606882E-3</v>
      </c>
      <c r="I162" s="2">
        <f ca="1"/>
        <v>155</v>
      </c>
      <c r="J162">
        <f ca="1"/>
        <v>0.26878070480712679</v>
      </c>
      <c r="K162">
        <f ca="1"/>
        <v>5.9944347134795939E-3</v>
      </c>
    </row>
    <row r="163" spans="3:11">
      <c r="C163" s="20">
        <v>2.7052603405912108</v>
      </c>
      <c r="D163" s="20">
        <v>-0.46269193697009997</v>
      </c>
      <c r="G163" s="20">
        <v>0.27052603405912107</v>
      </c>
      <c r="H163" s="20">
        <v>4.5253488279576428E-3</v>
      </c>
      <c r="I163" s="2">
        <f ca="1"/>
        <v>156</v>
      </c>
      <c r="J163">
        <f ca="1"/>
        <v>0.27052603405912107</v>
      </c>
      <c r="K163">
        <f ca="1"/>
        <v>6.0241204254993241E-3</v>
      </c>
    </row>
    <row r="164" spans="3:11">
      <c r="C164" s="20">
        <v>2.7227136331111539</v>
      </c>
      <c r="D164" s="20">
        <v>-0.45102160011719999</v>
      </c>
      <c r="G164" s="20">
        <v>0.27227136331111546</v>
      </c>
      <c r="H164" s="20">
        <v>4.5358887461530092E-3</v>
      </c>
      <c r="I164" s="2">
        <f ca="1"/>
        <v>157</v>
      </c>
      <c r="J164">
        <f ca="1"/>
        <v>0.27227136331111546</v>
      </c>
      <c r="K164">
        <f ca="1"/>
        <v>6.0536667479203317E-3</v>
      </c>
    </row>
    <row r="165" spans="3:11">
      <c r="C165" s="20">
        <v>2.740166925631097</v>
      </c>
      <c r="D165" s="20">
        <v>-0.4389174491335</v>
      </c>
      <c r="G165" s="20">
        <v>0.27401669256310973</v>
      </c>
      <c r="H165" s="20">
        <v>4.5464801112715843E-3</v>
      </c>
      <c r="I165" s="2">
        <f ca="1"/>
        <v>158</v>
      </c>
      <c r="J165">
        <f ca="1"/>
        <v>0.27401669256310973</v>
      </c>
      <c r="K165">
        <f ca="1"/>
        <v>6.0830739712704812E-3</v>
      </c>
    </row>
    <row r="166" spans="3:11">
      <c r="C166" s="20">
        <v>2.7576202181510405</v>
      </c>
      <c r="D166" s="20">
        <v>-0.42639777247010002</v>
      </c>
      <c r="G166" s="20">
        <v>0.27576202181510406</v>
      </c>
      <c r="H166" s="20">
        <v>4.5571226800412163E-3</v>
      </c>
      <c r="I166" s="2">
        <f ca="1"/>
        <v>159</v>
      </c>
      <c r="J166">
        <f ca="1"/>
        <v>0.27576202181510406</v>
      </c>
      <c r="K166">
        <f ca="1"/>
        <v>6.1123416162595211E-3</v>
      </c>
    </row>
    <row r="167" spans="3:11">
      <c r="C167" s="20">
        <v>2.7750735106709841</v>
      </c>
      <c r="D167" s="20">
        <v>-0.41348135817079995</v>
      </c>
      <c r="G167" s="20">
        <v>0.2775073510670984</v>
      </c>
      <c r="H167" s="20">
        <v>4.5678162085136644E-3</v>
      </c>
      <c r="I167" s="2">
        <f ca="1"/>
        <v>160</v>
      </c>
      <c r="J167">
        <f ca="1"/>
        <v>0.2775073510670984</v>
      </c>
      <c r="K167">
        <f ca="1"/>
        <v>6.1414695023346098E-3</v>
      </c>
    </row>
    <row r="168" spans="3:11">
      <c r="C168" s="20">
        <v>2.7925268031909272</v>
      </c>
      <c r="D168" s="20">
        <v>-0.40018745062360001</v>
      </c>
      <c r="G168" s="20">
        <v>0.27925268031909273</v>
      </c>
      <c r="H168" s="20">
        <v>4.5785604527865276E-3</v>
      </c>
      <c r="I168" s="2">
        <f ca="1"/>
        <v>161</v>
      </c>
      <c r="J168">
        <f ca="1"/>
        <v>0.27925268031909273</v>
      </c>
      <c r="K168">
        <f ca="1"/>
        <v>6.1704574013400522E-3</v>
      </c>
    </row>
    <row r="169" spans="3:11">
      <c r="C169" s="20">
        <v>2.8099800957108703</v>
      </c>
      <c r="D169" s="20">
        <v>-0.38653570617909999</v>
      </c>
      <c r="G169" s="20">
        <v>0.28099800957108706</v>
      </c>
      <c r="H169" s="20">
        <v>4.5893551681151518E-3</v>
      </c>
      <c r="I169" s="2">
        <f ca="1"/>
        <v>162</v>
      </c>
      <c r="J169">
        <f ca="1"/>
        <v>0.28099800957108706</v>
      </c>
      <c r="K169">
        <f ca="1"/>
        <v>6.1993050276713813E-3</v>
      </c>
    </row>
    <row r="170" spans="3:11">
      <c r="C170" s="20">
        <v>2.8274333882308138</v>
      </c>
      <c r="D170" s="20">
        <v>-0.37254614786719997</v>
      </c>
      <c r="G170" s="20">
        <v>0.28274333882308145</v>
      </c>
      <c r="H170" s="20">
        <v>4.6002001096001888E-3</v>
      </c>
      <c r="I170" s="2">
        <f ca="1"/>
        <v>163</v>
      </c>
      <c r="J170">
        <f ca="1"/>
        <v>0.28274333882308145</v>
      </c>
      <c r="K170">
        <f ca="1"/>
        <v>6.2280121564563216E-3</v>
      </c>
    </row>
    <row r="171" spans="3:11">
      <c r="C171" s="20">
        <v>2.8448866807507569</v>
      </c>
      <c r="D171" s="20">
        <v>-0.35823911941790004</v>
      </c>
      <c r="G171" s="20">
        <v>0.28448866807507567</v>
      </c>
      <c r="H171" s="20">
        <v>4.6110950317120305E-3</v>
      </c>
      <c r="I171" s="2">
        <f ca="1"/>
        <v>164</v>
      </c>
      <c r="J171">
        <f ca="1"/>
        <v>0.28448866807507567</v>
      </c>
      <c r="K171">
        <f ca="1"/>
        <v>6.2565784692633075E-3</v>
      </c>
    </row>
    <row r="172" spans="3:11">
      <c r="C172" s="20">
        <v>2.8623399732707</v>
      </c>
      <c r="D172" s="20">
        <v>-0.34363523882210001</v>
      </c>
      <c r="G172" s="20">
        <v>0.28623399732707</v>
      </c>
      <c r="H172" s="20">
        <v>4.6220396884397944E-3</v>
      </c>
      <c r="I172" s="2">
        <f ca="1"/>
        <v>165</v>
      </c>
      <c r="J172">
        <f ca="1"/>
        <v>0.28623399732707</v>
      </c>
      <c r="K172">
        <f ca="1"/>
        <v>6.2850038298552149E-3</v>
      </c>
    </row>
    <row r="173" spans="3:11">
      <c r="C173" s="20">
        <v>2.8797932657906435</v>
      </c>
      <c r="D173" s="20">
        <v>-0.32875535163470004</v>
      </c>
      <c r="G173" s="20">
        <v>0.28797932657906439</v>
      </c>
      <c r="H173" s="20">
        <v>4.6330338337783163E-3</v>
      </c>
      <c r="I173" s="2">
        <f ca="1"/>
        <v>166</v>
      </c>
      <c r="J173">
        <f ca="1"/>
        <v>0.28797932657906439</v>
      </c>
      <c r="K173">
        <f ca="1"/>
        <v>6.3132880494703994E-3</v>
      </c>
    </row>
    <row r="174" spans="3:11">
      <c r="C174" s="20">
        <v>2.8972465583105871</v>
      </c>
      <c r="D174" s="20">
        <v>-0.31362048427329997</v>
      </c>
      <c r="G174" s="20">
        <v>0.28972465583105866</v>
      </c>
      <c r="H174" s="20">
        <v>4.6440772210578083E-3</v>
      </c>
      <c r="I174" s="2">
        <f ca="1"/>
        <v>167</v>
      </c>
      <c r="J174">
        <f ca="1"/>
        <v>0.28972465583105866</v>
      </c>
      <c r="K174">
        <f ca="1"/>
        <v>6.3414308638438778E-3</v>
      </c>
    </row>
    <row r="175" spans="3:11">
      <c r="C175" s="20">
        <v>2.9146998508305306</v>
      </c>
      <c r="D175" s="20">
        <v>-0.29825179752709996</v>
      </c>
      <c r="G175" s="20">
        <v>0.291469985083053</v>
      </c>
      <c r="H175" s="20">
        <v>4.6551696033506488E-3</v>
      </c>
      <c r="I175" s="2">
        <f ca="1"/>
        <v>168</v>
      </c>
      <c r="J175">
        <f ca="1"/>
        <v>0.291469985083053</v>
      </c>
      <c r="K175">
        <f ca="1"/>
        <v>6.3694321104765831E-3</v>
      </c>
    </row>
    <row r="176" spans="3:11">
      <c r="C176" s="20">
        <v>2.9321531433504737</v>
      </c>
      <c r="D176" s="20">
        <v>-0.28267054049430002</v>
      </c>
      <c r="G176" s="20">
        <v>0.29321531433504738</v>
      </c>
      <c r="H176" s="20">
        <v>4.6663107334198222E-3</v>
      </c>
      <c r="I176" s="2">
        <f ca="1"/>
        <v>169</v>
      </c>
      <c r="J176">
        <f ca="1"/>
        <v>0.29321531433504738</v>
      </c>
      <c r="K176">
        <f ca="1"/>
        <v>6.3972915628544907E-3</v>
      </c>
    </row>
    <row r="177" spans="3:11">
      <c r="C177" s="20">
        <v>2.9496064358704168</v>
      </c>
      <c r="D177" s="20">
        <v>-0.26689800516309997</v>
      </c>
      <c r="G177" s="20">
        <v>0.29496064358704166</v>
      </c>
      <c r="H177" s="20">
        <v>4.6775003635470217E-3</v>
      </c>
      <c r="I177" s="2">
        <f ca="1"/>
        <v>170</v>
      </c>
      <c r="J177">
        <f ca="1"/>
        <v>0.29496064358704166</v>
      </c>
      <c r="K177">
        <f ca="1"/>
        <v>6.4250089911811253E-3</v>
      </c>
    </row>
    <row r="178" spans="3:11">
      <c r="C178" s="20">
        <v>2.9670597283903604</v>
      </c>
      <c r="D178" s="20">
        <v>-0.2509554818586</v>
      </c>
      <c r="G178" s="20">
        <v>0.29670597283903605</v>
      </c>
      <c r="H178" s="20">
        <v>4.6887382456930922E-3</v>
      </c>
      <c r="I178" s="2">
        <f ca="1"/>
        <v>171</v>
      </c>
      <c r="J178">
        <f ca="1"/>
        <v>0.29670597283903605</v>
      </c>
      <c r="K178">
        <f ca="1"/>
        <v>6.4525841443221245E-3</v>
      </c>
    </row>
    <row r="179" spans="3:11">
      <c r="C179" s="20">
        <v>2.9845130209103035</v>
      </c>
      <c r="D179" s="20">
        <v>-0.23486421574239999</v>
      </c>
      <c r="G179" s="20">
        <v>0.29845130209103038</v>
      </c>
      <c r="H179" s="20">
        <v>4.7000241312631025E-3</v>
      </c>
      <c r="I179" s="2">
        <f ca="1"/>
        <v>172</v>
      </c>
      <c r="J179">
        <f ca="1"/>
        <v>0.29845130209103038</v>
      </c>
      <c r="K179">
        <f ca="1"/>
        <v>6.4800168187430238E-3</v>
      </c>
    </row>
    <row r="180" spans="3:11">
      <c r="C180" s="20">
        <v>3.0019663134302466</v>
      </c>
      <c r="D180" s="20">
        <v>-0.21864536455860001</v>
      </c>
      <c r="G180" s="20">
        <v>0.30019663134302466</v>
      </c>
      <c r="H180" s="20">
        <v>4.7113577715074267E-3</v>
      </c>
      <c r="I180" s="2">
        <f ca="1"/>
        <v>173</v>
      </c>
      <c r="J180">
        <f ca="1"/>
        <v>0.30019663134302466</v>
      </c>
      <c r="K180">
        <f ca="1"/>
        <v>6.5073069274501696E-3</v>
      </c>
    </row>
    <row r="181" spans="3:11">
      <c r="C181" s="20">
        <v>3.0194196059501901</v>
      </c>
      <c r="D181" s="20">
        <v>-0.20231995779680001</v>
      </c>
      <c r="G181" s="20">
        <v>0.30194196059501899</v>
      </c>
      <c r="H181" s="20">
        <v>4.7227389175274704E-3</v>
      </c>
      <c r="I181" s="2">
        <f ca="1"/>
        <v>174</v>
      </c>
      <c r="J181">
        <f ca="1"/>
        <v>0.30194196059501899</v>
      </c>
      <c r="K181">
        <f ca="1"/>
        <v>6.5344542143839146E-3</v>
      </c>
    </row>
    <row r="182" spans="3:11">
      <c r="C182" s="20">
        <v>3.0368728984701332</v>
      </c>
      <c r="D182" s="20">
        <v>-0.18590885745050001</v>
      </c>
      <c r="G182" s="20">
        <v>0.30368728984701332</v>
      </c>
      <c r="H182" s="20">
        <v>4.7341673196797905E-3</v>
      </c>
      <c r="I182" s="2">
        <f ca="1"/>
        <v>175</v>
      </c>
      <c r="J182">
        <f ca="1"/>
        <v>0.30368728984701332</v>
      </c>
      <c r="K182">
        <f ca="1"/>
        <v>6.5614584497478987E-3</v>
      </c>
    </row>
    <row r="183" spans="3:11">
      <c r="C183" s="20">
        <v>3.0543261909900763</v>
      </c>
      <c r="D183" s="20">
        <v>-0.1694327204976</v>
      </c>
      <c r="G183" s="20">
        <v>0.30543261909900765</v>
      </c>
      <c r="H183" s="20">
        <v>4.7456427282636512E-3</v>
      </c>
      <c r="I183" s="2">
        <f ca="1"/>
        <v>176</v>
      </c>
      <c r="J183">
        <f ca="1"/>
        <v>0.30543261909900765</v>
      </c>
      <c r="K183">
        <f ca="1"/>
        <v>6.5883196023563285E-3</v>
      </c>
    </row>
    <row r="184" spans="3:11">
      <c r="C184" s="20">
        <v>3.0717794835100198</v>
      </c>
      <c r="D184" s="20">
        <v>-0.1529119632572</v>
      </c>
      <c r="G184" s="20">
        <v>0.30717794835100204</v>
      </c>
      <c r="H184" s="20">
        <v>4.7571648935267512E-3</v>
      </c>
      <c r="I184" s="2">
        <f ca="1"/>
        <v>177</v>
      </c>
      <c r="J184">
        <f ca="1"/>
        <v>0.30717794835100204</v>
      </c>
      <c r="K184">
        <f ca="1"/>
        <v>6.6150374358463467E-3</v>
      </c>
    </row>
    <row r="185" spans="3:11">
      <c r="C185" s="20">
        <v>3.0892327760299634</v>
      </c>
      <c r="D185" s="20">
        <v>-0.13636672771950001</v>
      </c>
      <c r="G185" s="20">
        <v>0.30892327760299632</v>
      </c>
      <c r="H185" s="20">
        <v>4.7687335649432916E-3</v>
      </c>
      <c r="I185" s="2">
        <f ca="1"/>
        <v>178</v>
      </c>
      <c r="J185">
        <f ca="1"/>
        <v>0.30892327760299632</v>
      </c>
      <c r="K185">
        <f ca="1"/>
        <v>6.6416116974419206E-3</v>
      </c>
    </row>
    <row r="186" spans="3:11">
      <c r="C186" s="20">
        <v>3.1066860685499069</v>
      </c>
      <c r="D186" s="20">
        <v>-0.11981684996350001</v>
      </c>
      <c r="G186" s="20">
        <v>0.31066860685499065</v>
      </c>
      <c r="H186" s="20">
        <v>4.7803484918786171E-3</v>
      </c>
      <c r="I186" s="2">
        <f ca="1"/>
        <v>179</v>
      </c>
      <c r="J186">
        <f ca="1"/>
        <v>0.31066860685499065</v>
      </c>
      <c r="K186">
        <f ca="1"/>
        <v>6.6680423182048105E-3</v>
      </c>
    </row>
    <row r="187" spans="3:11">
      <c r="C187" s="20">
        <v>3.12413936106985</v>
      </c>
      <c r="D187" s="20">
        <v>-0.1032818307347</v>
      </c>
      <c r="G187" s="20">
        <v>0.31241393610698498</v>
      </c>
      <c r="H187" s="20">
        <v>4.7920094235662895E-3</v>
      </c>
      <c r="I187" s="2">
        <f ca="1"/>
        <v>180</v>
      </c>
      <c r="J187">
        <f ca="1"/>
        <v>0.31241393610698498</v>
      </c>
      <c r="K187">
        <f ca="1"/>
        <v>6.6943291487660504E-3</v>
      </c>
    </row>
    <row r="188" spans="3:11">
      <c r="C188" s="20">
        <v>3.1415926535897931</v>
      </c>
      <c r="D188" s="20">
        <v>-8.6780808251499988E-2</v>
      </c>
      <c r="G188" s="20">
        <v>0.31415926535897931</v>
      </c>
      <c r="H188" s="20">
        <v>4.8037161088502565E-3</v>
      </c>
      <c r="I188" s="2">
        <f ca="1"/>
        <v>181</v>
      </c>
      <c r="J188">
        <f ca="1"/>
        <v>0.31415926535897931</v>
      </c>
      <c r="K188">
        <f ca="1"/>
        <v>6.7204719839506861E-3</v>
      </c>
    </row>
    <row r="189" spans="3:11">
      <c r="C189" s="20">
        <v>3.1590459461097362</v>
      </c>
      <c r="D189" s="20">
        <v>-7.0332533285699994E-2</v>
      </c>
      <c r="G189" s="20">
        <v>0.31590459461097364</v>
      </c>
      <c r="H189" s="20">
        <v>4.8154682962478846E-3</v>
      </c>
      <c r="I189" s="2">
        <f ca="1"/>
        <v>182</v>
      </c>
      <c r="J189">
        <f ca="1"/>
        <v>0.31590459461097364</v>
      </c>
      <c r="K189">
        <f ca="1"/>
        <v>6.7464706169426507E-3</v>
      </c>
    </row>
    <row r="190" spans="3:11">
      <c r="C190" s="20">
        <v>3.1764992386296798</v>
      </c>
      <c r="D190" s="20">
        <v>-5.3955346549600006E-2</v>
      </c>
      <c r="G190" s="20">
        <v>0.31764992386296798</v>
      </c>
      <c r="H190" s="20">
        <v>4.827265733881197E-3</v>
      </c>
      <c r="I190" s="2">
        <f ca="1"/>
        <v>183</v>
      </c>
      <c r="J190">
        <f ca="1"/>
        <v>0.31764992386296798</v>
      </c>
      <c r="K190">
        <f ca="1"/>
        <v>6.772324911505122E-3</v>
      </c>
    </row>
    <row r="191" spans="3:11">
      <c r="C191" s="20">
        <v>3.1939525311496229</v>
      </c>
      <c r="D191" s="20">
        <v>-3.7667158399300002E-2</v>
      </c>
      <c r="G191" s="20">
        <v>0.31939525311496231</v>
      </c>
      <c r="H191" s="20">
        <v>4.8391081697920042E-3</v>
      </c>
      <c r="I191" s="2">
        <f ca="1"/>
        <v>184</v>
      </c>
      <c r="J191">
        <f ca="1"/>
        <v>0.31939525311496231</v>
      </c>
      <c r="K191">
        <f ca="1"/>
        <v>6.7980347510984921E-3</v>
      </c>
    </row>
    <row r="192" spans="3:11">
      <c r="C192" s="20">
        <v>3.211405823669566</v>
      </c>
      <c r="D192" s="20">
        <v>-2.14854308561E-2</v>
      </c>
      <c r="G192" s="20">
        <v>0.3211405823669567</v>
      </c>
      <c r="H192" s="20">
        <v>4.8509953516955298E-3</v>
      </c>
      <c r="I192" s="2">
        <f ca="1"/>
        <v>185</v>
      </c>
      <c r="J192">
        <f ca="1"/>
        <v>0.3211405823669567</v>
      </c>
      <c r="K192">
        <f ca="1"/>
        <v>6.8236000421628461E-3</v>
      </c>
    </row>
    <row r="193" spans="3:11">
      <c r="C193" s="20">
        <v>3.2288591161895095</v>
      </c>
      <c r="D193" s="20">
        <v>-5.4271619263E-3</v>
      </c>
      <c r="G193" s="20">
        <v>0.32288591161895097</v>
      </c>
      <c r="H193" s="20">
        <v>4.8629270273069973E-3</v>
      </c>
      <c r="I193" s="2">
        <f ca="1"/>
        <v>186</v>
      </c>
      <c r="J193">
        <f ca="1"/>
        <v>0.32288591161895097</v>
      </c>
      <c r="K193">
        <f ca="1"/>
        <v>6.8490206517438246E-3</v>
      </c>
    </row>
    <row r="194" spans="3:11">
      <c r="C194" s="20">
        <v>3.2463124087094526</v>
      </c>
      <c r="D194" s="20">
        <v>1.0491127814900001E-2</v>
      </c>
      <c r="G194" s="20">
        <v>0.3246312408709453</v>
      </c>
      <c r="H194" s="20">
        <v>4.874902943877533E-3</v>
      </c>
      <c r="I194" s="2">
        <f ca="1"/>
        <v>187</v>
      </c>
      <c r="J194">
        <f ca="1"/>
        <v>0.3246312408709453</v>
      </c>
      <c r="K194">
        <f ca="1"/>
        <v>6.8742963385555241E-3</v>
      </c>
    </row>
    <row r="195" spans="3:11">
      <c r="C195" s="20">
        <v>3.2637657012293966</v>
      </c>
      <c r="D195" s="20">
        <v>2.62534064173E-2</v>
      </c>
      <c r="G195" s="20">
        <v>0.32637657012293969</v>
      </c>
      <c r="H195" s="20">
        <v>4.8869228482801147E-3</v>
      </c>
      <c r="I195" s="2">
        <f ca="1"/>
        <v>188</v>
      </c>
      <c r="J195">
        <f ca="1"/>
        <v>0.32637657012293969</v>
      </c>
      <c r="K195">
        <f ca="1"/>
        <v>6.8994270418662679E-3</v>
      </c>
    </row>
    <row r="196" spans="3:11">
      <c r="C196" s="20">
        <v>3.2812189937493397</v>
      </c>
      <c r="D196" s="20">
        <v>4.1844139588500001E-2</v>
      </c>
      <c r="G196" s="20">
        <v>0.32812189937493391</v>
      </c>
      <c r="H196" s="20">
        <v>4.8989864875538724E-3</v>
      </c>
      <c r="I196" s="2">
        <f ca="1"/>
        <v>189</v>
      </c>
      <c r="J196">
        <f ca="1"/>
        <v>0.32812189937493391</v>
      </c>
      <c r="K196">
        <f ca="1"/>
        <v>6.9244126927372335E-3</v>
      </c>
    </row>
    <row r="197" spans="3:11">
      <c r="C197" s="20">
        <v>3.2986722862692828</v>
      </c>
      <c r="D197" s="20">
        <v>5.72482976358E-2</v>
      </c>
      <c r="G197" s="20">
        <v>0.32986722862692824</v>
      </c>
      <c r="H197" s="20">
        <v>4.9110936083311442E-3</v>
      </c>
      <c r="I197" s="2">
        <f ca="1"/>
        <v>190</v>
      </c>
      <c r="J197">
        <f ca="1"/>
        <v>0.32986722862692824</v>
      </c>
      <c r="K197">
        <f ca="1"/>
        <v>6.9492530942001762E-3</v>
      </c>
    </row>
    <row r="198" spans="3:11">
      <c r="C198" s="20">
        <v>3.3161255787892263</v>
      </c>
      <c r="D198" s="20">
        <v>7.2451360383900001E-2</v>
      </c>
      <c r="G198" s="20">
        <v>0.33161255787892258</v>
      </c>
      <c r="H198" s="20">
        <v>4.9232439569635118E-3</v>
      </c>
      <c r="I198" s="2">
        <f ca="1"/>
        <v>191</v>
      </c>
      <c r="J198">
        <f ca="1"/>
        <v>0.33161255787892258</v>
      </c>
      <c r="K198">
        <f ca="1"/>
        <v>6.9739480870380736E-3</v>
      </c>
    </row>
    <row r="199" spans="3:11">
      <c r="C199" s="20">
        <v>3.3335788713091694</v>
      </c>
      <c r="D199" s="20">
        <v>8.7439320193500009E-2</v>
      </c>
      <c r="G199" s="20">
        <v>0.33335788713091691</v>
      </c>
      <c r="H199" s="20">
        <v>4.9354372795275391E-3</v>
      </c>
      <c r="I199" s="2">
        <f ca="1"/>
        <v>192</v>
      </c>
      <c r="J199">
        <f ca="1"/>
        <v>0.33335788713091691</v>
      </c>
      <c r="K199">
        <f ca="1"/>
        <v>6.9984975990299977E-3</v>
      </c>
    </row>
    <row r="200" spans="3:11">
      <c r="C200" s="20">
        <v>3.3510321638291125</v>
      </c>
      <c r="D200" s="20">
        <v>0.1021986831181</v>
      </c>
      <c r="G200" s="20">
        <v>0.33510321638291124</v>
      </c>
      <c r="H200" s="20">
        <v>4.9476733221227101E-3</v>
      </c>
      <c r="I200" s="2">
        <f ca="1"/>
        <v>193</v>
      </c>
      <c r="J200">
        <f ca="1"/>
        <v>0.33510321638291124</v>
      </c>
      <c r="K200">
        <f ca="1"/>
        <v>7.0229015940648648E-3</v>
      </c>
    </row>
    <row r="201" spans="3:11">
      <c r="C201" s="20">
        <v>3.3684854563490561</v>
      </c>
      <c r="D201" s="20">
        <v>0.116716468364</v>
      </c>
      <c r="G201" s="20">
        <v>0.33684854563490563</v>
      </c>
      <c r="H201" s="20">
        <v>4.9599518306995376E-3</v>
      </c>
      <c r="I201" s="2">
        <f ca="1"/>
        <v>194</v>
      </c>
      <c r="J201">
        <f ca="1"/>
        <v>0.33684854563490563</v>
      </c>
      <c r="K201">
        <f ca="1"/>
        <v>7.0471599408303293E-3</v>
      </c>
    </row>
    <row r="202" spans="3:11">
      <c r="C202" s="20">
        <v>3.3859387488689991</v>
      </c>
      <c r="D202" s="20">
        <v>0.13098020611899999</v>
      </c>
      <c r="G202" s="20">
        <v>0.3385938748868999</v>
      </c>
      <c r="H202" s="20">
        <v>4.9722725508991377E-3</v>
      </c>
      <c r="I202" s="2">
        <f ca="1"/>
        <v>195</v>
      </c>
      <c r="J202">
        <f ca="1"/>
        <v>0.3385938748868999</v>
      </c>
      <c r="K202">
        <f ca="1"/>
        <v>7.0712725178627743E-3</v>
      </c>
    </row>
    <row r="203" spans="3:11">
      <c r="C203" s="20">
        <v>3.4033920413889422</v>
      </c>
      <c r="D203" s="20">
        <v>0.14497793388559999</v>
      </c>
      <c r="G203" s="20">
        <v>0.34033920413889424</v>
      </c>
      <c r="H203" s="20">
        <v>4.9846352282480362E-3</v>
      </c>
      <c r="I203" s="2">
        <f ca="1"/>
        <v>196</v>
      </c>
      <c r="J203">
        <f ca="1"/>
        <v>0.34033920413889424</v>
      </c>
      <c r="K203">
        <f ca="1"/>
        <v>7.0952392381674776E-3</v>
      </c>
    </row>
    <row r="204" spans="3:11">
      <c r="C204" s="20">
        <v>3.4208453339088858</v>
      </c>
      <c r="D204" s="20">
        <v>0.15869819140889999</v>
      </c>
      <c r="G204" s="20">
        <v>0.34208453339088862</v>
      </c>
      <c r="H204" s="20">
        <v>4.9970396080836815E-3</v>
      </c>
      <c r="I204" s="2">
        <f ca="1"/>
        <v>197</v>
      </c>
      <c r="J204">
        <f ca="1"/>
        <v>0.34208453339088862</v>
      </c>
      <c r="K204">
        <f ca="1"/>
        <v>7.1190600081846283E-3</v>
      </c>
    </row>
    <row r="205" spans="3:11">
      <c r="C205" s="20">
        <v>3.4382986264288289</v>
      </c>
      <c r="D205" s="20">
        <v>0.17213001436279998</v>
      </c>
      <c r="G205" s="20">
        <v>0.3438298626428829</v>
      </c>
      <c r="H205" s="20">
        <v>5.0094854356060115E-3</v>
      </c>
      <c r="I205" s="2">
        <f ca="1"/>
        <v>198</v>
      </c>
      <c r="J205">
        <f ca="1"/>
        <v>0.3438298626428829</v>
      </c>
      <c r="K205">
        <f ca="1"/>
        <v>7.1427347245062384E-3</v>
      </c>
    </row>
    <row r="206" spans="3:11">
      <c r="C206" s="20">
        <v>3.4557519189487729</v>
      </c>
      <c r="D206" s="20">
        <v>0.18526292684659998</v>
      </c>
      <c r="G206" s="20">
        <v>0.34557519189487729</v>
      </c>
      <c r="H206" s="20">
        <v>5.0219724557915143E-3</v>
      </c>
      <c r="I206" s="2">
        <f ca="1"/>
        <v>199</v>
      </c>
      <c r="J206">
        <f ca="1"/>
        <v>0.34557519189487729</v>
      </c>
      <c r="K206">
        <f ca="1"/>
        <v>7.1662632525365654E-3</v>
      </c>
    </row>
    <row r="207" spans="3:11">
      <c r="C207" s="20">
        <v>3.473205211468716</v>
      </c>
      <c r="D207" s="20">
        <v>0.19808693289269996</v>
      </c>
      <c r="G207" s="20">
        <v>0.34732052114687156</v>
      </c>
      <c r="H207" s="20">
        <v>5.0345004133702997E-3</v>
      </c>
      <c r="I207" s="2">
        <f ca="1"/>
        <v>200</v>
      </c>
      <c r="J207">
        <f ca="1"/>
        <v>0.34732052114687156</v>
      </c>
      <c r="K207">
        <f ca="1"/>
        <v>7.1896455512408522E-3</v>
      </c>
    </row>
    <row r="208" spans="3:11">
      <c r="C208" s="20">
        <v>3.4906585039886591</v>
      </c>
      <c r="D208" s="20">
        <v>0.21059250701929999</v>
      </c>
      <c r="G208" s="20">
        <v>0.3490658503988659</v>
      </c>
      <c r="H208" s="20">
        <v>5.0470690531756171E-3</v>
      </c>
      <c r="I208" s="2">
        <f ca="1"/>
        <v>201</v>
      </c>
      <c r="J208">
        <f ca="1"/>
        <v>0.3490658503988659</v>
      </c>
      <c r="K208">
        <f ca="1"/>
        <v>7.212881595998282E-3</v>
      </c>
    </row>
    <row r="209" spans="3:11">
      <c r="C209" s="20">
        <v>3.5081117965086026</v>
      </c>
      <c r="D209" s="20">
        <v>0.22277058401029998</v>
      </c>
      <c r="G209" s="20">
        <v>0.35081117965086023</v>
      </c>
      <c r="H209" s="20">
        <v>5.0596781198516344E-3</v>
      </c>
      <c r="I209" s="2">
        <f ca="1"/>
        <v>202</v>
      </c>
      <c r="J209">
        <f ca="1"/>
        <v>0.35081117965086023</v>
      </c>
      <c r="K209">
        <f ca="1"/>
        <v>7.2369647541613482E-3</v>
      </c>
    </row>
    <row r="210" spans="3:11">
      <c r="C210" s="20">
        <v>3.5255650890285457</v>
      </c>
      <c r="D210" s="20">
        <v>0.2346125480039</v>
      </c>
      <c r="G210" s="20">
        <v>0.35255650890285456</v>
      </c>
      <c r="H210" s="20">
        <v>5.0723308257377966E-3</v>
      </c>
      <c r="I210" s="2">
        <f ca="1"/>
        <v>203</v>
      </c>
      <c r="J210">
        <f ca="1"/>
        <v>0.35255650890285456</v>
      </c>
      <c r="K210">
        <f ca="1"/>
        <v>7.2613287711805795E-3</v>
      </c>
    </row>
    <row r="211" spans="3:11">
      <c r="C211" s="20">
        <v>3.5430183815484888</v>
      </c>
      <c r="D211" s="20">
        <v>0.24611022101149999</v>
      </c>
      <c r="G211" s="20">
        <v>0.35430183815484884</v>
      </c>
      <c r="H211" s="20">
        <v>5.0850249388770131E-3</v>
      </c>
      <c r="I211" s="2">
        <f ca="1"/>
        <v>204</v>
      </c>
      <c r="J211">
        <f ca="1"/>
        <v>0.35430183815484884</v>
      </c>
      <c r="K211">
        <f ca="1"/>
        <v>7.2829868103193715E-3</v>
      </c>
    </row>
    <row r="212" spans="3:11">
      <c r="C212" s="20">
        <v>3.5604716740684319</v>
      </c>
      <c r="D212" s="20">
        <v>0.2572558509722</v>
      </c>
      <c r="G212" s="20">
        <v>0.35604716740684317</v>
      </c>
      <c r="H212" s="20">
        <v>5.0977532455816748E-3</v>
      </c>
      <c r="I212" s="2">
        <f ca="1"/>
        <v>205</v>
      </c>
      <c r="J212">
        <f ca="1"/>
        <v>0.35604716740684317</v>
      </c>
      <c r="K212">
        <f ca="1"/>
        <v>7.3039671469148368E-3</v>
      </c>
    </row>
    <row r="213" spans="3:11">
      <c r="C213" s="20">
        <v>3.5779249665883754</v>
      </c>
      <c r="D213" s="20">
        <v>0.26804209945579999</v>
      </c>
      <c r="G213" s="20">
        <v>0.3577924966588375</v>
      </c>
      <c r="H213" s="20">
        <v>5.1105205939112452E-3</v>
      </c>
      <c r="I213" s="2">
        <f ca="1"/>
        <v>206</v>
      </c>
      <c r="J213">
        <f ca="1"/>
        <v>0.3577924966588375</v>
      </c>
      <c r="K213">
        <f ca="1"/>
        <v>7.3268400624055549E-3</v>
      </c>
    </row>
    <row r="214" spans="3:11">
      <c r="C214" s="20">
        <v>3.5953782591083185</v>
      </c>
      <c r="D214" s="20">
        <v>0.27846202909969997</v>
      </c>
      <c r="G214" s="20">
        <v>0.35953782591083194</v>
      </c>
      <c r="H214" s="20">
        <v>5.1233287421528764E-3</v>
      </c>
      <c r="I214" s="2">
        <f ca="1"/>
        <v>207</v>
      </c>
      <c r="J214">
        <f ca="1"/>
        <v>0.35953782591083194</v>
      </c>
      <c r="K214">
        <f ca="1"/>
        <v>7.3504301775245166E-3</v>
      </c>
    </row>
    <row r="215" spans="3:11">
      <c r="C215" s="20">
        <v>3.6128315516282616</v>
      </c>
      <c r="D215" s="20">
        <v>0.28850909089429999</v>
      </c>
      <c r="G215" s="20">
        <v>0.36128315516282622</v>
      </c>
      <c r="H215" s="20">
        <v>5.1361784355183964E-3</v>
      </c>
      <c r="I215" s="2">
        <f ca="1"/>
        <v>208</v>
      </c>
      <c r="J215">
        <f ca="1"/>
        <v>0.36128315516282622</v>
      </c>
      <c r="K215">
        <f ca="1"/>
        <v>7.3738911798705278E-3</v>
      </c>
    </row>
    <row r="216" spans="3:11">
      <c r="C216" s="20">
        <v>3.6302848441482056</v>
      </c>
      <c r="D216" s="20">
        <v>0.29817711138779995</v>
      </c>
      <c r="G216" s="20">
        <v>0.36302848441482055</v>
      </c>
      <c r="H216" s="20">
        <v>5.149068478107378E-3</v>
      </c>
      <c r="I216" s="2">
        <f ca="1"/>
        <v>209</v>
      </c>
      <c r="J216">
        <f ca="1"/>
        <v>0.36302848441482055</v>
      </c>
      <c r="K216">
        <f ca="1"/>
        <v>7.3947936844101746E-3</v>
      </c>
    </row>
    <row r="217" spans="3:11">
      <c r="C217" s="20">
        <v>3.6477381366681487</v>
      </c>
      <c r="D217" s="20">
        <v>0.30746027993560004</v>
      </c>
      <c r="G217" s="20">
        <v>0.36477381366681488</v>
      </c>
      <c r="H217" s="20">
        <v>5.1619911349781245E-3</v>
      </c>
      <c r="I217" s="2">
        <f ca="1"/>
        <v>210</v>
      </c>
      <c r="J217">
        <f ca="1"/>
        <v>0.36477381366681488</v>
      </c>
      <c r="K217">
        <f ca="1"/>
        <v>7.4149962404692453E-3</v>
      </c>
    </row>
    <row r="218" spans="3:11">
      <c r="C218" s="20">
        <v>3.6651914291880923</v>
      </c>
      <c r="D218" s="20">
        <v>0.31635313600210002</v>
      </c>
      <c r="G218" s="20">
        <v>0.36651914291880922</v>
      </c>
      <c r="H218" s="20">
        <v>5.174951697791216E-3</v>
      </c>
      <c r="I218" s="2">
        <f ca="1"/>
        <v>211</v>
      </c>
      <c r="J218">
        <f ca="1"/>
        <v>0.36651914291880922</v>
      </c>
      <c r="K218">
        <f ca="1"/>
        <v>7.4382647259190618E-3</v>
      </c>
    </row>
    <row r="219" spans="3:11">
      <c r="C219" s="20">
        <v>3.6826447217080354</v>
      </c>
      <c r="D219" s="20">
        <v>0.32485055667719998</v>
      </c>
      <c r="G219" s="20">
        <v>0.36826447217080349</v>
      </c>
      <c r="H219" s="20">
        <v>5.1879555769985724E-3</v>
      </c>
      <c r="I219" s="2">
        <f ca="1"/>
        <v>212</v>
      </c>
      <c r="J219">
        <f ca="1"/>
        <v>0.36826447217080349</v>
      </c>
      <c r="K219">
        <f ca="1"/>
        <v>7.4617384852498905E-3</v>
      </c>
    </row>
    <row r="220" spans="3:11">
      <c r="C220" s="20">
        <v>3.7000980142279785</v>
      </c>
      <c r="D220" s="20">
        <v>0.33294774443110003</v>
      </c>
      <c r="G220" s="20">
        <v>0.37000980142279788</v>
      </c>
      <c r="H220" s="20">
        <v>5.200998078689293E-3</v>
      </c>
      <c r="I220" s="2">
        <f ca="1"/>
        <v>213</v>
      </c>
      <c r="J220">
        <f ca="1"/>
        <v>0.37000980142279788</v>
      </c>
      <c r="K220">
        <f ca="1"/>
        <v>7.4817946068082069E-3</v>
      </c>
    </row>
    <row r="221" spans="3:11">
      <c r="C221" s="20">
        <v>3.717551306747922</v>
      </c>
      <c r="D221" s="20">
        <v>0.3406402151679</v>
      </c>
      <c r="G221" s="20">
        <v>0.37175513067479216</v>
      </c>
      <c r="H221" s="20">
        <v>5.2140719669679239E-3</v>
      </c>
      <c r="I221" s="2">
        <f ca="1"/>
        <v>214</v>
      </c>
      <c r="J221">
        <f ca="1"/>
        <v>0.37175513067479216</v>
      </c>
      <c r="K221">
        <f ca="1"/>
        <v>7.5011784391709937E-3</v>
      </c>
    </row>
    <row r="222" spans="3:11">
      <c r="C222" s="20">
        <v>3.7350045992678651</v>
      </c>
      <c r="D222" s="20">
        <v>0.34792378667489998</v>
      </c>
      <c r="G222" s="20">
        <v>0.3735004599267866</v>
      </c>
      <c r="H222" s="20">
        <v>5.2271821309979221E-3</v>
      </c>
      <c r="I222" s="2">
        <f ca="1"/>
        <v>215</v>
      </c>
      <c r="J222">
        <f ca="1"/>
        <v>0.3735004599267866</v>
      </c>
      <c r="K222">
        <f ca="1"/>
        <v>7.5238374223799143E-3</v>
      </c>
    </row>
    <row r="223" spans="3:11">
      <c r="C223" s="20">
        <v>3.7524578917878082</v>
      </c>
      <c r="D223" s="20">
        <v>0.35479456747260002</v>
      </c>
      <c r="G223" s="20">
        <v>0.37524578917878082</v>
      </c>
      <c r="H223" s="20">
        <v>5.2403351140489825E-3</v>
      </c>
      <c r="I223" s="2">
        <f ca="1"/>
        <v>216</v>
      </c>
      <c r="J223">
        <f ca="1"/>
        <v>0.37524578917878082</v>
      </c>
      <c r="K223">
        <f ca="1"/>
        <v>7.5468591655384852E-3</v>
      </c>
    </row>
    <row r="224" spans="3:11">
      <c r="C224" s="20">
        <v>3.7699111843077517</v>
      </c>
      <c r="D224" s="20">
        <v>0.36124894618369996</v>
      </c>
      <c r="G224" s="20">
        <v>0.37699111843077515</v>
      </c>
      <c r="H224" s="20">
        <v>5.2535256391225129E-3</v>
      </c>
      <c r="I224" s="2">
        <f ca="1"/>
        <v>217</v>
      </c>
      <c r="J224">
        <f ca="1"/>
        <v>0.37699111843077515</v>
      </c>
      <c r="K224">
        <f ca="1"/>
        <v>7.5662789626860386E-3</v>
      </c>
    </row>
    <row r="225" spans="3:11">
      <c r="C225" s="20">
        <v>3.7873644768276948</v>
      </c>
      <c r="D225" s="20">
        <v>0.36728358140259998</v>
      </c>
      <c r="G225" s="20">
        <v>0.37873644768276954</v>
      </c>
      <c r="H225" s="20">
        <v>5.2667464100536335E-3</v>
      </c>
      <c r="I225" s="2">
        <f ca="1"/>
        <v>218</v>
      </c>
      <c r="J225">
        <f ca="1"/>
        <v>0.37873644768276954</v>
      </c>
      <c r="K225">
        <f ca="1"/>
        <v>7.5850159131339084E-3</v>
      </c>
    </row>
    <row r="226" spans="3:11">
      <c r="C226" s="20">
        <v>3.8048177693476379</v>
      </c>
      <c r="D226" s="20">
        <v>0.37289539214309997</v>
      </c>
      <c r="G226" s="20">
        <v>0.38048177693476387</v>
      </c>
      <c r="H226" s="20">
        <v>5.2800023394225836E-3</v>
      </c>
      <c r="I226" s="2">
        <f ca="1"/>
        <v>219</v>
      </c>
      <c r="J226">
        <f ca="1"/>
        <v>0.38048177693476387</v>
      </c>
      <c r="K226">
        <f ca="1"/>
        <v>7.607112901233678E-3</v>
      </c>
    </row>
    <row r="227" spans="3:11">
      <c r="C227" s="20">
        <v>3.8222710618675819</v>
      </c>
      <c r="D227" s="20">
        <v>0.37808154890039997</v>
      </c>
      <c r="G227" s="20">
        <v>0.38222710618675809</v>
      </c>
      <c r="H227" s="20">
        <v>5.2933002433931259E-3</v>
      </c>
      <c r="I227" s="2">
        <f ca="1"/>
        <v>220</v>
      </c>
      <c r="J227">
        <f ca="1"/>
        <v>0.38222710618675809</v>
      </c>
      <c r="K227">
        <f ca="1"/>
        <v>7.6296036882179761E-3</v>
      </c>
    </row>
    <row r="228" spans="3:11">
      <c r="C228" s="20">
        <v>3.839724354387525</v>
      </c>
      <c r="D228" s="20">
        <v>0.38283946535590002</v>
      </c>
      <c r="G228" s="20">
        <v>0.38397243543875248</v>
      </c>
      <c r="H228" s="20">
        <v>5.3066346804189245E-3</v>
      </c>
      <c r="I228" s="2">
        <f ca="1"/>
        <v>221</v>
      </c>
      <c r="J228">
        <f ca="1"/>
        <v>0.38397243543875248</v>
      </c>
      <c r="K228">
        <f ca="1"/>
        <v>7.6483991743852512E-3</v>
      </c>
    </row>
    <row r="229" spans="3:11">
      <c r="C229" s="20">
        <v>3.8571776469074686</v>
      </c>
      <c r="D229" s="20">
        <v>0.38716679074049998</v>
      </c>
      <c r="G229" s="20">
        <v>0.38571776469074687</v>
      </c>
      <c r="H229" s="20">
        <v>5.3199981930130945E-3</v>
      </c>
      <c r="I229" s="2">
        <f ca="1"/>
        <v>222</v>
      </c>
      <c r="J229">
        <f ca="1"/>
        <v>0.38571776469074687</v>
      </c>
      <c r="K229">
        <f ca="1"/>
        <v>7.6664987154546347E-3</v>
      </c>
    </row>
    <row r="230" spans="3:11">
      <c r="C230" s="20">
        <v>3.8746309394274117</v>
      </c>
      <c r="D230" s="20">
        <v>0.39106140291120001</v>
      </c>
      <c r="G230" s="20">
        <v>0.3874630939427412</v>
      </c>
      <c r="H230" s="20">
        <v>5.3333958093558448E-3</v>
      </c>
      <c r="I230" s="2">
        <f ca="1"/>
        <v>223</v>
      </c>
      <c r="J230">
        <f ca="1"/>
        <v>0.3874630939427412</v>
      </c>
      <c r="K230">
        <f ca="1"/>
        <v>7.6880425917197036E-3</v>
      </c>
    </row>
    <row r="231" spans="3:11">
      <c r="C231" s="20">
        <v>3.8920842319473548</v>
      </c>
      <c r="D231" s="20">
        <v>0.39452140215170001</v>
      </c>
      <c r="G231" s="20">
        <v>0.38920842319473548</v>
      </c>
      <c r="H231" s="20">
        <v>5.3468345242649075E-3</v>
      </c>
      <c r="I231" s="2">
        <f ca="1"/>
        <v>224</v>
      </c>
      <c r="J231">
        <f ca="1"/>
        <v>0.38920842319473548</v>
      </c>
      <c r="K231">
        <f ca="1"/>
        <v>7.709994852377465E-3</v>
      </c>
    </row>
    <row r="232" spans="3:11">
      <c r="C232" s="20">
        <v>3.9095375244672983</v>
      </c>
      <c r="D232" s="20">
        <v>0.39754510570450002</v>
      </c>
      <c r="G232" s="20">
        <v>0.39095375244672981</v>
      </c>
      <c r="H232" s="20">
        <v>5.3603087684530046E-3</v>
      </c>
      <c r="I232" s="2">
        <f ca="1"/>
        <v>225</v>
      </c>
      <c r="J232">
        <f ca="1"/>
        <v>0.39095375244672981</v>
      </c>
      <c r="K232">
        <f ca="1"/>
        <v>7.728166126048844E-3</v>
      </c>
    </row>
    <row r="233" spans="3:11">
      <c r="C233" s="20">
        <v>3.9269908169872414</v>
      </c>
      <c r="D233" s="20">
        <v>0.40013104304210001</v>
      </c>
      <c r="G233" s="20">
        <v>0.39269908169872414</v>
      </c>
      <c r="H233" s="20">
        <v>5.373810913073037E-3</v>
      </c>
      <c r="I233" s="2">
        <f ca="1"/>
        <v>226</v>
      </c>
      <c r="J233">
        <f ca="1"/>
        <v>0.39269908169872414</v>
      </c>
      <c r="K233">
        <f ca="1"/>
        <v>7.7456282971347656E-3</v>
      </c>
    </row>
    <row r="234" spans="3:11">
      <c r="C234" s="20">
        <v>3.9444441095071845</v>
      </c>
      <c r="D234" s="20">
        <v>0.40227795195619998</v>
      </c>
      <c r="G234" s="20">
        <v>0.39444441095071842</v>
      </c>
      <c r="H234" s="20">
        <v>5.3873461117371329E-3</v>
      </c>
      <c r="I234" s="2">
        <f ca="1"/>
        <v>227</v>
      </c>
      <c r="J234">
        <f ca="1"/>
        <v>0.39444441095071842</v>
      </c>
      <c r="K234">
        <f ca="1"/>
        <v>7.7666200185024731E-3</v>
      </c>
    </row>
    <row r="235" spans="3:11">
      <c r="C235" s="20">
        <v>3.9618974020271276</v>
      </c>
      <c r="D235" s="20">
        <v>0.4039847753752</v>
      </c>
      <c r="G235" s="20">
        <v>0.39618974020271275</v>
      </c>
      <c r="H235" s="20">
        <v>5.4009215312878708E-3</v>
      </c>
      <c r="I235" s="2">
        <f ca="1"/>
        <v>228</v>
      </c>
      <c r="J235">
        <f ca="1"/>
        <v>0.39618974020271275</v>
      </c>
      <c r="K235">
        <f ca="1"/>
        <v>7.7880333588966578E-3</v>
      </c>
    </row>
    <row r="236" spans="3:11">
      <c r="C236" s="20">
        <v>3.9793506945470711</v>
      </c>
      <c r="D236" s="20">
        <v>0.40525065898570001</v>
      </c>
      <c r="G236" s="20">
        <v>0.39793506945470708</v>
      </c>
      <c r="H236" s="20">
        <v>5.4145314766107129E-3</v>
      </c>
      <c r="I236" s="2">
        <f ca="1"/>
        <v>229</v>
      </c>
      <c r="J236">
        <f ca="1"/>
        <v>0.39793506945470708</v>
      </c>
      <c r="K236">
        <f ca="1"/>
        <v>7.8055807171661428E-3</v>
      </c>
    </row>
    <row r="237" spans="3:11">
      <c r="C237" s="20">
        <v>3.9968039870670142</v>
      </c>
      <c r="D237" s="20">
        <v>0.4060749496703</v>
      </c>
      <c r="G237" s="20">
        <v>0.39968039870670141</v>
      </c>
      <c r="H237" s="20">
        <v>5.4281681479968168E-3</v>
      </c>
      <c r="I237" s="2">
        <f ca="1"/>
        <v>230</v>
      </c>
      <c r="J237">
        <f ca="1"/>
        <v>0.39968039870670141</v>
      </c>
      <c r="K237">
        <f ca="1"/>
        <v>7.8224060550067115E-3</v>
      </c>
    </row>
    <row r="238" spans="3:11">
      <c r="C238" s="20">
        <v>4.0142572795869578</v>
      </c>
      <c r="D238" s="20">
        <v>0.40645719469379998</v>
      </c>
      <c r="G238" s="20">
        <v>0.40142572795869574</v>
      </c>
      <c r="H238" s="20">
        <v>5.4418368248282745E-3</v>
      </c>
      <c r="I238" s="2">
        <f ca="1"/>
        <v>231</v>
      </c>
      <c r="J238">
        <f ca="1"/>
        <v>0.40142572795869574</v>
      </c>
      <c r="K238">
        <f ca="1"/>
        <v>7.8428459120059354E-3</v>
      </c>
    </row>
    <row r="239" spans="3:11">
      <c r="C239" s="20">
        <v>4.0317105721069018</v>
      </c>
      <c r="D239" s="20">
        <v>0.40639714171250002</v>
      </c>
      <c r="G239" s="20">
        <v>0.40317105721069013</v>
      </c>
      <c r="H239" s="20">
        <v>5.4555448447750335E-3</v>
      </c>
      <c r="I239" s="2">
        <f ca="1"/>
        <v>232</v>
      </c>
      <c r="J239">
        <f ca="1"/>
        <v>0.40317105721069013</v>
      </c>
      <c r="K239">
        <f ca="1"/>
        <v>7.8629171902811594E-3</v>
      </c>
    </row>
    <row r="240" spans="3:11">
      <c r="C240" s="20">
        <v>4.0491638646268449</v>
      </c>
      <c r="D240" s="20">
        <v>0.40589473957879996</v>
      </c>
      <c r="G240" s="20">
        <v>0.40491638646268446</v>
      </c>
      <c r="H240" s="20">
        <v>5.4692835835846885E-3</v>
      </c>
      <c r="I240" s="2">
        <f ca="1"/>
        <v>233</v>
      </c>
      <c r="J240">
        <f ca="1"/>
        <v>0.40491638646268446</v>
      </c>
      <c r="K240">
        <f ca="1"/>
        <v>7.8809202956313107E-3</v>
      </c>
    </row>
    <row r="241" spans="3:11">
      <c r="C241" s="20">
        <v>4.066617157146788</v>
      </c>
      <c r="D241" s="20">
        <v>0.40495013992669998</v>
      </c>
      <c r="G241" s="20">
        <v>0.4066617157146788</v>
      </c>
      <c r="H241" s="20">
        <v>5.4830544462242357E-3</v>
      </c>
      <c r="I241" s="2">
        <f ca="1"/>
        <v>234</v>
      </c>
      <c r="J241">
        <f ca="1"/>
        <v>0.4066617157146788</v>
      </c>
      <c r="K241">
        <f ca="1"/>
        <v>7.8985801343360047E-3</v>
      </c>
    </row>
    <row r="242" spans="3:11">
      <c r="C242" s="20">
        <v>4.0840704496667311</v>
      </c>
      <c r="D242" s="20">
        <v>0.4035636995045</v>
      </c>
      <c r="G242" s="20">
        <v>0.40840704496667307</v>
      </c>
      <c r="H242" s="20">
        <v>5.496854829500044E-3</v>
      </c>
      <c r="I242" s="2">
        <f ca="1"/>
        <v>235</v>
      </c>
      <c r="J242">
        <f ca="1"/>
        <v>0.40840704496667307</v>
      </c>
      <c r="K242">
        <f ca="1"/>
        <v>7.9153788338444941E-3</v>
      </c>
    </row>
    <row r="243" spans="3:11">
      <c r="C243" s="20">
        <v>4.1015237421866741</v>
      </c>
      <c r="D243" s="20">
        <v>0.40173598335380001</v>
      </c>
      <c r="G243" s="20">
        <v>0.41015237421866746</v>
      </c>
      <c r="H243" s="20">
        <v>5.5106843306628869E-3</v>
      </c>
      <c r="I243" s="2">
        <f ca="1"/>
        <v>236</v>
      </c>
      <c r="J243">
        <f ca="1"/>
        <v>0.41015237421866746</v>
      </c>
      <c r="K243">
        <f ca="1"/>
        <v>7.9346144081070442E-3</v>
      </c>
    </row>
    <row r="244" spans="3:11">
      <c r="C244" s="20">
        <v>4.1189770347066172</v>
      </c>
      <c r="D244" s="20">
        <v>0.39946776868860001</v>
      </c>
      <c r="G244" s="20">
        <v>0.41189770347066174</v>
      </c>
      <c r="H244" s="20">
        <v>5.5245518587595738E-3</v>
      </c>
      <c r="I244" s="2">
        <f ca="1"/>
        <v>237</v>
      </c>
      <c r="J244">
        <f ca="1"/>
        <v>0.41189770347066174</v>
      </c>
      <c r="K244">
        <f ca="1"/>
        <v>7.9548117166009999E-3</v>
      </c>
    </row>
    <row r="245" spans="3:11">
      <c r="C245" s="20">
        <v>4.1364303272265612</v>
      </c>
      <c r="D245" s="20">
        <v>0.39676004954980004</v>
      </c>
      <c r="G245" s="20">
        <v>0.41364303272265612</v>
      </c>
      <c r="H245" s="20">
        <v>5.5384518618290688E-3</v>
      </c>
      <c r="I245" s="2">
        <f ca="1"/>
        <v>238</v>
      </c>
      <c r="J245">
        <f ca="1"/>
        <v>0.41364303272265612</v>
      </c>
      <c r="K245">
        <f ca="1"/>
        <v>7.9710835864216373E-3</v>
      </c>
    </row>
    <row r="246" spans="3:11">
      <c r="C246" s="20">
        <v>4.1538836197465043</v>
      </c>
      <c r="D246" s="20">
        <v>0.39361404219860002</v>
      </c>
      <c r="G246" s="20">
        <v>0.4153883619746504</v>
      </c>
      <c r="H246" s="20">
        <v>5.552376189466521E-3</v>
      </c>
      <c r="I246" s="2">
        <f ca="1"/>
        <v>239</v>
      </c>
      <c r="J246">
        <f ca="1"/>
        <v>0.4153883619746504</v>
      </c>
      <c r="K246">
        <f ca="1"/>
        <v>7.9865831514278427E-3</v>
      </c>
    </row>
    <row r="247" spans="3:11">
      <c r="C247" s="20">
        <v>4.1713369122664474</v>
      </c>
      <c r="D247" s="20">
        <v>0.39003119122859997</v>
      </c>
      <c r="G247" s="20">
        <v>0.41713369122664484</v>
      </c>
      <c r="H247" s="20">
        <v>5.5663302962244135E-3</v>
      </c>
      <c r="I247" s="2">
        <f ca="1"/>
        <v>240</v>
      </c>
      <c r="J247">
        <f ca="1"/>
        <v>0.41713369122664484</v>
      </c>
      <c r="K247">
        <f ca="1"/>
        <v>8.0057776840454873E-3</v>
      </c>
    </row>
    <row r="248" spans="3:11">
      <c r="C248" s="20">
        <v>4.1887902047863905</v>
      </c>
      <c r="D248" s="20">
        <v>0.38601317638210003</v>
      </c>
      <c r="G248" s="20">
        <v>0.41887902047863906</v>
      </c>
      <c r="H248" s="20">
        <v>5.580321625420377E-3</v>
      </c>
      <c r="I248" s="2">
        <f ca="1"/>
        <v>241</v>
      </c>
      <c r="J248">
        <f ca="1"/>
        <v>0.41887902047863906</v>
      </c>
      <c r="K248">
        <f ca="1"/>
        <v>8.0254104877249249E-3</v>
      </c>
    </row>
    <row r="249" spans="3:11">
      <c r="C249" s="20">
        <v>4.2062434973063345</v>
      </c>
      <c r="D249" s="20">
        <v>0.3815619200575</v>
      </c>
      <c r="G249" s="20">
        <v>0.4206243497306334</v>
      </c>
      <c r="H249" s="20">
        <v>5.5943442635913894E-3</v>
      </c>
      <c r="I249" s="2">
        <f ca="1"/>
        <v>242</v>
      </c>
      <c r="J249">
        <f ca="1"/>
        <v>0.4206243497306334</v>
      </c>
      <c r="K249">
        <f ca="1"/>
        <v>8.0409457598161586E-3</v>
      </c>
    </row>
    <row r="250" spans="3:11">
      <c r="C250" s="20">
        <v>4.2236967898262776</v>
      </c>
      <c r="D250" s="20">
        <v>0.37667959546329999</v>
      </c>
      <c r="G250" s="20">
        <v>0.42236967898262778</v>
      </c>
      <c r="H250" s="20">
        <v>5.6083898211169913E-3</v>
      </c>
      <c r="I250" s="2">
        <f ca="1"/>
        <v>243</v>
      </c>
      <c r="J250">
        <f ca="1"/>
        <v>0.42236967898262778</v>
      </c>
      <c r="K250">
        <f ca="1"/>
        <v>8.0557152976291901E-3</v>
      </c>
    </row>
    <row r="251" spans="3:11">
      <c r="C251" s="20">
        <v>4.2411500823462207</v>
      </c>
      <c r="D251" s="20">
        <v>0.37136863543470006</v>
      </c>
      <c r="G251" s="20">
        <v>0.42411500823462212</v>
      </c>
      <c r="H251" s="20">
        <v>5.6224640147007707E-3</v>
      </c>
      <c r="I251" s="2">
        <f ca="1"/>
        <v>244</v>
      </c>
      <c r="J251">
        <f ca="1"/>
        <v>0.42411500823462212</v>
      </c>
      <c r="K251">
        <f ca="1"/>
        <v>8.0743685004036145E-3</v>
      </c>
    </row>
    <row r="252" spans="3:11">
      <c r="C252" s="20">
        <v>4.2586033748661638</v>
      </c>
      <c r="D252" s="20">
        <v>0.36563174185320002</v>
      </c>
      <c r="G252" s="20">
        <v>0.42586033748661634</v>
      </c>
      <c r="H252" s="20">
        <v>5.6365746841872625E-3</v>
      </c>
      <c r="I252" s="2">
        <f ca="1"/>
        <v>245</v>
      </c>
      <c r="J252">
        <f ca="1"/>
        <v>0.42586033748661634</v>
      </c>
      <c r="K252">
        <f ca="1"/>
        <v>8.0934915548370491E-3</v>
      </c>
    </row>
    <row r="253" spans="3:11">
      <c r="C253" s="20">
        <v>4.2760566673861069</v>
      </c>
      <c r="D253" s="20">
        <v>0.35947189564670007</v>
      </c>
      <c r="G253" s="20">
        <v>0.42760566673861072</v>
      </c>
      <c r="H253" s="20">
        <v>5.6507156298236227E-3</v>
      </c>
      <c r="I253" s="2">
        <f ca="1"/>
        <v>246</v>
      </c>
      <c r="J253">
        <f ca="1"/>
        <v>0.42760566673861072</v>
      </c>
      <c r="K253">
        <f ca="1"/>
        <v>8.1083963869478196E-3</v>
      </c>
    </row>
    <row r="254" spans="3:11">
      <c r="C254" s="20">
        <v>4.2935099599060509</v>
      </c>
      <c r="D254" s="20">
        <v>0.3528923673596</v>
      </c>
      <c r="G254" s="20">
        <v>0.42935099599060511</v>
      </c>
      <c r="H254" s="20">
        <v>5.6648783269890738E-3</v>
      </c>
      <c r="I254" s="2">
        <f ca="1"/>
        <v>247</v>
      </c>
      <c r="J254">
        <f ca="1"/>
        <v>0.42935099599060511</v>
      </c>
      <c r="K254">
        <f ca="1"/>
        <v>8.1225247516456562E-3</v>
      </c>
    </row>
    <row r="255" spans="3:11">
      <c r="C255" s="20">
        <v>4.310963252425994</v>
      </c>
      <c r="D255" s="20">
        <v>0.34589672824560003</v>
      </c>
      <c r="G255" s="20">
        <v>0.43109632524259944</v>
      </c>
      <c r="H255" s="20">
        <v>5.6790685899218134E-3</v>
      </c>
      <c r="I255" s="2">
        <f ca="1"/>
        <v>248</v>
      </c>
      <c r="J255">
        <f ca="1"/>
        <v>0.43109632524259944</v>
      </c>
      <c r="K255">
        <f ca="1"/>
        <v>8.1406261573496487E-3</v>
      </c>
    </row>
    <row r="256" spans="3:11">
      <c r="C256" s="20">
        <v>4.3284165449459371</v>
      </c>
      <c r="D256" s="20">
        <v>0.33848886183889998</v>
      </c>
      <c r="G256" s="20">
        <v>0.43284165449459372</v>
      </c>
      <c r="H256" s="20">
        <v>5.6932944729130184E-3</v>
      </c>
      <c r="I256" s="2">
        <f ca="1"/>
        <v>249</v>
      </c>
      <c r="J256">
        <f ca="1"/>
        <v>0.43284165449459372</v>
      </c>
      <c r="K256">
        <f ca="1"/>
        <v>8.1592174874312983E-3</v>
      </c>
    </row>
    <row r="257" spans="3:11">
      <c r="C257" s="20">
        <v>4.3458698374658802</v>
      </c>
      <c r="D257" s="20">
        <v>0.33067297601680001</v>
      </c>
      <c r="G257" s="20">
        <v>0.43458698374658805</v>
      </c>
      <c r="H257" s="20">
        <v>5.7075496318302081E-3</v>
      </c>
      <c r="I257" s="2">
        <f ca="1"/>
        <v>250</v>
      </c>
      <c r="J257">
        <f ca="1"/>
        <v>0.43458698374658805</v>
      </c>
      <c r="K257">
        <f ca="1"/>
        <v>8.1735030411042766E-3</v>
      </c>
    </row>
    <row r="258" spans="3:11">
      <c r="C258" s="20">
        <v>4.3633231299858233</v>
      </c>
      <c r="D258" s="20">
        <v>0.3224536153791</v>
      </c>
      <c r="G258" s="20">
        <v>0.43633231299858238</v>
      </c>
      <c r="H258" s="20">
        <v>5.7218253808108263E-3</v>
      </c>
      <c r="I258" s="2">
        <f ca="1"/>
        <v>251</v>
      </c>
      <c r="J258">
        <f ca="1"/>
        <v>0.43633231299858238</v>
      </c>
      <c r="K258">
        <f ca="1"/>
        <v>8.1869999973944382E-3</v>
      </c>
    </row>
    <row r="259" spans="3:11">
      <c r="C259" s="20">
        <v>4.3807764225057673</v>
      </c>
      <c r="D259" s="20">
        <v>0.31383567414110003</v>
      </c>
      <c r="G259" s="20">
        <v>0.43807764225057666</v>
      </c>
      <c r="H259" s="20">
        <v>5.7361276529932677E-3</v>
      </c>
      <c r="I259" s="2">
        <f ca="1"/>
        <v>252</v>
      </c>
      <c r="J259">
        <f ca="1"/>
        <v>0.43807764225057666</v>
      </c>
      <c r="K259">
        <f ca="1"/>
        <v>8.2045533139567806E-3</v>
      </c>
    </row>
    <row r="260" spans="3:11">
      <c r="C260" s="20">
        <v>4.3982297150257104</v>
      </c>
      <c r="D260" s="20">
        <v>0.30482440922729998</v>
      </c>
      <c r="G260" s="20">
        <v>0.43982297150257099</v>
      </c>
      <c r="H260" s="20">
        <v>5.7504646746076174E-3</v>
      </c>
      <c r="I260" s="2">
        <f ca="1"/>
        <v>253</v>
      </c>
      <c r="J260">
        <f ca="1"/>
        <v>0.43982297150257099</v>
      </c>
      <c r="K260">
        <f ca="1"/>
        <v>8.2226103804363872E-3</v>
      </c>
    </row>
    <row r="261" spans="3:11">
      <c r="C261" s="20">
        <v>4.4156830075456535</v>
      </c>
      <c r="D261" s="20">
        <v>0.29542545371080003</v>
      </c>
      <c r="G261" s="20">
        <v>0.44156830075456532</v>
      </c>
      <c r="H261" s="20">
        <v>5.7648299778427234E-3</v>
      </c>
      <c r="I261" s="2">
        <f ca="1"/>
        <v>254</v>
      </c>
      <c r="J261">
        <f ca="1"/>
        <v>0.44156830075456532</v>
      </c>
      <c r="K261">
        <f ca="1"/>
        <v>8.2362788797724559E-3</v>
      </c>
    </row>
    <row r="262" spans="3:11">
      <c r="C262" s="20">
        <v>4.4331363000655974</v>
      </c>
      <c r="D262" s="20">
        <v>0.28564483045780004</v>
      </c>
      <c r="G262" s="20">
        <v>0.44331363000655966</v>
      </c>
      <c r="H262" s="20">
        <v>5.7792147115205174E-3</v>
      </c>
      <c r="I262" s="2">
        <f ca="1"/>
        <v>255</v>
      </c>
      <c r="J262">
        <f ca="1"/>
        <v>0.44331363000655966</v>
      </c>
      <c r="K262">
        <f ca="1"/>
        <v>8.2491463727173107E-3</v>
      </c>
    </row>
    <row r="263" spans="3:11">
      <c r="C263" s="20">
        <v>4.4505895925855405</v>
      </c>
      <c r="D263" s="20">
        <v>0.27548896592009997</v>
      </c>
      <c r="G263" s="20">
        <v>0.44505895925855399</v>
      </c>
      <c r="H263" s="20">
        <v>5.7936249307792963E-3</v>
      </c>
      <c r="I263" s="2">
        <f ca="1"/>
        <v>256</v>
      </c>
      <c r="J263">
        <f ca="1"/>
        <v>0.44505895925855399</v>
      </c>
      <c r="K263">
        <f ca="1"/>
        <v>8.2661532185618891E-3</v>
      </c>
    </row>
    <row r="264" spans="3:11">
      <c r="C264" s="20">
        <v>4.4680428851054836</v>
      </c>
      <c r="D264" s="20">
        <v>0.26496470409210005</v>
      </c>
      <c r="G264" s="20">
        <v>0.44680428851054838</v>
      </c>
      <c r="H264" s="20">
        <v>5.8080690295481642E-3</v>
      </c>
      <c r="I264" s="2">
        <f ca="1"/>
        <v>257</v>
      </c>
      <c r="J264">
        <f ca="1"/>
        <v>0.44680428851054838</v>
      </c>
      <c r="K264">
        <f ca="1"/>
        <v>8.28276301554484E-3</v>
      </c>
    </row>
    <row r="265" spans="3:11">
      <c r="C265" s="20">
        <v>4.4854961776254267</v>
      </c>
      <c r="D265" s="20">
        <v>0.25407932046540005</v>
      </c>
      <c r="G265" s="20">
        <v>0.44854961776254271</v>
      </c>
      <c r="H265" s="20">
        <v>5.8225372279360312E-3</v>
      </c>
      <c r="I265" s="2">
        <f ca="1"/>
        <v>258</v>
      </c>
      <c r="J265">
        <f ca="1"/>
        <v>0.44854961776254271</v>
      </c>
      <c r="K265">
        <f ca="1"/>
        <v>8.2970403162422358E-3</v>
      </c>
    </row>
    <row r="266" spans="3:11">
      <c r="C266" s="20">
        <v>4.5029494701453698</v>
      </c>
      <c r="D266" s="20">
        <v>0.24284053601840003</v>
      </c>
      <c r="G266" s="20">
        <v>0.45029494701453704</v>
      </c>
      <c r="H266" s="20">
        <v>5.8370311638859919E-3</v>
      </c>
      <c r="I266" s="2">
        <f ca="1"/>
        <v>259</v>
      </c>
      <c r="J266">
        <f ca="1"/>
        <v>0.45029494701453704</v>
      </c>
      <c r="K266">
        <f ca="1"/>
        <v>8.310953703082876E-3</v>
      </c>
    </row>
    <row r="267" spans="3:11">
      <c r="C267" s="20">
        <v>4.5204027626653129</v>
      </c>
      <c r="D267" s="20">
        <v>0.23125653105839999</v>
      </c>
      <c r="G267" s="20">
        <v>0.45204027626653132</v>
      </c>
      <c r="H267" s="20">
        <v>5.851547929155953E-3</v>
      </c>
      <c r="I267" s="2">
        <f ca="1"/>
        <v>260</v>
      </c>
      <c r="J267">
        <f ca="1"/>
        <v>0.45204027626653132</v>
      </c>
      <c r="K267">
        <f ca="1"/>
        <v>8.3239119048917603E-3</v>
      </c>
    </row>
    <row r="268" spans="3:11">
      <c r="C268" s="20">
        <v>4.5378560551852569</v>
      </c>
      <c r="D268" s="20">
        <v>0.21933595900129998</v>
      </c>
      <c r="G268" s="20">
        <v>0.4537856055185257</v>
      </c>
      <c r="H268" s="20">
        <v>5.8660870977632548E-3</v>
      </c>
      <c r="I268" s="2">
        <f ca="1"/>
        <v>261</v>
      </c>
      <c r="J268">
        <f ca="1"/>
        <v>0.4537856055185257</v>
      </c>
      <c r="K268">
        <f ca="1"/>
        <v>8.3396532173994255E-3</v>
      </c>
    </row>
    <row r="269" spans="3:11">
      <c r="C269" s="20">
        <v>4.5553093477052</v>
      </c>
      <c r="D269" s="20">
        <v>0.20708795980879999</v>
      </c>
      <c r="G269" s="20">
        <v>0.45553093477051998</v>
      </c>
      <c r="H269" s="20">
        <v>5.8806588105795848E-3</v>
      </c>
      <c r="I269" s="2">
        <f ca="1"/>
        <v>262</v>
      </c>
      <c r="J269">
        <f ca="1"/>
        <v>0.45553093477051998</v>
      </c>
      <c r="K269">
        <f ca="1"/>
        <v>8.3565072699466284E-3</v>
      </c>
    </row>
    <row r="270" spans="3:11">
      <c r="C270" s="20">
        <v>4.572762640225144</v>
      </c>
      <c r="D270" s="20">
        <v>0.19452217324660001</v>
      </c>
      <c r="G270" s="20">
        <v>0.45727626402251437</v>
      </c>
      <c r="H270" s="20">
        <v>5.8952568109287371E-3</v>
      </c>
      <c r="I270" s="2">
        <f ca="1"/>
        <v>263</v>
      </c>
      <c r="J270">
        <f ca="1"/>
        <v>0.45727626402251437</v>
      </c>
      <c r="K270">
        <f ca="1"/>
        <v>8.3689375850042394E-3</v>
      </c>
    </row>
    <row r="271" spans="3:11">
      <c r="C271" s="20">
        <v>4.5902159327450871</v>
      </c>
      <c r="D271" s="20">
        <v>0.1816487516268</v>
      </c>
      <c r="G271" s="20">
        <v>0.45902159327450859</v>
      </c>
      <c r="H271" s="20">
        <v>5.9098719137300297E-3</v>
      </c>
      <c r="I271" s="2">
        <f ca="1"/>
        <v>264</v>
      </c>
      <c r="J271">
        <f ca="1"/>
        <v>0.45902159327450859</v>
      </c>
      <c r="K271">
        <f ca="1"/>
        <v>8.3805153060105917E-3</v>
      </c>
    </row>
    <row r="272" spans="3:11">
      <c r="C272" s="20">
        <v>4.6076692252650302</v>
      </c>
      <c r="D272" s="20">
        <v>0.16847837212819999</v>
      </c>
      <c r="G272" s="20">
        <v>0.46076692252650298</v>
      </c>
      <c r="H272" s="20">
        <v>5.9245103279494697E-3</v>
      </c>
      <c r="I272" s="2">
        <f ca="1"/>
        <v>265</v>
      </c>
      <c r="J272">
        <f ca="1"/>
        <v>0.46076692252650298</v>
      </c>
      <c r="K272">
        <f ca="1"/>
        <v>8.3962926637312744E-3</v>
      </c>
    </row>
    <row r="273" spans="3:11">
      <c r="C273" s="20">
        <v>4.6251225177849733</v>
      </c>
      <c r="D273" s="20">
        <v>0.15502224859249999</v>
      </c>
      <c r="G273" s="20">
        <v>0.46251225177849731</v>
      </c>
      <c r="H273" s="20">
        <v>5.9391805041186614E-3</v>
      </c>
      <c r="I273" s="2">
        <f ca="1"/>
        <v>266</v>
      </c>
      <c r="J273">
        <f ca="1"/>
        <v>0.46251225177849731</v>
      </c>
      <c r="K273">
        <f ca="1"/>
        <v>8.4125866810060065E-3</v>
      </c>
    </row>
    <row r="274" spans="3:11">
      <c r="C274" s="20">
        <v>4.6425758103049164</v>
      </c>
      <c r="D274" s="20">
        <v>0.1412921425568</v>
      </c>
      <c r="G274" s="20">
        <v>0.4642575810304917</v>
      </c>
      <c r="H274" s="20">
        <v>5.9538757951880655E-3</v>
      </c>
      <c r="I274" s="2">
        <f ca="1"/>
        <v>267</v>
      </c>
      <c r="J274">
        <f ca="1"/>
        <v>0.4642575810304917</v>
      </c>
      <c r="K274">
        <f ca="1"/>
        <v>8.4242758155356114E-3</v>
      </c>
    </row>
    <row r="275" spans="3:11">
      <c r="C275" s="20">
        <v>4.6600291028248595</v>
      </c>
      <c r="D275" s="20">
        <v>0.12730037361390001</v>
      </c>
      <c r="G275" s="20">
        <v>0.46600291028248592</v>
      </c>
      <c r="H275" s="20">
        <v>5.9685867741341063E-3</v>
      </c>
      <c r="I275" s="2">
        <f ca="1"/>
        <v>268</v>
      </c>
      <c r="J275">
        <f ca="1"/>
        <v>0.46600291028248592</v>
      </c>
      <c r="K275">
        <f ca="1"/>
        <v>8.4351223439522918E-3</v>
      </c>
    </row>
    <row r="276" spans="3:11">
      <c r="C276" s="20">
        <v>4.6774823953448026</v>
      </c>
      <c r="D276" s="20">
        <v>0.11305982886339999</v>
      </c>
      <c r="G276" s="20">
        <v>0.46774823953448036</v>
      </c>
      <c r="H276" s="20">
        <v>5.9833199267301674E-3</v>
      </c>
      <c r="I276" s="2">
        <f ca="1"/>
        <v>269</v>
      </c>
      <c r="J276">
        <f ca="1"/>
        <v>0.46774823953448036</v>
      </c>
      <c r="K276">
        <f ca="1"/>
        <v>8.4503685977721215E-3</v>
      </c>
    </row>
    <row r="277" spans="3:11">
      <c r="C277" s="20">
        <v>4.6949356878647466</v>
      </c>
      <c r="D277" s="20">
        <v>9.8583971428600009E-2</v>
      </c>
      <c r="G277" s="20">
        <v>0.46949356878647464</v>
      </c>
      <c r="H277" s="20">
        <v>5.9980841251417588E-3</v>
      </c>
      <c r="I277" s="2">
        <f ca="1"/>
        <v>270</v>
      </c>
      <c r="J277">
        <f ca="1"/>
        <v>0.46949356878647464</v>
      </c>
      <c r="K277">
        <f ca="1"/>
        <v>8.4661652830157197E-3</v>
      </c>
    </row>
    <row r="278" spans="3:11">
      <c r="C278" s="20">
        <v>4.7123889803846897</v>
      </c>
      <c r="D278" s="20">
        <v>8.3886847897699998E-2</v>
      </c>
      <c r="G278" s="20">
        <v>0.47123889803846897</v>
      </c>
      <c r="H278" s="20">
        <v>6.0128724185714993E-3</v>
      </c>
      <c r="I278" s="2">
        <f ca="1"/>
        <v>271</v>
      </c>
      <c r="J278">
        <f ca="1"/>
        <v>0.47123889803846897</v>
      </c>
      <c r="K278">
        <f ca="1"/>
        <v>8.4772348026193461E-3</v>
      </c>
    </row>
    <row r="279" spans="3:11">
      <c r="C279" s="20">
        <v>4.7298422729046328</v>
      </c>
      <c r="D279" s="20">
        <v>6.898309456820001E-2</v>
      </c>
      <c r="G279" s="20">
        <v>0.4729842272904633</v>
      </c>
      <c r="H279" s="20">
        <v>6.0276752568958307E-3</v>
      </c>
      <c r="I279" s="2">
        <f ca="1"/>
        <v>272</v>
      </c>
      <c r="J279">
        <f ca="1"/>
        <v>0.4729842272904633</v>
      </c>
      <c r="K279">
        <f ca="1"/>
        <v>8.4874520892808409E-3</v>
      </c>
    </row>
    <row r="280" spans="3:11">
      <c r="C280" s="20">
        <v>4.7472955654245768</v>
      </c>
      <c r="D280" s="20">
        <v>5.3887942426299996E-2</v>
      </c>
      <c r="G280" s="20">
        <v>0.47472955654245769</v>
      </c>
      <c r="H280" s="20">
        <v>6.0424992153841443E-3</v>
      </c>
      <c r="I280" s="2">
        <f ca="1"/>
        <v>273</v>
      </c>
      <c r="J280">
        <f ca="1"/>
        <v>0.47472955654245769</v>
      </c>
      <c r="K280">
        <f ca="1"/>
        <v>8.5021561843490016E-3</v>
      </c>
    </row>
    <row r="281" spans="3:11">
      <c r="C281" s="20">
        <v>4.7647488579445199</v>
      </c>
      <c r="D281" s="20">
        <v>3.8617220758000004E-2</v>
      </c>
      <c r="G281" s="20">
        <v>0.47647488579445196</v>
      </c>
      <c r="H281" s="20">
        <v>6.0573533806829684E-3</v>
      </c>
      <c r="I281" s="2">
        <f ca="1"/>
        <v>274</v>
      </c>
      <c r="J281">
        <f ca="1"/>
        <v>0.47647488579445196</v>
      </c>
      <c r="K281">
        <f ca="1"/>
        <v>8.5174315336813116E-3</v>
      </c>
    </row>
    <row r="282" spans="3:11">
      <c r="C282" s="20">
        <v>4.782202150464463</v>
      </c>
      <c r="D282" s="20">
        <v>2.3187359185100002E-2</v>
      </c>
      <c r="G282" s="20">
        <v>0.4782202150464463</v>
      </c>
      <c r="H282" s="20">
        <v>6.0722306601993297E-3</v>
      </c>
      <c r="I282" s="2">
        <f ca="1"/>
        <v>275</v>
      </c>
      <c r="J282">
        <f ca="1"/>
        <v>0.4782202150464463</v>
      </c>
      <c r="K282">
        <f ca="1"/>
        <v>8.5278951013995768E-3</v>
      </c>
    </row>
    <row r="283" spans="3:11">
      <c r="C283" s="20">
        <v>4.7996554429844061</v>
      </c>
      <c r="D283" s="20">
        <v>7.6153880934000003E-3</v>
      </c>
      <c r="G283" s="20">
        <v>0.47996554429844063</v>
      </c>
      <c r="H283" s="20">
        <v>6.0871213502397921E-3</v>
      </c>
      <c r="I283" s="2">
        <f ca="1"/>
        <v>276</v>
      </c>
      <c r="J283">
        <f ca="1"/>
        <v>0.47996554429844063</v>
      </c>
      <c r="K283">
        <f ca="1"/>
        <v>8.5374949069589676E-3</v>
      </c>
    </row>
    <row r="284" spans="3:11">
      <c r="C284" s="20">
        <v>4.8171087355043491</v>
      </c>
      <c r="D284" s="20">
        <v>-8.0810626299000002E-3</v>
      </c>
      <c r="G284" s="20">
        <v>0.4817108735504349</v>
      </c>
      <c r="H284" s="20">
        <v>6.1020321393990655E-3</v>
      </c>
      <c r="I284" s="2">
        <f ca="1"/>
        <v>277</v>
      </c>
      <c r="J284">
        <f ca="1"/>
        <v>0.4817108735504349</v>
      </c>
      <c r="K284">
        <f ca="1"/>
        <v>8.5516617527126703E-3</v>
      </c>
    </row>
    <row r="285" spans="3:11">
      <c r="C285" s="20">
        <v>4.8345620280242931</v>
      </c>
      <c r="D285" s="20">
        <v>-2.3883766767299999E-2</v>
      </c>
      <c r="G285" s="20">
        <v>0.48345620280242924</v>
      </c>
      <c r="H285" s="20">
        <v>6.1169722810601327E-3</v>
      </c>
      <c r="I285" s="2">
        <f ca="1"/>
        <v>278</v>
      </c>
      <c r="J285">
        <f ca="1"/>
        <v>0.48345620280242924</v>
      </c>
      <c r="K285">
        <f ca="1"/>
        <v>8.5664136503654665E-3</v>
      </c>
    </row>
    <row r="286" spans="3:11">
      <c r="C286" s="20">
        <v>4.8520153205442362</v>
      </c>
      <c r="D286" s="20">
        <v>-3.97739068779E-2</v>
      </c>
      <c r="G286" s="20">
        <v>0.48520153205442357</v>
      </c>
      <c r="H286" s="20">
        <v>6.1319345640563983E-3</v>
      </c>
      <c r="I286" s="2">
        <f ca="1"/>
        <v>279</v>
      </c>
      <c r="J286">
        <f ca="1"/>
        <v>0.48520153205442357</v>
      </c>
      <c r="K286">
        <f ca="1"/>
        <v>8.5762746721091548E-3</v>
      </c>
    </row>
    <row r="287" spans="3:11">
      <c r="C287" s="20">
        <v>4.8694686130641793</v>
      </c>
      <c r="D287" s="20">
        <v>-5.5732081498799997E-2</v>
      </c>
      <c r="G287" s="20">
        <v>0.4869468613064179</v>
      </c>
      <c r="H287" s="20">
        <v>6.1469091271768731E-3</v>
      </c>
      <c r="I287" s="2">
        <f ca="1"/>
        <v>280</v>
      </c>
      <c r="J287">
        <f ca="1"/>
        <v>0.4869468613064179</v>
      </c>
      <c r="K287">
        <f ca="1"/>
        <v>8.5852605042453494E-3</v>
      </c>
    </row>
    <row r="288" spans="3:11">
      <c r="C288" s="20">
        <v>4.8869219055841224</v>
      </c>
      <c r="D288" s="20">
        <v>-7.1738314503E-2</v>
      </c>
      <c r="G288" s="20">
        <v>0.48869219055841229</v>
      </c>
      <c r="H288" s="20">
        <v>6.1619027766445008E-3</v>
      </c>
      <c r="I288" s="2">
        <f ca="1"/>
        <v>281</v>
      </c>
      <c r="J288">
        <f ca="1"/>
        <v>0.48869219055841229</v>
      </c>
      <c r="K288">
        <f ca="1"/>
        <v>8.5988929649327504E-3</v>
      </c>
    </row>
    <row r="289" spans="3:11">
      <c r="C289" s="20">
        <v>4.9043751981040655</v>
      </c>
      <c r="D289" s="20">
        <v>-8.7772066790999997E-2</v>
      </c>
      <c r="G289" s="20">
        <v>0.49043751981040662</v>
      </c>
      <c r="H289" s="20">
        <v>6.1769249260298044E-3</v>
      </c>
      <c r="I289" s="2">
        <f ca="1"/>
        <v>282</v>
      </c>
      <c r="J289">
        <f ca="1"/>
        <v>0.49043751981040662</v>
      </c>
      <c r="K289">
        <f ca="1"/>
        <v>8.6121025624103908E-3</v>
      </c>
    </row>
    <row r="290" spans="3:11">
      <c r="C290" s="20">
        <v>4.9218284906240086</v>
      </c>
      <c r="D290" s="20">
        <v>-0.10381225032630001</v>
      </c>
      <c r="G290" s="20">
        <v>0.49218284906240095</v>
      </c>
      <c r="H290" s="20">
        <v>6.1919646856912012E-3</v>
      </c>
      <c r="I290" s="2">
        <f ca="1"/>
        <v>283</v>
      </c>
      <c r="J290">
        <f ca="1"/>
        <v>0.49218284906240095</v>
      </c>
      <c r="K290">
        <f ca="1"/>
        <v>8.6227269712255521E-3</v>
      </c>
    </row>
    <row r="291" spans="3:11">
      <c r="C291" s="20">
        <v>4.9392817831439526</v>
      </c>
      <c r="D291" s="20">
        <v>-0.11983724467619999</v>
      </c>
      <c r="G291" s="20">
        <v>0.49392817831439528</v>
      </c>
      <c r="H291" s="20">
        <v>6.2070239212594852E-3</v>
      </c>
      <c r="I291" s="2">
        <f ca="1"/>
        <v>284</v>
      </c>
      <c r="J291">
        <f ca="1"/>
        <v>0.49392817831439528</v>
      </c>
      <c r="K291">
        <f ca="1"/>
        <v>8.6329697948374154E-3</v>
      </c>
    </row>
    <row r="292" spans="3:11">
      <c r="C292" s="20">
        <v>4.9567350756638957</v>
      </c>
      <c r="D292" s="20">
        <v>-0.1358249161459</v>
      </c>
      <c r="G292" s="20">
        <v>0.49567350756638956</v>
      </c>
      <c r="H292" s="20">
        <v>6.2220994351202272E-3</v>
      </c>
      <c r="I292" s="2">
        <f ca="1"/>
        <v>285</v>
      </c>
      <c r="J292">
        <f ca="1"/>
        <v>0.49567350756638956</v>
      </c>
      <c r="K292">
        <f ca="1"/>
        <v>8.6421688140598859E-3</v>
      </c>
    </row>
    <row r="293" spans="3:11">
      <c r="C293" s="20">
        <v>4.9741883681838397</v>
      </c>
      <c r="D293" s="20">
        <v>-0.1517526395179</v>
      </c>
      <c r="G293" s="20">
        <v>0.49741883681838389</v>
      </c>
      <c r="H293" s="20">
        <v>6.2371907813231885E-3</v>
      </c>
      <c r="I293" s="2">
        <f ca="1"/>
        <v>286</v>
      </c>
      <c r="J293">
        <f ca="1"/>
        <v>0.49741883681838389</v>
      </c>
      <c r="K293">
        <f ca="1"/>
        <v>8.6544849350571763E-3</v>
      </c>
    </row>
    <row r="294" spans="3:11">
      <c r="C294" s="20">
        <v>4.9916416607037828</v>
      </c>
      <c r="D294" s="20">
        <v>-0.16759732259079999</v>
      </c>
      <c r="G294" s="20">
        <v>0.49916416607037822</v>
      </c>
      <c r="H294" s="20">
        <v>6.2523092865564263E-3</v>
      </c>
      <c r="I294" s="2">
        <f ca="1"/>
        <v>287</v>
      </c>
      <c r="J294">
        <f ca="1"/>
        <v>0.49916416607037822</v>
      </c>
      <c r="K294">
        <f ca="1"/>
        <v>8.6680605687249942E-3</v>
      </c>
    </row>
    <row r="295" spans="3:11">
      <c r="C295" s="20">
        <v>5.0090949532237259</v>
      </c>
      <c r="D295" s="20">
        <v>-0.18333543344479999</v>
      </c>
      <c r="G295" s="20">
        <v>0.50090949532237261</v>
      </c>
      <c r="H295" s="20">
        <v>6.2674480206604977E-3</v>
      </c>
      <c r="I295" s="2">
        <f ca="1"/>
        <v>288</v>
      </c>
      <c r="J295">
        <f ca="1"/>
        <v>0.50090949532237261</v>
      </c>
      <c r="K295">
        <f ca="1"/>
        <v>8.6767362429589628E-3</v>
      </c>
    </row>
    <row r="296" spans="3:11">
      <c r="C296" s="20">
        <v>5.026548245743669</v>
      </c>
      <c r="D296" s="20">
        <v>-0.19894303060060001</v>
      </c>
      <c r="G296" s="20">
        <v>0.50265482457436683</v>
      </c>
      <c r="H296" s="20">
        <v>6.2825968097097772E-3</v>
      </c>
      <c r="I296" s="2">
        <f ca="1"/>
        <v>289</v>
      </c>
      <c r="J296">
        <f ca="1"/>
        <v>0.50265482457436683</v>
      </c>
      <c r="K296">
        <f ca="1"/>
        <v>8.6844840582404655E-3</v>
      </c>
    </row>
    <row r="297" spans="3:11">
      <c r="C297" s="20">
        <v>5.0440015382636121</v>
      </c>
      <c r="D297" s="20">
        <v>-0.21439579604739997</v>
      </c>
      <c r="G297" s="20">
        <v>0.50440015382636127</v>
      </c>
      <c r="H297" s="20">
        <v>6.2977625887911488E-3</v>
      </c>
      <c r="I297" s="2">
        <f ca="1"/>
        <v>290</v>
      </c>
      <c r="J297">
        <f ca="1"/>
        <v>0.50440015382636127</v>
      </c>
      <c r="K297">
        <f ca="1"/>
        <v>8.6969167205045318E-3</v>
      </c>
    </row>
    <row r="298" spans="3:11">
      <c r="C298" s="20">
        <v>5.0614548307835552</v>
      </c>
      <c r="D298" s="20">
        <v>-0.22966907120169999</v>
      </c>
      <c r="G298" s="20">
        <v>0.50614548307835561</v>
      </c>
      <c r="H298" s="20">
        <v>6.3129547760186885E-3</v>
      </c>
      <c r="I298" s="2">
        <f ca="1"/>
        <v>291</v>
      </c>
      <c r="J298">
        <f ca="1"/>
        <v>0.50614548307835561</v>
      </c>
      <c r="K298">
        <f ca="1"/>
        <v>8.7099427024156639E-3</v>
      </c>
    </row>
    <row r="299" spans="3:11">
      <c r="C299" s="20">
        <v>5.0789081233034983</v>
      </c>
      <c r="D299" s="20">
        <v>-0.24473789580660002</v>
      </c>
      <c r="G299" s="20">
        <v>0.50789081233034994</v>
      </c>
      <c r="H299" s="20">
        <v>6.32816602435459E-3</v>
      </c>
      <c r="I299" s="2">
        <f ca="1"/>
        <v>292</v>
      </c>
      <c r="J299">
        <f ca="1"/>
        <v>0.50789081233034994</v>
      </c>
      <c r="K299">
        <f ca="1"/>
        <v>8.7178800718602616E-3</v>
      </c>
    </row>
    <row r="300" spans="3:11">
      <c r="C300" s="20">
        <v>5.0963614158234423</v>
      </c>
      <c r="D300" s="20">
        <v>-0.25957704975579998</v>
      </c>
      <c r="G300" s="20">
        <v>0.50963614158234416</v>
      </c>
      <c r="H300" s="20">
        <v>6.3433859182282799E-3</v>
      </c>
      <c r="I300" s="2">
        <f ca="1"/>
        <v>293</v>
      </c>
      <c r="J300">
        <f ca="1"/>
        <v>0.50963614158234416</v>
      </c>
      <c r="K300">
        <f ca="1"/>
        <v>8.7249030352924851E-3</v>
      </c>
    </row>
    <row r="301" spans="3:11">
      <c r="C301" s="20">
        <v>5.1138147083433854</v>
      </c>
      <c r="D301" s="20">
        <v>-0.27416109783940001</v>
      </c>
      <c r="G301" s="20">
        <v>0.5113814708343386</v>
      </c>
      <c r="H301" s="20">
        <v>6.3586216813312103E-3</v>
      </c>
      <c r="I301" s="2">
        <f ca="1"/>
        <v>294</v>
      </c>
      <c r="J301">
        <f ca="1"/>
        <v>0.5113814708343386</v>
      </c>
      <c r="K301">
        <f ca="1"/>
        <v>8.7368205382458413E-3</v>
      </c>
    </row>
    <row r="302" spans="3:11">
      <c r="C302" s="20">
        <v>5.1312680008633293</v>
      </c>
      <c r="D302" s="20">
        <v>-0.28846443740310002</v>
      </c>
      <c r="G302" s="20">
        <v>0.51312680008633282</v>
      </c>
      <c r="H302" s="20">
        <v>6.3738831751379305E-3</v>
      </c>
      <c r="I302" s="2">
        <f ca="1"/>
        <v>295</v>
      </c>
      <c r="J302">
        <f ca="1"/>
        <v>0.51312680008633282</v>
      </c>
      <c r="K302">
        <f ca="1"/>
        <v>8.7493671696980899E-3</v>
      </c>
    </row>
    <row r="303" spans="3:11">
      <c r="C303" s="20">
        <v>5.1487212933832724</v>
      </c>
      <c r="D303" s="20">
        <v>-0.30246134881879999</v>
      </c>
      <c r="G303" s="20">
        <v>0.51487212933832716</v>
      </c>
      <c r="H303" s="20">
        <v>6.3891627342466352E-3</v>
      </c>
      <c r="I303" s="2">
        <f ca="1"/>
        <v>296</v>
      </c>
      <c r="J303">
        <f ca="1"/>
        <v>0.51487212933832716</v>
      </c>
      <c r="K303">
        <f ca="1"/>
        <v>8.756702411725931E-3</v>
      </c>
    </row>
    <row r="304" spans="3:11">
      <c r="C304" s="20">
        <v>5.1661745859032155</v>
      </c>
      <c r="D304" s="20">
        <v>-0.3161260487534</v>
      </c>
      <c r="G304" s="20">
        <v>0.51661745859032149</v>
      </c>
      <c r="H304" s="20">
        <v>6.4044498328783197E-3</v>
      </c>
      <c r="I304" s="2">
        <f ca="1"/>
        <v>297</v>
      </c>
      <c r="J304">
        <f ca="1"/>
        <v>0.51661745859032149</v>
      </c>
      <c r="K304">
        <f ca="1"/>
        <v>8.7631147797427207E-3</v>
      </c>
    </row>
    <row r="305" spans="3:11">
      <c r="C305" s="20">
        <v>5.1836278784231586</v>
      </c>
      <c r="D305" s="20">
        <v>-0.32943274611639994</v>
      </c>
      <c r="G305" s="20">
        <v>0.51836278784231593</v>
      </c>
      <c r="H305" s="20">
        <v>6.4197517753739738E-3</v>
      </c>
      <c r="I305" s="2">
        <f ca="1"/>
        <v>298</v>
      </c>
      <c r="J305">
        <f ca="1"/>
        <v>0.51836278784231593</v>
      </c>
      <c r="K305">
        <f ca="1"/>
        <v>8.7745055777556664E-3</v>
      </c>
    </row>
    <row r="306" spans="3:11">
      <c r="C306" s="20">
        <v>5.2010811709431017</v>
      </c>
      <c r="D306" s="20">
        <v>-0.34235570056549997</v>
      </c>
      <c r="G306" s="20">
        <v>0.52010811709431026</v>
      </c>
      <c r="H306" s="20">
        <v>6.4350786353916094E-3</v>
      </c>
      <c r="I306" s="2">
        <f ca="1"/>
        <v>299</v>
      </c>
      <c r="J306">
        <f ca="1"/>
        <v>0.52010811709431026</v>
      </c>
      <c r="K306">
        <f ca="1"/>
        <v>8.7865467325348359E-3</v>
      </c>
    </row>
    <row r="307" spans="3:11">
      <c r="C307" s="20">
        <v>5.2185344634630448</v>
      </c>
      <c r="D307" s="20">
        <v>-0.35486928350700003</v>
      </c>
      <c r="G307" s="20">
        <v>0.52185344634630459</v>
      </c>
      <c r="H307" s="20">
        <v>6.4504226094465903E-3</v>
      </c>
      <c r="I307" s="2">
        <f ca="1"/>
        <v>300</v>
      </c>
      <c r="J307">
        <f ca="1"/>
        <v>0.52185344634630459</v>
      </c>
      <c r="K307">
        <f ca="1"/>
        <v>8.7932956981762941E-3</v>
      </c>
    </row>
    <row r="308" spans="3:11">
      <c r="C308" s="20">
        <v>5.2359877559829888</v>
      </c>
      <c r="D308" s="20">
        <v>-0.36694804131199998</v>
      </c>
      <c r="G308" s="20">
        <v>0.52359877559829882</v>
      </c>
      <c r="H308" s="20">
        <v>6.4657730277985345E-3</v>
      </c>
      <c r="I308" s="2">
        <f ca="1"/>
        <v>301</v>
      </c>
      <c r="J308">
        <f ca="1"/>
        <v>0.52359877559829882</v>
      </c>
      <c r="K308">
        <f ca="1"/>
        <v>8.7991111682869157E-3</v>
      </c>
    </row>
    <row r="309" spans="3:11">
      <c r="C309" s="20">
        <v>5.2534410485029319</v>
      </c>
      <c r="D309" s="20">
        <v>-0.37856676076829998</v>
      </c>
      <c r="G309" s="20">
        <v>0.52534410485029315</v>
      </c>
      <c r="H309" s="20">
        <v>6.4811373016737117E-3</v>
      </c>
      <c r="I309" s="2">
        <f ca="1"/>
        <v>302</v>
      </c>
      <c r="J309">
        <f ca="1"/>
        <v>0.52534410485029315</v>
      </c>
      <c r="K309">
        <f ca="1"/>
        <v>8.8099812606878929E-3</v>
      </c>
    </row>
    <row r="310" spans="3:11">
      <c r="C310" s="20">
        <v>5.270894341022875</v>
      </c>
      <c r="D310" s="20">
        <v>-0.38970053638910002</v>
      </c>
      <c r="G310" s="20">
        <v>0.52708943410228748</v>
      </c>
      <c r="H310" s="20">
        <v>6.4965256638061354E-3</v>
      </c>
      <c r="I310" s="2">
        <f ca="1"/>
        <v>303</v>
      </c>
      <c r="J310">
        <f ca="1"/>
        <v>0.52708943410228748</v>
      </c>
      <c r="K310">
        <f ca="1"/>
        <v>8.821515205471692E-3</v>
      </c>
    </row>
    <row r="311" spans="3:11">
      <c r="C311" s="20">
        <v>5.2883476335428181</v>
      </c>
      <c r="D311" s="20">
        <v>-0.40032483944629998</v>
      </c>
      <c r="G311" s="20">
        <v>0.5288347633542817</v>
      </c>
      <c r="H311" s="20">
        <v>6.5119301987437558E-3</v>
      </c>
      <c r="I311" s="2">
        <f ca="1"/>
        <v>304</v>
      </c>
      <c r="J311">
        <f ca="1"/>
        <v>0.5288347633542817</v>
      </c>
      <c r="K311">
        <f ca="1"/>
        <v>8.8276822165421209E-3</v>
      </c>
    </row>
    <row r="312" spans="3:11">
      <c r="C312" s="20">
        <v>5.3058009260627612</v>
      </c>
      <c r="D312" s="20">
        <v>-0.41041558852569998</v>
      </c>
      <c r="G312" s="20">
        <v>0.53058009260627614</v>
      </c>
      <c r="H312" s="20">
        <v>6.5273400878058177E-3</v>
      </c>
      <c r="I312" s="2">
        <f ca="1"/>
        <v>305</v>
      </c>
      <c r="J312">
        <f ca="1"/>
        <v>0.53058009260627614</v>
      </c>
      <c r="K312">
        <f ca="1"/>
        <v>8.8329049053861419E-3</v>
      </c>
    </row>
    <row r="313" spans="3:11">
      <c r="C313" s="20">
        <v>5.3232542185827052</v>
      </c>
      <c r="D313" s="20">
        <v>-0.41994922126379997</v>
      </c>
      <c r="G313" s="20">
        <v>0.53232542185827048</v>
      </c>
      <c r="H313" s="20">
        <v>6.5427628533666661E-3</v>
      </c>
      <c r="I313" s="2">
        <f ca="1"/>
        <v>306</v>
      </c>
      <c r="J313">
        <f ca="1"/>
        <v>0.53232542185827048</v>
      </c>
      <c r="K313">
        <f ca="1"/>
        <v>8.8432578014944214E-3</v>
      </c>
    </row>
    <row r="314" spans="3:11">
      <c r="C314" s="20">
        <v>5.3407075111026483</v>
      </c>
      <c r="D314" s="20">
        <v>-0.428902767091</v>
      </c>
      <c r="G314" s="20">
        <v>0.53407075111026481</v>
      </c>
      <c r="H314" s="20">
        <v>6.5582088808535683E-3</v>
      </c>
      <c r="I314" s="2">
        <f ca="1"/>
        <v>307</v>
      </c>
      <c r="J314">
        <f ca="1"/>
        <v>0.53407075111026481</v>
      </c>
      <c r="K314">
        <f ca="1"/>
        <v>8.8542871264174674E-3</v>
      </c>
    </row>
    <row r="315" spans="3:11">
      <c r="C315" s="20">
        <v>5.3581608036225914</v>
      </c>
      <c r="D315" s="20">
        <v>-0.43725392057939999</v>
      </c>
      <c r="G315" s="20">
        <v>0.53581608036225914</v>
      </c>
      <c r="H315" s="20">
        <v>6.5736701460212526E-3</v>
      </c>
      <c r="I315" s="2">
        <f ca="1"/>
        <v>308</v>
      </c>
      <c r="J315">
        <f ca="1"/>
        <v>0.53581608036225914</v>
      </c>
      <c r="K315">
        <f ca="1"/>
        <v>8.8598761222838749E-3</v>
      </c>
    </row>
    <row r="316" spans="3:11">
      <c r="C316" s="20">
        <v>5.3756140961425354</v>
      </c>
      <c r="D316" s="20">
        <v>-0.44498111514889999</v>
      </c>
      <c r="G316" s="20">
        <v>0.53756140961425358</v>
      </c>
      <c r="H316" s="20">
        <v>6.5891356827841056E-3</v>
      </c>
      <c r="I316" s="2">
        <f ca="1"/>
        <v>309</v>
      </c>
      <c r="J316">
        <f ca="1"/>
        <v>0.53756140961425358</v>
      </c>
      <c r="K316">
        <f ca="1"/>
        <v>8.8645102548329541E-3</v>
      </c>
    </row>
    <row r="317" spans="3:11">
      <c r="C317" s="20">
        <v>5.3930673886624785</v>
      </c>
      <c r="D317" s="20">
        <v>-0.45206359682590003</v>
      </c>
      <c r="G317" s="20">
        <v>0.5393067388662478</v>
      </c>
      <c r="H317" s="20">
        <v>6.60461312412598E-3</v>
      </c>
      <c r="I317" s="2">
        <f ca="1"/>
        <v>310</v>
      </c>
      <c r="J317">
        <f ca="1"/>
        <v>0.5393067388662478</v>
      </c>
      <c r="K317">
        <f ca="1"/>
        <v>8.872641595455923E-3</v>
      </c>
    </row>
    <row r="318" spans="3:11">
      <c r="C318" s="20">
        <v>5.4105206811824216</v>
      </c>
      <c r="D318" s="20">
        <v>-0.45848149760300005</v>
      </c>
      <c r="G318" s="20">
        <v>0.54105206811824214</v>
      </c>
      <c r="H318" s="20">
        <v>6.6201070446221264E-3</v>
      </c>
      <c r="I318" s="2">
        <f ca="1"/>
        <v>311</v>
      </c>
      <c r="J318">
        <f ca="1"/>
        <v>0.54105206811824214</v>
      </c>
      <c r="K318">
        <f ca="1"/>
        <v>8.8822290970574976E-3</v>
      </c>
    </row>
    <row r="319" spans="3:11">
      <c r="C319" s="20">
        <v>5.4279739737023647</v>
      </c>
      <c r="D319" s="20">
        <v>-0.46421590817210007</v>
      </c>
      <c r="G319" s="20">
        <v>0.54279739737023647</v>
      </c>
      <c r="H319" s="20">
        <v>6.6356179526579993E-3</v>
      </c>
      <c r="I319" s="2">
        <f ca="1"/>
        <v>312</v>
      </c>
      <c r="J319">
        <f ca="1"/>
        <v>0.54279739737023647</v>
      </c>
      <c r="K319">
        <f ca="1"/>
        <v>8.8915133806089681E-3</v>
      </c>
    </row>
    <row r="320" spans="3:11">
      <c r="C320" s="20">
        <v>5.4454272662223078</v>
      </c>
      <c r="D320" s="20">
        <v>-0.4692489495671</v>
      </c>
      <c r="G320" s="20">
        <v>0.54454272662223091</v>
      </c>
      <c r="H320" s="20">
        <v>6.6511442814174791E-3</v>
      </c>
      <c r="I320" s="2">
        <f ca="1"/>
        <v>313</v>
      </c>
      <c r="J320">
        <f ca="1"/>
        <v>0.54454272662223091</v>
      </c>
      <c r="K320">
        <f ca="1"/>
        <v>8.896755388767651E-3</v>
      </c>
    </row>
    <row r="321" spans="3:11">
      <c r="C321" s="20">
        <v>5.4628805587422509</v>
      </c>
      <c r="D321" s="20">
        <v>-0.47356384339669999</v>
      </c>
      <c r="G321" s="20">
        <v>0.54628805587422502</v>
      </c>
      <c r="H321" s="20">
        <v>6.6666734875137071E-3</v>
      </c>
      <c r="I321" s="2">
        <f ca="1"/>
        <v>314</v>
      </c>
      <c r="J321">
        <f ca="1"/>
        <v>0.54628805587422502</v>
      </c>
      <c r="K321">
        <f ca="1"/>
        <v>8.9009578930134472E-3</v>
      </c>
    </row>
    <row r="322" spans="3:11">
      <c r="C322" s="20">
        <v>5.480333851262194</v>
      </c>
      <c r="D322" s="20">
        <v>-0.47714498026060004</v>
      </c>
      <c r="G322" s="20">
        <v>0.54803338512621946</v>
      </c>
      <c r="H322" s="20">
        <v>6.6822144857803705E-3</v>
      </c>
      <c r="I322" s="2">
        <f ca="1"/>
        <v>315</v>
      </c>
      <c r="J322">
        <f ca="1"/>
        <v>0.54803338512621946</v>
      </c>
      <c r="K322">
        <f ca="1"/>
        <v>8.9102806264347925E-3</v>
      </c>
    </row>
    <row r="323" spans="3:11">
      <c r="C323" s="20">
        <v>5.497787143782138</v>
      </c>
      <c r="D323" s="20">
        <v>-0.47997798594559998</v>
      </c>
      <c r="G323" s="20">
        <v>0.5497787143782138</v>
      </c>
      <c r="H323" s="20">
        <v>6.6977762343552981E-3</v>
      </c>
      <c r="I323" s="2">
        <f ca="1"/>
        <v>316</v>
      </c>
      <c r="J323">
        <f ca="1"/>
        <v>0.5497787143782138</v>
      </c>
      <c r="K323">
        <f ca="1"/>
        <v>8.9200316314893002E-3</v>
      </c>
    </row>
    <row r="324" spans="3:11">
      <c r="C324" s="20">
        <v>5.5152404363020811</v>
      </c>
      <c r="D324" s="20">
        <v>-0.48204978506219998</v>
      </c>
      <c r="G324" s="20">
        <v>0.55152404363020813</v>
      </c>
      <c r="H324" s="20">
        <v>6.7133512700506765E-3</v>
      </c>
      <c r="I324" s="2">
        <f ca="1"/>
        <v>317</v>
      </c>
      <c r="J324">
        <f ca="1"/>
        <v>0.55152404363020813</v>
      </c>
      <c r="K324">
        <f ca="1"/>
        <v>8.9243518325492106E-3</v>
      </c>
    </row>
    <row r="325" spans="3:11">
      <c r="C325" s="20">
        <v>5.532693728822025</v>
      </c>
      <c r="D325" s="20">
        <v>-0.48334866170449997</v>
      </c>
      <c r="G325" s="20">
        <v>0.55326937288220246</v>
      </c>
      <c r="H325" s="20">
        <v>6.7289280989721728E-3</v>
      </c>
      <c r="I325" s="2">
        <f ca="1"/>
        <v>318</v>
      </c>
      <c r="J325">
        <f ca="1"/>
        <v>0.55326937288220246</v>
      </c>
      <c r="K325">
        <f ca="1"/>
        <v>8.9276899065856962E-3</v>
      </c>
    </row>
    <row r="326" spans="3:11">
      <c r="C326" s="20">
        <v>5.5501470213419681</v>
      </c>
      <c r="D326" s="20">
        <v>-0.48386431676930003</v>
      </c>
      <c r="G326" s="20">
        <v>0.55501470213419679</v>
      </c>
      <c r="H326" s="20">
        <v>6.7445147867440736E-3</v>
      </c>
      <c r="I326" s="2">
        <f ca="1"/>
        <v>319</v>
      </c>
      <c r="J326">
        <f ca="1"/>
        <v>0.55501470213419679</v>
      </c>
      <c r="K326">
        <f ca="1"/>
        <v>8.9364031837249804E-3</v>
      </c>
    </row>
    <row r="327" spans="3:11">
      <c r="C327" s="20">
        <v>5.5676003138619112</v>
      </c>
      <c r="D327" s="20">
        <v>-0.48358792155750002</v>
      </c>
      <c r="G327" s="20">
        <v>0.55676003138619112</v>
      </c>
      <c r="H327" s="20">
        <v>6.7601220307405138E-3</v>
      </c>
      <c r="I327" s="2">
        <f ca="1"/>
        <v>320</v>
      </c>
      <c r="J327">
        <f ca="1"/>
        <v>0.55676003138619112</v>
      </c>
      <c r="K327">
        <f ca="1"/>
        <v>8.9458010687900047E-3</v>
      </c>
    </row>
    <row r="328" spans="3:11">
      <c r="C328" s="20">
        <v>5.5850536063818543</v>
      </c>
      <c r="D328" s="20">
        <v>-0.48251216728660001</v>
      </c>
      <c r="G328" s="20">
        <v>0.55850536063818546</v>
      </c>
      <c r="H328" s="20">
        <v>6.7757415233198363E-3</v>
      </c>
      <c r="I328" s="2">
        <f ca="1"/>
        <v>321</v>
      </c>
      <c r="J328">
        <f ca="1"/>
        <v>0.55850536063818546</v>
      </c>
      <c r="K328">
        <f ca="1"/>
        <v>8.9495382910431843E-3</v>
      </c>
    </row>
    <row r="329" spans="3:11">
      <c r="C329" s="20">
        <v>5.6025068989017974</v>
      </c>
      <c r="D329" s="20">
        <v>-0.4806313102418</v>
      </c>
      <c r="G329" s="20">
        <v>0.56025068989017979</v>
      </c>
      <c r="H329" s="20">
        <v>6.7913618126829159E-3</v>
      </c>
      <c r="I329" s="2">
        <f ca="1"/>
        <v>322</v>
      </c>
      <c r="J329">
        <f ca="1"/>
        <v>0.56025068989017979</v>
      </c>
      <c r="K329">
        <f ca="1"/>
        <v>8.952287546160051E-3</v>
      </c>
    </row>
    <row r="330" spans="3:11">
      <c r="C330" s="20">
        <v>5.6199601914217405</v>
      </c>
      <c r="D330" s="20">
        <v>-0.47794121213399998</v>
      </c>
      <c r="G330" s="20">
        <v>0.56199601914217412</v>
      </c>
      <c r="H330" s="20">
        <v>6.8069909019729917E-3</v>
      </c>
      <c r="I330" s="2">
        <f ca="1"/>
        <v>323</v>
      </c>
      <c r="J330">
        <f ca="1"/>
        <v>0.56199601914217412</v>
      </c>
      <c r="K330">
        <f ca="1"/>
        <v>8.9604814587138995E-3</v>
      </c>
    </row>
    <row r="331" spans="3:11">
      <c r="C331" s="20">
        <v>5.6374134839416845</v>
      </c>
      <c r="D331" s="20">
        <v>-0.47443937546029996</v>
      </c>
      <c r="G331" s="20">
        <v>0.56374134839416834</v>
      </c>
      <c r="H331" s="20">
        <v>6.8226397934866073E-3</v>
      </c>
      <c r="I331" s="2">
        <f ca="1"/>
        <v>324</v>
      </c>
      <c r="J331">
        <f ca="1"/>
        <v>0.56374134839416834</v>
      </c>
      <c r="K331">
        <f ca="1"/>
        <v>8.969400830435249E-3</v>
      </c>
    </row>
    <row r="332" spans="3:11">
      <c r="C332" s="20">
        <v>5.6548667764616276</v>
      </c>
      <c r="D332" s="20">
        <v>-0.4701249735493</v>
      </c>
      <c r="G332" s="20">
        <v>0.56548667764616289</v>
      </c>
      <c r="H332" s="20">
        <v>6.8383000172574345E-3</v>
      </c>
      <c r="I332" s="2">
        <f ca="1"/>
        <v>325</v>
      </c>
      <c r="J332">
        <f ca="1"/>
        <v>0.56548667764616289</v>
      </c>
      <c r="K332">
        <f ca="1"/>
        <v>8.9725775184286722E-3</v>
      </c>
    </row>
    <row r="333" spans="3:11">
      <c r="C333" s="20">
        <v>5.6723200689815707</v>
      </c>
      <c r="D333" s="20">
        <v>-0.46499887503260001</v>
      </c>
      <c r="G333" s="20">
        <v>0.56723200689815712</v>
      </c>
      <c r="H333" s="20">
        <v>6.8539599975040088E-3</v>
      </c>
      <c r="I333" s="2">
        <f ca="1"/>
        <v>326</v>
      </c>
      <c r="J333">
        <f ca="1"/>
        <v>0.56723200689815712</v>
      </c>
      <c r="K333">
        <f ca="1"/>
        <v>8.9747563695282504E-3</v>
      </c>
    </row>
    <row r="334" spans="3:11">
      <c r="C334" s="20">
        <v>5.6897733615015138</v>
      </c>
      <c r="D334" s="20">
        <v>-0.45906366254620001</v>
      </c>
      <c r="G334" s="20">
        <v>0.56897733615015134</v>
      </c>
      <c r="H334" s="20">
        <v>6.8696278268999527E-3</v>
      </c>
      <c r="I334" s="2">
        <f ca="1"/>
        <v>327</v>
      </c>
      <c r="J334">
        <f ca="1"/>
        <v>0.56897733615015134</v>
      </c>
      <c r="K334">
        <f ca="1"/>
        <v>8.9824495211594385E-3</v>
      </c>
    </row>
    <row r="335" spans="3:11">
      <c r="C335" s="20">
        <v>5.7072266540214578</v>
      </c>
      <c r="D335" s="20">
        <v>-0.45232364548629994</v>
      </c>
      <c r="G335" s="20">
        <v>0.57072266540214578</v>
      </c>
      <c r="H335" s="20">
        <v>6.8853146613116929E-3</v>
      </c>
      <c r="I335" s="2">
        <f ca="1"/>
        <v>328</v>
      </c>
      <c r="J335">
        <f ca="1"/>
        <v>0.57072266540214578</v>
      </c>
      <c r="K335">
        <f ca="1"/>
        <v>8.9908821216385122E-3</v>
      </c>
    </row>
    <row r="336" spans="3:11">
      <c r="C336" s="20">
        <v>5.7246799465414</v>
      </c>
      <c r="D336" s="20">
        <v>-0.44478486662280003</v>
      </c>
      <c r="G336" s="20">
        <v>0.57246799465414</v>
      </c>
      <c r="H336" s="20">
        <v>6.9010119260362098E-3</v>
      </c>
      <c r="I336" s="2">
        <f ca="1"/>
        <v>329</v>
      </c>
      <c r="J336">
        <f ca="1"/>
        <v>0.57246799465414</v>
      </c>
      <c r="K336">
        <f ca="1"/>
        <v>8.9935026382215316E-3</v>
      </c>
    </row>
    <row r="337" spans="3:11">
      <c r="C337" s="20">
        <v>5.742133239061344</v>
      </c>
      <c r="D337" s="20">
        <v>-0.43645510250159997</v>
      </c>
      <c r="G337" s="20">
        <v>0.57421332390613444</v>
      </c>
      <c r="H337" s="20">
        <v>6.9167079077764454E-3</v>
      </c>
      <c r="I337" s="2">
        <f ca="1"/>
        <v>330</v>
      </c>
      <c r="J337">
        <f ca="1"/>
        <v>0.57421332390613444</v>
      </c>
      <c r="K337">
        <f ca="1"/>
        <v>8.9951155367892586E-3</v>
      </c>
    </row>
    <row r="338" spans="3:11">
      <c r="C338" s="20">
        <v>5.7595865315812871</v>
      </c>
      <c r="D338" s="20">
        <v>-0.4273438575629</v>
      </c>
      <c r="G338" s="20">
        <v>0.57595865315812877</v>
      </c>
      <c r="H338" s="20">
        <v>6.9324108025790648E-3</v>
      </c>
      <c r="I338" s="2">
        <f ca="1"/>
        <v>331</v>
      </c>
      <c r="J338">
        <f ca="1"/>
        <v>0.57595865315812877</v>
      </c>
      <c r="K338">
        <f ca="1"/>
        <v>9.0023130716560852E-3</v>
      </c>
    </row>
    <row r="339" spans="3:11">
      <c r="C339" s="20">
        <v>5.7770398241012311</v>
      </c>
      <c r="D339" s="20">
        <v>-0.41746235189539999</v>
      </c>
      <c r="G339" s="20">
        <v>0.57770398241012311</v>
      </c>
      <c r="H339" s="20">
        <v>6.94813190845559E-3</v>
      </c>
      <c r="I339" s="2">
        <f ca="1"/>
        <v>332</v>
      </c>
      <c r="J339">
        <f ca="1"/>
        <v>0.57770398241012311</v>
      </c>
      <c r="K339">
        <f ca="1"/>
        <v>9.0102618898874436E-3</v>
      </c>
    </row>
    <row r="340" spans="3:11">
      <c r="C340" s="20">
        <v>5.7944931166211742</v>
      </c>
      <c r="D340" s="20">
        <v>-0.40682350266340001</v>
      </c>
      <c r="G340" s="20">
        <v>0.57944931166211733</v>
      </c>
      <c r="H340" s="20">
        <v>6.9638625498681644E-3</v>
      </c>
      <c r="I340" s="2">
        <f ca="1"/>
        <v>333</v>
      </c>
      <c r="J340">
        <f ca="1"/>
        <v>0.57944931166211733</v>
      </c>
      <c r="K340">
        <f ca="1"/>
        <v>9.0123304649557621E-3</v>
      </c>
    </row>
    <row r="341" spans="3:11">
      <c r="C341" s="20">
        <v>5.8119464091411173</v>
      </c>
      <c r="D341" s="20">
        <v>-0.3954418992732</v>
      </c>
      <c r="G341" s="20">
        <v>0.58119464091411166</v>
      </c>
      <c r="H341" s="20">
        <v>6.979590876433843E-3</v>
      </c>
      <c r="I341" s="2">
        <f ca="1"/>
        <v>334</v>
      </c>
      <c r="J341">
        <f ca="1"/>
        <v>0.58119464091411166</v>
      </c>
      <c r="K341">
        <f ca="1"/>
        <v>9.0133819560364817E-3</v>
      </c>
    </row>
    <row r="342" spans="3:11">
      <c r="C342" s="20">
        <v>5.8293997016610613</v>
      </c>
      <c r="D342" s="20">
        <v>-0.38333377231330001</v>
      </c>
      <c r="G342" s="20">
        <v>0.58293997016610599</v>
      </c>
      <c r="H342" s="20">
        <v>6.9953251882427011E-3</v>
      </c>
      <c r="I342" s="2">
        <f ca="1"/>
        <v>335</v>
      </c>
      <c r="J342">
        <f ca="1"/>
        <v>0.58293997016610599</v>
      </c>
      <c r="K342">
        <f ca="1"/>
        <v>9.0182406177674573E-3</v>
      </c>
    </row>
    <row r="343" spans="3:11">
      <c r="C343" s="20">
        <v>5.8468529941810035</v>
      </c>
      <c r="D343" s="20">
        <v>-0.37051695645299998</v>
      </c>
      <c r="G343" s="20">
        <v>0.58468529941810032</v>
      </c>
      <c r="H343" s="20">
        <v>7.0110704747372689E-3</v>
      </c>
      <c r="I343" s="2">
        <f ca="1"/>
        <v>336</v>
      </c>
      <c r="J343">
        <f ca="1"/>
        <v>0.58468529941810032</v>
      </c>
      <c r="K343">
        <f ca="1"/>
        <v>9.0246913732802431E-3</v>
      </c>
    </row>
    <row r="344" spans="3:11">
      <c r="C344" s="20">
        <v>5.8643062867009474</v>
      </c>
      <c r="D344" s="20">
        <v>-0.35701084740479999</v>
      </c>
      <c r="G344" s="20">
        <v>0.58643062867009477</v>
      </c>
      <c r="H344" s="20">
        <v>7.0268273039307159E-3</v>
      </c>
      <c r="I344" s="2">
        <f ca="1"/>
        <v>337</v>
      </c>
      <c r="J344">
        <f ca="1"/>
        <v>0.58643062867009477</v>
      </c>
      <c r="K344">
        <f ca="1"/>
        <v>9.0308291985606842E-3</v>
      </c>
    </row>
    <row r="345" spans="3:11">
      <c r="C345" s="20">
        <v>5.8817595792208897</v>
      </c>
      <c r="D345" s="20">
        <v>-0.34283635320779998</v>
      </c>
      <c r="G345" s="20">
        <v>0.5881759579220891</v>
      </c>
      <c r="H345" s="20">
        <v>7.0425940154772949E-3</v>
      </c>
      <c r="I345" s="2">
        <f ca="1"/>
        <v>338</v>
      </c>
      <c r="J345">
        <f ca="1"/>
        <v>0.5881759579220891</v>
      </c>
      <c r="K345">
        <f ca="1"/>
        <v>9.0326150304424774E-3</v>
      </c>
    </row>
    <row r="346" spans="3:11">
      <c r="C346" s="20">
        <v>5.8992128717408336</v>
      </c>
      <c r="D346" s="20">
        <v>-0.3280158400671</v>
      </c>
      <c r="G346" s="20">
        <v>0.58992128717408332</v>
      </c>
      <c r="H346" s="20">
        <v>7.0583570783999848E-3</v>
      </c>
      <c r="I346" s="2">
        <f ca="1"/>
        <v>339</v>
      </c>
      <c r="J346">
        <f ca="1"/>
        <v>0.58992128717408332</v>
      </c>
      <c r="K346">
        <f ca="1"/>
        <v>9.0332939492648329E-3</v>
      </c>
    </row>
    <row r="347" spans="3:11">
      <c r="C347" s="20">
        <v>5.9166661642607767</v>
      </c>
      <c r="D347" s="20">
        <v>-0.31257307297699999</v>
      </c>
      <c r="G347" s="20">
        <v>0.59166661642607765</v>
      </c>
      <c r="H347" s="20">
        <v>7.0741261598203245E-3</v>
      </c>
      <c r="I347" s="2">
        <f ca="1"/>
        <v>340</v>
      </c>
      <c r="J347">
        <f ca="1"/>
        <v>0.59166661642607765</v>
      </c>
      <c r="K347">
        <f ca="1"/>
        <v>9.0395220238164743E-3</v>
      </c>
    </row>
    <row r="348" spans="3:11">
      <c r="C348" s="20">
        <v>5.9341194567807207</v>
      </c>
      <c r="D348" s="20">
        <v>-0.29653315151729998</v>
      </c>
      <c r="G348" s="20">
        <v>0.59341194567807209</v>
      </c>
      <c r="H348" s="20">
        <v>7.0899109628244136E-3</v>
      </c>
      <c r="I348" s="2">
        <f ca="1"/>
        <v>341</v>
      </c>
      <c r="J348">
        <f ca="1"/>
        <v>0.59341194567807209</v>
      </c>
      <c r="K348">
        <f ca="1"/>
        <v>9.0462291123388026E-3</v>
      </c>
    </row>
    <row r="349" spans="3:11">
      <c r="C349" s="20">
        <v>5.9515727493006629</v>
      </c>
      <c r="D349" s="20">
        <v>-0.27992244107669995</v>
      </c>
      <c r="G349" s="20">
        <v>0.59515727493006643</v>
      </c>
      <c r="H349" s="20">
        <v>7.1057034564003408E-3</v>
      </c>
      <c r="I349" s="2">
        <f ca="1"/>
        <v>342</v>
      </c>
      <c r="J349">
        <f ca="1"/>
        <v>0.59515727493006643</v>
      </c>
      <c r="K349">
        <f ca="1"/>
        <v>9.0470915548088206E-3</v>
      </c>
    </row>
    <row r="350" spans="3:11">
      <c r="C350" s="20">
        <v>5.9690260418206069</v>
      </c>
      <c r="D350" s="20">
        <v>-0.26276849993920004</v>
      </c>
      <c r="G350" s="20">
        <v>0.59690260418206076</v>
      </c>
      <c r="H350" s="20">
        <v>7.121491269896571E-3</v>
      </c>
      <c r="I350" s="2">
        <f ca="1"/>
        <v>343</v>
      </c>
      <c r="J350">
        <f ca="1"/>
        <v>0.59690260418206076</v>
      </c>
      <c r="K350">
        <f ca="1"/>
        <v>9.0469112105592015E-3</v>
      </c>
    </row>
    <row r="351" spans="3:11">
      <c r="C351" s="20">
        <v>5.9864793343405509</v>
      </c>
      <c r="D351" s="20">
        <v>-0.24510000257870002</v>
      </c>
      <c r="G351" s="20">
        <v>0.59864793343405509</v>
      </c>
      <c r="H351" s="20">
        <v>7.1372831339523097E-3</v>
      </c>
      <c r="I351" s="2">
        <f ca="1"/>
        <v>344</v>
      </c>
      <c r="J351">
        <f ca="1"/>
        <v>0.59864793343405509</v>
      </c>
      <c r="K351">
        <f ca="1"/>
        <v>9.0525445653462568E-3</v>
      </c>
    </row>
    <row r="352" spans="3:11">
      <c r="C352" s="20">
        <v>6.0039326268604931</v>
      </c>
      <c r="D352" s="20">
        <v>-0.22694665957990001</v>
      </c>
      <c r="G352" s="20">
        <v>0.60039326268604931</v>
      </c>
      <c r="H352" s="20">
        <v>7.1530906115663323E-3</v>
      </c>
      <c r="I352" s="2">
        <f ca="1"/>
        <v>345</v>
      </c>
      <c r="J352">
        <f ca="1"/>
        <v>0.60039326268604931</v>
      </c>
      <c r="K352">
        <f ca="1"/>
        <v>9.058932737439197E-3</v>
      </c>
    </row>
    <row r="353" spans="3:11">
      <c r="C353" s="20">
        <v>6.0213859193804371</v>
      </c>
      <c r="D353" s="20">
        <v>-0.20833913461340001</v>
      </c>
      <c r="G353" s="20">
        <v>0.60213859193804364</v>
      </c>
      <c r="H353" s="20">
        <v>7.1689047745493121E-3</v>
      </c>
      <c r="I353" s="2">
        <f ca="1"/>
        <v>346</v>
      </c>
      <c r="J353">
        <f ca="1"/>
        <v>0.60213859193804364</v>
      </c>
      <c r="K353">
        <f ca="1"/>
        <v>9.0592387196116834E-3</v>
      </c>
    </row>
    <row r="354" spans="3:11">
      <c r="C354" s="20">
        <v>6.0388392119003802</v>
      </c>
      <c r="D354" s="20">
        <v>-0.18930895891500002</v>
      </c>
      <c r="G354" s="20">
        <v>0.60388392119003798</v>
      </c>
      <c r="H354" s="20">
        <v>7.1847133202426082E-3</v>
      </c>
      <c r="I354" s="2">
        <f ca="1"/>
        <v>347</v>
      </c>
      <c r="J354">
        <f ca="1"/>
        <v>0.60388392119003798</v>
      </c>
      <c r="K354">
        <f ca="1"/>
        <v>9.0584973847915636E-3</v>
      </c>
    </row>
    <row r="355" spans="3:11">
      <c r="C355" s="20">
        <v>6.0562925044203233</v>
      </c>
      <c r="D355" s="20">
        <v>-0.16988844368060002</v>
      </c>
      <c r="G355" s="20">
        <v>0.60562925044203242</v>
      </c>
      <c r="H355" s="20">
        <v>7.2005248954788948E-3</v>
      </c>
      <c r="I355" s="2">
        <f ca="1"/>
        <v>348</v>
      </c>
      <c r="J355">
        <f ca="1"/>
        <v>0.60562925044203242</v>
      </c>
      <c r="K355">
        <f ca="1"/>
        <v>9.0636338917623183E-3</v>
      </c>
    </row>
    <row r="356" spans="3:11">
      <c r="C356" s="20">
        <v>6.0737457969402664</v>
      </c>
      <c r="D356" s="20">
        <v>-0.1501105908542</v>
      </c>
      <c r="G356" s="20">
        <v>0.60737457969402664</v>
      </c>
      <c r="H356" s="20">
        <v>7.2163513709639282E-3</v>
      </c>
      <c r="I356" s="2">
        <f ca="1"/>
        <v>349</v>
      </c>
      <c r="J356">
        <f ca="1"/>
        <v>0.60737457969402664</v>
      </c>
      <c r="K356">
        <f ca="1"/>
        <v>9.069567772698222E-3</v>
      </c>
    </row>
    <row r="357" spans="3:11">
      <c r="C357" s="20">
        <v>6.0911990894602104</v>
      </c>
      <c r="D357" s="20">
        <v>-0.13000900276040001</v>
      </c>
      <c r="G357" s="20">
        <v>0.60911990894602108</v>
      </c>
      <c r="H357" s="20">
        <v>7.2321836593521654E-3</v>
      </c>
      <c r="I357" s="2">
        <f ca="1"/>
        <v>350</v>
      </c>
      <c r="J357">
        <f ca="1"/>
        <v>0.60911990894602108</v>
      </c>
      <c r="K357">
        <f ca="1"/>
        <v>9.0693420584232309E-3</v>
      </c>
    </row>
    <row r="358" spans="3:11">
      <c r="C358" s="20">
        <v>6.1086523819801526</v>
      </c>
      <c r="D358" s="20">
        <v>-0.10961779101239999</v>
      </c>
      <c r="G358" s="20">
        <v>0.6108652381980153</v>
      </c>
      <c r="H358" s="20">
        <v>7.2480093469457453E-3</v>
      </c>
      <c r="I358" s="2">
        <f ca="1"/>
        <v>351</v>
      </c>
      <c r="J358">
        <f ca="1"/>
        <v>0.6108652381980153</v>
      </c>
      <c r="K358">
        <f ca="1"/>
        <v>9.0680601241853176E-3</v>
      </c>
    </row>
    <row r="359" spans="3:11">
      <c r="C359" s="20">
        <v>6.1261056745000966</v>
      </c>
      <c r="D359" s="20">
        <v>-8.8971485145700011E-2</v>
      </c>
      <c r="G359" s="20">
        <v>0.61261056745000952</v>
      </c>
      <c r="H359" s="20">
        <v>7.2638371605393314E-3</v>
      </c>
      <c r="I359" s="2">
        <f ca="1"/>
        <v>352</v>
      </c>
      <c r="J359">
        <f ca="1"/>
        <v>0.61261056745000952</v>
      </c>
      <c r="K359">
        <f ca="1"/>
        <v>9.0727200005016485E-3</v>
      </c>
    </row>
    <row r="360" spans="3:11">
      <c r="C360" s="20">
        <v>6.1435589670200397</v>
      </c>
      <c r="D360" s="20">
        <v>-6.8104941430399996E-2</v>
      </c>
      <c r="G360" s="20">
        <v>0.61435589670200408</v>
      </c>
      <c r="H360" s="20">
        <v>7.2796791141698054E-3</v>
      </c>
      <c r="I360" s="2">
        <f ca="1"/>
        <v>353</v>
      </c>
      <c r="J360">
        <f ca="1"/>
        <v>0.61435589670200408</v>
      </c>
      <c r="K360">
        <f ca="1"/>
        <v>9.0781906561230395E-3</v>
      </c>
    </row>
    <row r="361" spans="3:11">
      <c r="C361" s="20">
        <v>6.1610122595399828</v>
      </c>
      <c r="D361" s="20">
        <v>-4.7053252241899997E-2</v>
      </c>
      <c r="G361" s="20">
        <v>0.6161012259539983</v>
      </c>
      <c r="H361" s="20">
        <v>7.2955260239539587E-3</v>
      </c>
      <c r="I361" s="2">
        <f ca="1"/>
        <v>354</v>
      </c>
      <c r="J361">
        <f ca="1"/>
        <v>0.6161012259539983</v>
      </c>
      <c r="K361">
        <f ca="1"/>
        <v>9.0774378626672543E-3</v>
      </c>
    </row>
    <row r="362" spans="3:11">
      <c r="C362" s="20">
        <v>6.1784655520599268</v>
      </c>
      <c r="D362" s="20">
        <v>-2.5851656425200001E-2</v>
      </c>
      <c r="G362" s="20">
        <v>0.61784655520599263</v>
      </c>
      <c r="H362" s="20">
        <v>7.3113653498395525E-3</v>
      </c>
      <c r="I362" s="2">
        <f ca="1"/>
        <v>355</v>
      </c>
      <c r="J362">
        <f ca="1"/>
        <v>0.61784655520599263</v>
      </c>
      <c r="K362">
        <f ca="1"/>
        <v>9.075620197412558E-3</v>
      </c>
    </row>
    <row r="363" spans="3:11">
      <c r="C363" s="20">
        <v>6.1959188445798699</v>
      </c>
      <c r="D363" s="20">
        <v>-4.5354510292000003E-3</v>
      </c>
      <c r="G363" s="20">
        <v>0.61959188445798696</v>
      </c>
      <c r="H363" s="20">
        <v>7.3272059147750281E-3</v>
      </c>
      <c r="I363" s="2">
        <f ca="1"/>
        <v>356</v>
      </c>
      <c r="J363">
        <f ca="1"/>
        <v>0.61959188445798696</v>
      </c>
      <c r="K363">
        <f ca="1"/>
        <v>9.0798093340712909E-3</v>
      </c>
    </row>
    <row r="364" spans="3:11">
      <c r="C364" s="20">
        <v>6.2133721370998138</v>
      </c>
      <c r="D364" s="20">
        <v>1.6860095225600003E-2</v>
      </c>
      <c r="G364" s="20">
        <v>0.6213372137099813</v>
      </c>
      <c r="H364" s="20">
        <v>7.3430598635061241E-3</v>
      </c>
      <c r="I364" s="2">
        <f ca="1"/>
        <v>357</v>
      </c>
      <c r="J364">
        <f ca="1"/>
        <v>0.6213372137099813</v>
      </c>
      <c r="K364">
        <f ca="1"/>
        <v>9.084820227739366E-3</v>
      </c>
    </row>
    <row r="365" spans="3:11">
      <c r="C365" s="20">
        <v>6.2308254296197561</v>
      </c>
      <c r="D365" s="20">
        <v>3.8299826410399994E-2</v>
      </c>
      <c r="G365" s="20">
        <v>0.62308254296197552</v>
      </c>
      <c r="H365" s="20">
        <v>7.3589179197601938E-3</v>
      </c>
      <c r="I365" s="2">
        <f ca="1"/>
        <v>358</v>
      </c>
      <c r="J365">
        <f ca="1"/>
        <v>0.62308254296197552</v>
      </c>
      <c r="K365">
        <f ca="1"/>
        <v>9.0835452202223995E-3</v>
      </c>
    </row>
    <row r="366" spans="3:11">
      <c r="C366" s="20">
        <v>6.2482787221397</v>
      </c>
      <c r="D366" s="20">
        <v>5.97487814578E-2</v>
      </c>
      <c r="G366" s="20">
        <v>0.62482787221396996</v>
      </c>
      <c r="H366" s="20">
        <v>7.374767417875459E-3</v>
      </c>
      <c r="I366" s="2">
        <f ca="1"/>
        <v>359</v>
      </c>
      <c r="J366">
        <f ca="1"/>
        <v>0.62482787221396996</v>
      </c>
      <c r="K366">
        <f ca="1"/>
        <v>9.0811966463930291E-3</v>
      </c>
    </row>
    <row r="367" spans="3:11">
      <c r="C367" s="20">
        <v>6.2657320146596422</v>
      </c>
      <c r="D367" s="20">
        <v>8.117227355550001E-2</v>
      </c>
      <c r="G367" s="20">
        <v>0.62657320146596429</v>
      </c>
      <c r="H367" s="20">
        <v>7.3906172760603199E-3</v>
      </c>
      <c r="I367" s="2">
        <f ca="1"/>
        <v>360</v>
      </c>
      <c r="J367">
        <f ca="1"/>
        <v>0.62657320146596429</v>
      </c>
      <c r="K367">
        <f ca="1"/>
        <v>9.0829429582105926E-3</v>
      </c>
    </row>
    <row r="368" spans="3:11">
      <c r="C368" s="20">
        <v>6.2831853071795862</v>
      </c>
      <c r="D368" s="20">
        <v>0.10253596659770001</v>
      </c>
      <c r="G368" s="20">
        <v>0.62831853071795862</v>
      </c>
      <c r="H368" s="20">
        <v>7.4064728699537808E-3</v>
      </c>
      <c r="I368" s="2">
        <f ca="1"/>
        <v>361</v>
      </c>
      <c r="J368">
        <f ca="1"/>
        <v>0.62831853071795862</v>
      </c>
      <c r="K368">
        <f ca="1"/>
        <v>9.0864083066493524E-3</v>
      </c>
    </row>
    <row r="369" spans="7:11">
      <c r="G369" s="20">
        <v>0.63006385996995296</v>
      </c>
      <c r="H369" s="20">
        <v>7.4223348244866387E-3</v>
      </c>
      <c r="I369" s="2">
        <f ca="1"/>
        <v>362</v>
      </c>
      <c r="J369">
        <f ca="1"/>
        <v>0.63006385996995296</v>
      </c>
      <c r="K369">
        <f ca="1"/>
        <v>9.0895530545781287E-3</v>
      </c>
    </row>
    <row r="370" spans="7:11">
      <c r="G370" s="20">
        <v>0.63180918922194729</v>
      </c>
      <c r="H370" s="20">
        <v>7.4382013956212001E-3</v>
      </c>
      <c r="I370" s="2">
        <f ca="1"/>
        <v>363</v>
      </c>
      <c r="J370">
        <f ca="1"/>
        <v>0.63180918922194729</v>
      </c>
      <c r="K370">
        <f ca="1"/>
        <v>9.0880612882822693E-3</v>
      </c>
    </row>
    <row r="371" spans="7:11">
      <c r="G371" s="20">
        <v>0.63355451847394151</v>
      </c>
      <c r="H371" s="20">
        <v>7.4540581429073504E-3</v>
      </c>
      <c r="I371" s="2">
        <f ca="1"/>
        <v>364</v>
      </c>
      <c r="J371">
        <f ca="1"/>
        <v>0.63355451847394151</v>
      </c>
      <c r="K371">
        <f ca="1"/>
        <v>9.0854013911542721E-3</v>
      </c>
    </row>
    <row r="372" spans="7:11">
      <c r="G372" s="20">
        <v>0.63529984772593595</v>
      </c>
      <c r="H372" s="20">
        <v>7.4699154292493831E-3</v>
      </c>
      <c r="I372" s="2">
        <f ca="1"/>
        <v>365</v>
      </c>
      <c r="J372">
        <f ca="1"/>
        <v>0.63529984772593595</v>
      </c>
      <c r="K372">
        <f ca="1"/>
        <v>9.0886874146542465E-3</v>
      </c>
    </row>
    <row r="373" spans="7:11">
      <c r="G373" s="20">
        <v>0.63704517697793028</v>
      </c>
      <c r="H373" s="20">
        <v>7.485783646921409E-3</v>
      </c>
      <c r="I373" s="2">
        <f ca="1"/>
        <v>366</v>
      </c>
      <c r="J373">
        <f ca="1"/>
        <v>0.63704517697793028</v>
      </c>
      <c r="K373">
        <f ca="1"/>
        <v>9.0925004845073768E-3</v>
      </c>
    </row>
    <row r="374" spans="7:11">
      <c r="G374" s="20">
        <v>0.63879050622992462</v>
      </c>
      <c r="H374" s="20">
        <v>7.5016542433881499E-3</v>
      </c>
      <c r="I374" s="2">
        <f ca="1"/>
        <v>367</v>
      </c>
      <c r="J374">
        <f ca="1"/>
        <v>0.63879050622992462</v>
      </c>
      <c r="K374">
        <f ca="1"/>
        <v>9.0941467577255013E-3</v>
      </c>
    </row>
    <row r="375" spans="7:11">
      <c r="G375" s="20">
        <v>0.64053583548191895</v>
      </c>
      <c r="H375" s="20">
        <v>7.5175282076377845E-3</v>
      </c>
      <c r="I375" s="2">
        <f ca="1"/>
        <v>368</v>
      </c>
      <c r="J375">
        <f ca="1"/>
        <v>0.64053583548191895</v>
      </c>
      <c r="K375">
        <f ca="1"/>
        <v>9.0954111470053084E-3</v>
      </c>
    </row>
    <row r="376" spans="7:11">
      <c r="G376" s="20">
        <v>0.64228116473391339</v>
      </c>
      <c r="H376" s="20">
        <v>7.5334032176557182E-3</v>
      </c>
      <c r="I376" s="2">
        <f ca="1"/>
        <v>369</v>
      </c>
      <c r="J376">
        <f ca="1"/>
        <v>0.64228116473391339</v>
      </c>
      <c r="K376">
        <f ca="1"/>
        <v>9.0959761343920188E-3</v>
      </c>
    </row>
    <row r="377" spans="7:11">
      <c r="G377" s="20">
        <v>0.64402649398590761</v>
      </c>
      <c r="H377" s="20">
        <v>7.5492791540833779E-3</v>
      </c>
      <c r="I377" s="2">
        <f ca="1"/>
        <v>370</v>
      </c>
      <c r="J377">
        <f ca="1"/>
        <v>0.64402649398590761</v>
      </c>
      <c r="K377">
        <f ca="1"/>
        <v>9.0962899329268022E-3</v>
      </c>
    </row>
    <row r="378" spans="7:11">
      <c r="G378" s="20">
        <v>0.64577182323790194</v>
      </c>
      <c r="H378" s="20">
        <v>7.5651552594648347E-3</v>
      </c>
      <c r="I378" s="2">
        <f ca="1"/>
        <v>371</v>
      </c>
      <c r="J378">
        <f ca="1"/>
        <v>0.64577182323790194</v>
      </c>
      <c r="K378">
        <f ca="1"/>
        <v>9.0912268803900794E-3</v>
      </c>
    </row>
    <row r="379" spans="7:11">
      <c r="G379" s="20">
        <v>0.64751715248989627</v>
      </c>
      <c r="H379" s="20">
        <v>7.5810135225051018E-3</v>
      </c>
      <c r="I379" s="2">
        <f ca="1"/>
        <v>372</v>
      </c>
      <c r="J379">
        <f ca="1"/>
        <v>0.64751715248989627</v>
      </c>
      <c r="K379">
        <f ca="1"/>
        <v>9.0853989668015622E-3</v>
      </c>
    </row>
    <row r="380" spans="7:11">
      <c r="G380" s="20">
        <v>0.64926248174189061</v>
      </c>
      <c r="H380" s="20">
        <v>7.5968692846304304E-3</v>
      </c>
      <c r="I380" s="2">
        <f ca="1"/>
        <v>373</v>
      </c>
      <c r="J380">
        <f ca="1"/>
        <v>0.64926248174189061</v>
      </c>
      <c r="K380">
        <f ca="1"/>
        <v>9.0881283806368684E-3</v>
      </c>
    </row>
    <row r="381" spans="7:11">
      <c r="G381" s="20">
        <v>0.65100781099388483</v>
      </c>
      <c r="H381" s="20">
        <v>7.6127370751223116E-3</v>
      </c>
      <c r="I381" s="2">
        <f ca="1"/>
        <v>374</v>
      </c>
      <c r="J381">
        <f ca="1"/>
        <v>0.65100781099388483</v>
      </c>
      <c r="K381">
        <f ca="1"/>
        <v>9.0915741947368532E-3</v>
      </c>
    </row>
    <row r="382" spans="7:11">
      <c r="G382" s="20">
        <v>0.65275314024587938</v>
      </c>
      <c r="H382" s="20">
        <v>7.6286048654079334E-3</v>
      </c>
      <c r="I382" s="2">
        <f ca="1"/>
        <v>375</v>
      </c>
      <c r="J382">
        <f ca="1"/>
        <v>0.65275314024587938</v>
      </c>
      <c r="K382">
        <f ca="1"/>
        <v>9.0879121208448481E-3</v>
      </c>
    </row>
    <row r="383" spans="7:11">
      <c r="G383" s="20">
        <v>0.6544984694978736</v>
      </c>
      <c r="H383" s="20">
        <v>7.6444598728504414E-3</v>
      </c>
      <c r="I383" s="2">
        <f ca="1"/>
        <v>376</v>
      </c>
      <c r="J383">
        <f ca="1"/>
        <v>0.6544984694978736</v>
      </c>
      <c r="K383">
        <f ca="1"/>
        <v>9.0831825062314703E-3</v>
      </c>
    </row>
    <row r="384" spans="7:11">
      <c r="G384" s="20">
        <v>0.65624379874986782</v>
      </c>
      <c r="H384" s="20">
        <v>7.6603111536665894E-3</v>
      </c>
      <c r="I384" s="2">
        <f ca="1"/>
        <v>377</v>
      </c>
      <c r="J384">
        <f ca="1"/>
        <v>0.65624379874986782</v>
      </c>
      <c r="K384">
        <f ca="1"/>
        <v>9.0849379376846586E-3</v>
      </c>
    </row>
    <row r="385" spans="7:11">
      <c r="G385" s="20">
        <v>0.65798912800186227</v>
      </c>
      <c r="H385" s="20">
        <v>7.6761722887208296E-3</v>
      </c>
      <c r="I385" s="2">
        <f ca="1"/>
        <v>378</v>
      </c>
      <c r="J385">
        <f ca="1"/>
        <v>0.65798912800186227</v>
      </c>
      <c r="K385">
        <f ca="1"/>
        <v>9.0876772475395034E-3</v>
      </c>
    </row>
    <row r="386" spans="7:11">
      <c r="G386" s="20">
        <v>0.65973445725385649</v>
      </c>
      <c r="H386" s="20">
        <v>7.6920331315322174E-3</v>
      </c>
      <c r="I386" s="2">
        <f ca="1"/>
        <v>379</v>
      </c>
      <c r="J386">
        <f ca="1"/>
        <v>0.65973445725385649</v>
      </c>
      <c r="K386">
        <f ca="1"/>
        <v>9.0837283121808308E-3</v>
      </c>
    </row>
    <row r="387" spans="7:11">
      <c r="G387" s="20">
        <v>0.66147978650585082</v>
      </c>
      <c r="H387" s="20">
        <v>7.7078804822016652E-3</v>
      </c>
      <c r="I387" s="2">
        <f ca="1"/>
        <v>380</v>
      </c>
      <c r="J387">
        <f ca="1"/>
        <v>0.66147978650585082</v>
      </c>
      <c r="K387">
        <f ca="1"/>
        <v>9.0786661197393946E-3</v>
      </c>
    </row>
    <row r="388" spans="7:11">
      <c r="G388" s="20">
        <v>0.66322511575784515</v>
      </c>
      <c r="H388" s="20">
        <v>7.7237236546279595E-3</v>
      </c>
      <c r="I388" s="2">
        <f ca="1"/>
        <v>381</v>
      </c>
      <c r="J388">
        <f ca="1"/>
        <v>0.66322511575784515</v>
      </c>
      <c r="K388">
        <f ca="1"/>
        <v>9.0800016178875839E-3</v>
      </c>
    </row>
    <row r="389" spans="7:11">
      <c r="G389" s="20">
        <v>0.66497044500983959</v>
      </c>
      <c r="H389" s="20">
        <v>7.7395756670653763E-3</v>
      </c>
      <c r="I389" s="2">
        <f ca="1"/>
        <v>382</v>
      </c>
      <c r="J389">
        <f ca="1"/>
        <v>0.66497044500983959</v>
      </c>
      <c r="K389">
        <f ca="1"/>
        <v>9.0822409891630172E-3</v>
      </c>
    </row>
    <row r="390" spans="7:11">
      <c r="G390" s="20">
        <v>0.66671577426183382</v>
      </c>
      <c r="H390" s="20">
        <v>7.7554266563720558E-3</v>
      </c>
      <c r="I390" s="2">
        <f ca="1"/>
        <v>383</v>
      </c>
      <c r="J390">
        <f ca="1"/>
        <v>0.66671577426183382</v>
      </c>
      <c r="K390">
        <f ca="1"/>
        <v>9.0778162881700111E-3</v>
      </c>
    </row>
    <row r="391" spans="7:11">
      <c r="G391" s="20">
        <v>0.66846110351382815</v>
      </c>
      <c r="H391" s="20">
        <v>7.7712632236893227E-3</v>
      </c>
      <c r="I391" s="2">
        <f ca="1"/>
        <v>384</v>
      </c>
      <c r="J391">
        <f ca="1"/>
        <v>0.66846110351382815</v>
      </c>
      <c r="K391">
        <f ca="1"/>
        <v>9.0722677134978825E-3</v>
      </c>
    </row>
    <row r="392" spans="7:11">
      <c r="G392" s="20">
        <v>0.67020643276582248</v>
      </c>
      <c r="H392" s="20">
        <v>7.787094844816639E-3</v>
      </c>
      <c r="I392" s="2">
        <f ca="1"/>
        <v>385</v>
      </c>
      <c r="J392">
        <f ca="1"/>
        <v>0.67020643276582248</v>
      </c>
      <c r="K392">
        <f ca="1"/>
        <v>9.0710779259921513E-3</v>
      </c>
    </row>
    <row r="393" spans="7:11">
      <c r="G393" s="20">
        <v>0.67195176201781692</v>
      </c>
      <c r="H393" s="20">
        <v>7.8029272589920321E-3</v>
      </c>
      <c r="I393" s="2">
        <f ca="1"/>
        <v>386</v>
      </c>
      <c r="J393">
        <f ca="1"/>
        <v>0.67195176201781692</v>
      </c>
      <c r="K393">
        <f ca="1"/>
        <v>9.0717256351756734E-3</v>
      </c>
    </row>
    <row r="394" spans="7:11">
      <c r="G394" s="20">
        <v>0.67369709126981125</v>
      </c>
      <c r="H394" s="20">
        <v>7.8187611410509179E-3</v>
      </c>
      <c r="I394" s="2">
        <f ca="1"/>
        <v>387</v>
      </c>
      <c r="J394">
        <f ca="1"/>
        <v>0.67369709126981125</v>
      </c>
      <c r="K394">
        <f ca="1"/>
        <v>9.0720456776079306E-3</v>
      </c>
    </row>
    <row r="395" spans="7:11">
      <c r="G395" s="20">
        <v>0.67544242052180559</v>
      </c>
      <c r="H395" s="20">
        <v>7.8345946723851478E-3</v>
      </c>
      <c r="I395" s="2">
        <f ca="1"/>
        <v>388</v>
      </c>
      <c r="J395">
        <f ca="1"/>
        <v>0.67544242052180559</v>
      </c>
      <c r="K395">
        <f ca="1"/>
        <v>9.0674706240832809E-3</v>
      </c>
    </row>
    <row r="396" spans="7:11">
      <c r="G396" s="20">
        <v>0.67718774977379981</v>
      </c>
      <c r="H396" s="20">
        <v>7.8504125844945406E-3</v>
      </c>
      <c r="I396" s="2">
        <f ca="1"/>
        <v>389</v>
      </c>
      <c r="J396">
        <f ca="1"/>
        <v>0.67718774977379981</v>
      </c>
      <c r="K396">
        <f ca="1"/>
        <v>9.0616728351671331E-3</v>
      </c>
    </row>
    <row r="397" spans="7:11">
      <c r="G397" s="20">
        <v>0.67893307902579414</v>
      </c>
      <c r="H397" s="20">
        <v>7.8662258777275861E-3</v>
      </c>
      <c r="I397" s="2">
        <f ca="1"/>
        <v>390</v>
      </c>
      <c r="J397">
        <f ca="1"/>
        <v>0.67893307902579414</v>
      </c>
      <c r="K397">
        <f ca="1"/>
        <v>9.0621841470284199E-3</v>
      </c>
    </row>
    <row r="398" spans="7:11">
      <c r="G398" s="20">
        <v>0.68067840827778847</v>
      </c>
      <c r="H398" s="20">
        <v>7.8820455746520766E-3</v>
      </c>
      <c r="I398" s="2">
        <f ca="1"/>
        <v>391</v>
      </c>
      <c r="J398">
        <f ca="1"/>
        <v>0.68067840827778847</v>
      </c>
      <c r="K398">
        <f ca="1"/>
        <v>9.0632673516606848E-3</v>
      </c>
    </row>
    <row r="399" spans="7:11">
      <c r="G399" s="20">
        <v>0.6824237375297828</v>
      </c>
      <c r="H399" s="20">
        <v>7.8978626489825832E-3</v>
      </c>
      <c r="I399" s="2">
        <f ca="1"/>
        <v>392</v>
      </c>
      <c r="J399">
        <f ca="1"/>
        <v>0.6824237375297828</v>
      </c>
      <c r="K399">
        <f ca="1"/>
        <v>9.0577806693787673E-3</v>
      </c>
    </row>
    <row r="400" spans="7:11">
      <c r="G400" s="20">
        <v>0.68416906678177725</v>
      </c>
      <c r="H400" s="20">
        <v>7.9136631937729088E-3</v>
      </c>
      <c r="I400" s="2">
        <f ca="1"/>
        <v>393</v>
      </c>
      <c r="J400">
        <f ca="1"/>
        <v>0.68416906678177725</v>
      </c>
      <c r="K400">
        <f ca="1"/>
        <v>9.0511479380613463E-3</v>
      </c>
    </row>
    <row r="401" spans="7:11">
      <c r="G401" s="20">
        <v>0.68591439603377158</v>
      </c>
      <c r="H401" s="20">
        <v>7.9294571155034375E-3</v>
      </c>
      <c r="I401" s="2">
        <f ca="1"/>
        <v>394</v>
      </c>
      <c r="J401">
        <f ca="1"/>
        <v>0.68591439603377158</v>
      </c>
      <c r="K401">
        <f ca="1"/>
        <v>9.0511033230815975E-3</v>
      </c>
    </row>
    <row r="402" spans="7:11">
      <c r="G402" s="20">
        <v>0.6876597252857658</v>
      </c>
      <c r="H402" s="20">
        <v>7.9452575045581026E-3</v>
      </c>
      <c r="I402" s="2">
        <f ca="1"/>
        <v>395</v>
      </c>
      <c r="J402">
        <f ca="1"/>
        <v>0.6876597252857658</v>
      </c>
      <c r="K402">
        <f ca="1"/>
        <v>9.0519401793592875E-3</v>
      </c>
    </row>
    <row r="403" spans="7:11">
      <c r="G403" s="20">
        <v>0.68940505453776013</v>
      </c>
      <c r="H403" s="20">
        <v>7.9610543474681137E-3</v>
      </c>
      <c r="I403" s="2">
        <f ca="1"/>
        <v>396</v>
      </c>
      <c r="J403">
        <f ca="1"/>
        <v>0.68940505453776013</v>
      </c>
      <c r="K403">
        <f ca="1"/>
        <v>9.045958205310135E-3</v>
      </c>
    </row>
    <row r="404" spans="7:11">
      <c r="G404" s="20">
        <v>0.69115038378975457</v>
      </c>
      <c r="H404" s="20">
        <v>7.9768338554941955E-3</v>
      </c>
      <c r="I404" s="2">
        <f ca="1"/>
        <v>397</v>
      </c>
      <c r="J404">
        <f ca="1"/>
        <v>0.69115038378975457</v>
      </c>
      <c r="K404">
        <f ca="1"/>
        <v>9.0388284423386107E-3</v>
      </c>
    </row>
    <row r="405" spans="7:11">
      <c r="G405" s="20">
        <v>0.69289571304174891</v>
      </c>
      <c r="H405" s="20">
        <v>7.9926058108364586E-3</v>
      </c>
      <c r="I405" s="2">
        <f ca="1"/>
        <v>398</v>
      </c>
      <c r="J405">
        <f ca="1"/>
        <v>0.69289571304174891</v>
      </c>
      <c r="K405">
        <f ca="1"/>
        <v>9.0383391761633958E-3</v>
      </c>
    </row>
    <row r="406" spans="7:11">
      <c r="G406" s="20">
        <v>0.69464104229374313</v>
      </c>
      <c r="H406" s="20">
        <v>8.0083836110014031E-3</v>
      </c>
      <c r="I406" s="2">
        <f ca="1"/>
        <v>399</v>
      </c>
      <c r="J406">
        <f ca="1"/>
        <v>0.69464104229374313</v>
      </c>
      <c r="K406">
        <f ca="1"/>
        <v>9.038776299884645E-3</v>
      </c>
    </row>
    <row r="407" spans="7:11">
      <c r="G407" s="20">
        <v>0.69638637154573757</v>
      </c>
      <c r="H407" s="20">
        <v>8.0241570921933021E-3</v>
      </c>
      <c r="I407" s="2">
        <f ca="1"/>
        <v>400</v>
      </c>
      <c r="J407">
        <f ca="1"/>
        <v>0.69638637154573757</v>
      </c>
      <c r="K407">
        <f ca="1"/>
        <v>9.0323270085031441E-3</v>
      </c>
    </row>
    <row r="408" spans="7:11">
      <c r="G408" s="20">
        <v>0.69813170079773179</v>
      </c>
      <c r="H408" s="20">
        <v>8.0399123800844411E-3</v>
      </c>
      <c r="I408" s="2">
        <f ca="1"/>
        <v>401</v>
      </c>
      <c r="J408">
        <f ca="1"/>
        <v>0.69813170079773179</v>
      </c>
      <c r="K408">
        <f ca="1"/>
        <v>9.0247228356955169E-3</v>
      </c>
    </row>
    <row r="409" spans="7:11">
      <c r="G409" s="20">
        <v>0.69987703004972601</v>
      </c>
      <c r="H409" s="20">
        <v>8.0556593177058614E-3</v>
      </c>
      <c r="I409" s="2">
        <f ca="1"/>
        <v>402</v>
      </c>
      <c r="J409">
        <f ca="1"/>
        <v>0.69987703004972601</v>
      </c>
      <c r="K409">
        <f ca="1"/>
        <v>9.021644361062087E-3</v>
      </c>
    </row>
    <row r="410" spans="7:11">
      <c r="G410" s="20">
        <v>0.70162235930172046</v>
      </c>
      <c r="H410" s="20">
        <v>8.0714038596933439E-3</v>
      </c>
      <c r="I410" s="2">
        <f ca="1"/>
        <v>403</v>
      </c>
      <c r="J410">
        <f ca="1"/>
        <v>0.70162235930172046</v>
      </c>
      <c r="K410">
        <f ca="1"/>
        <v>9.0204755178614916E-3</v>
      </c>
    </row>
    <row r="411" spans="7:11">
      <c r="G411" s="20">
        <v>0.7033676885537149</v>
      </c>
      <c r="H411" s="20">
        <v>8.0871467172823081E-3</v>
      </c>
      <c r="I411" s="2">
        <f ca="1"/>
        <v>404</v>
      </c>
      <c r="J411">
        <f ca="1"/>
        <v>0.7033676885537149</v>
      </c>
      <c r="K411">
        <f ca="1"/>
        <v>9.0183586510695964E-3</v>
      </c>
    </row>
    <row r="412" spans="7:11">
      <c r="G412" s="20">
        <v>0.70511301780570912</v>
      </c>
      <c r="H412" s="20">
        <v>8.1028838700107197E-3</v>
      </c>
      <c r="I412" s="2">
        <f ca="1"/>
        <v>405</v>
      </c>
      <c r="J412">
        <f ca="1"/>
        <v>0.70511301780570912</v>
      </c>
      <c r="K412">
        <f ca="1"/>
        <v>9.0123502635607814E-3</v>
      </c>
    </row>
    <row r="413" spans="7:11">
      <c r="G413" s="20">
        <v>0.70685834705770345</v>
      </c>
      <c r="H413" s="20">
        <v>8.11860575437073E-3</v>
      </c>
      <c r="I413" s="2">
        <f ca="1"/>
        <v>406</v>
      </c>
      <c r="J413">
        <f ca="1"/>
        <v>0.70685834705770345</v>
      </c>
      <c r="K413">
        <f ca="1"/>
        <v>9.0066533257388403E-3</v>
      </c>
    </row>
    <row r="414" spans="7:11">
      <c r="G414" s="20">
        <v>0.70860367630969767</v>
      </c>
      <c r="H414" s="20">
        <v>8.1343230210346867E-3</v>
      </c>
      <c r="I414" s="2">
        <f ca="1"/>
        <v>407</v>
      </c>
      <c r="J414">
        <f ca="1"/>
        <v>0.70860367630969767</v>
      </c>
      <c r="K414">
        <f ca="1"/>
        <v>9.005539197071288E-3</v>
      </c>
    </row>
    <row r="415" spans="7:11">
      <c r="G415" s="20">
        <v>0.71034900556169223</v>
      </c>
      <c r="H415" s="20">
        <v>8.1500410163519912E-3</v>
      </c>
      <c r="I415" s="2">
        <f ca="1"/>
        <v>408</v>
      </c>
      <c r="J415">
        <f ca="1"/>
        <v>0.71034900556169223</v>
      </c>
      <c r="K415">
        <f ca="1"/>
        <v>9.0019999214749277E-3</v>
      </c>
    </row>
    <row r="416" spans="7:11">
      <c r="G416" s="20">
        <v>0.71209433481368634</v>
      </c>
      <c r="H416" s="20">
        <v>8.1657459286134885E-3</v>
      </c>
      <c r="I416" s="2">
        <f ca="1"/>
        <v>409</v>
      </c>
      <c r="J416">
        <f ca="1"/>
        <v>0.71209433481368634</v>
      </c>
      <c r="K416">
        <f ca="1"/>
        <v>8.9938150891649849E-3</v>
      </c>
    </row>
    <row r="417" spans="7:11">
      <c r="G417" s="20">
        <v>0.71383966406568078</v>
      </c>
      <c r="H417" s="20">
        <v>8.1814353534762855E-3</v>
      </c>
      <c r="I417" s="2">
        <f ca="1"/>
        <v>410</v>
      </c>
      <c r="J417">
        <f ca="1"/>
        <v>0.71383966406568078</v>
      </c>
      <c r="K417">
        <f ca="1"/>
        <v>8.9888359747040125E-3</v>
      </c>
    </row>
    <row r="418" spans="7:11">
      <c r="G418" s="20">
        <v>0.715584993317675</v>
      </c>
      <c r="H418" s="20">
        <v>8.1971228853495483E-3</v>
      </c>
      <c r="I418" s="2">
        <f ca="1"/>
        <v>411</v>
      </c>
      <c r="J418">
        <f ca="1"/>
        <v>0.715584993317675</v>
      </c>
      <c r="K418">
        <f ca="1"/>
        <v>8.9866706028067147E-3</v>
      </c>
    </row>
    <row r="419" spans="7:11">
      <c r="G419" s="20">
        <v>0.71733032256966944</v>
      </c>
      <c r="H419" s="20">
        <v>8.2128047516385177E-3</v>
      </c>
      <c r="I419" s="2">
        <f ca="1"/>
        <v>412</v>
      </c>
      <c r="J419">
        <f ca="1"/>
        <v>0.71733032256966944</v>
      </c>
      <c r="K419">
        <f ca="1"/>
        <v>8.9801050229338028E-3</v>
      </c>
    </row>
    <row r="420" spans="7:11">
      <c r="G420" s="20">
        <v>0.71907565182166389</v>
      </c>
      <c r="H420" s="20">
        <v>8.2284693653145655E-3</v>
      </c>
      <c r="I420" s="2">
        <f ca="1"/>
        <v>413</v>
      </c>
      <c r="J420">
        <f ca="1"/>
        <v>0.71907565182166389</v>
      </c>
      <c r="K420">
        <f ca="1"/>
        <v>8.9721637879855657E-3</v>
      </c>
    </row>
    <row r="421" spans="7:11">
      <c r="G421" s="20">
        <v>0.720820981073658</v>
      </c>
      <c r="H421" s="20">
        <v>8.2441235114642276E-3</v>
      </c>
      <c r="I421" s="2">
        <f ca="1"/>
        <v>414</v>
      </c>
      <c r="J421">
        <f ca="1"/>
        <v>0.720820981073658</v>
      </c>
      <c r="K421">
        <f ca="1"/>
        <v>8.9675677934401218E-3</v>
      </c>
    </row>
    <row r="422" spans="7:11">
      <c r="G422" s="20">
        <v>0.72256631032565244</v>
      </c>
      <c r="H422" s="20">
        <v>8.2597720820928311E-3</v>
      </c>
      <c r="I422" s="2">
        <f ca="1"/>
        <v>415</v>
      </c>
      <c r="J422">
        <f ca="1"/>
        <v>0.72256631032565244</v>
      </c>
      <c r="K422">
        <f ca="1"/>
        <v>8.9627266996477207E-3</v>
      </c>
    </row>
    <row r="423" spans="7:11">
      <c r="G423" s="20">
        <v>0.72431163957764677</v>
      </c>
      <c r="H423" s="20">
        <v>8.2754093296372802E-3</v>
      </c>
      <c r="I423" s="2">
        <f ca="1"/>
        <v>416</v>
      </c>
      <c r="J423">
        <f ca="1"/>
        <v>0.72431163957764677</v>
      </c>
      <c r="K423">
        <f ca="1"/>
        <v>8.9590923589039535E-3</v>
      </c>
    </row>
    <row r="424" spans="7:11">
      <c r="G424" s="20">
        <v>0.7260569688296411</v>
      </c>
      <c r="H424" s="20">
        <v>8.291045214023459E-3</v>
      </c>
      <c r="I424" s="2">
        <f ca="1"/>
        <v>417</v>
      </c>
      <c r="J424">
        <f ca="1"/>
        <v>0.7260569688296411</v>
      </c>
      <c r="K424">
        <f ca="1"/>
        <v>8.956192830043213E-3</v>
      </c>
    </row>
    <row r="425" spans="7:11">
      <c r="G425" s="20">
        <v>0.72780229808163555</v>
      </c>
      <c r="H425" s="20">
        <v>8.3066723403028338E-3</v>
      </c>
      <c r="I425" s="2">
        <f ca="1"/>
        <v>418</v>
      </c>
      <c r="J425">
        <f ca="1"/>
        <v>0.72780229808163555</v>
      </c>
      <c r="K425">
        <f ca="1"/>
        <v>8.9488446816621669E-3</v>
      </c>
    </row>
    <row r="426" spans="7:11">
      <c r="G426" s="20">
        <v>0.72954762733362977</v>
      </c>
      <c r="H426" s="20">
        <v>8.3222825748123768E-3</v>
      </c>
      <c r="I426" s="2">
        <f ca="1"/>
        <v>419</v>
      </c>
      <c r="J426">
        <f ca="1"/>
        <v>0.72954762733362977</v>
      </c>
      <c r="K426">
        <f ca="1"/>
        <v>8.9420098460129618E-3</v>
      </c>
    </row>
    <row r="427" spans="7:11">
      <c r="G427" s="20">
        <v>0.73129295658562421</v>
      </c>
      <c r="H427" s="20">
        <v>8.3378858430145694E-3</v>
      </c>
      <c r="I427" s="2">
        <f ca="1"/>
        <v>420</v>
      </c>
      <c r="J427">
        <f ca="1"/>
        <v>0.73129295658562421</v>
      </c>
      <c r="K427">
        <f ca="1"/>
        <v>8.9362406880927406E-3</v>
      </c>
    </row>
    <row r="428" spans="7:11">
      <c r="G428" s="20">
        <v>0.73303828583761843</v>
      </c>
      <c r="H428" s="20">
        <v>8.3534759393639572E-3</v>
      </c>
      <c r="I428" s="2">
        <f ca="1"/>
        <v>421</v>
      </c>
      <c r="J428">
        <f ca="1"/>
        <v>0.73303828583761843</v>
      </c>
      <c r="K428">
        <f ca="1"/>
        <v>8.9288277469637637E-3</v>
      </c>
    </row>
    <row r="429" spans="7:11">
      <c r="G429" s="20">
        <v>0.73478361508961265</v>
      </c>
      <c r="H429" s="20">
        <v>8.3690533315201564E-3</v>
      </c>
      <c r="I429" s="2">
        <f ca="1"/>
        <v>422</v>
      </c>
      <c r="J429">
        <f ca="1"/>
        <v>0.73478361508961265</v>
      </c>
      <c r="K429">
        <f ca="1"/>
        <v>8.9229386139615483E-3</v>
      </c>
    </row>
    <row r="430" spans="7:11">
      <c r="G430" s="20">
        <v>0.73652894434160698</v>
      </c>
      <c r="H430" s="20">
        <v>8.38462287091735E-3</v>
      </c>
      <c r="I430" s="2">
        <f ca="1"/>
        <v>423</v>
      </c>
      <c r="J430">
        <f ca="1"/>
        <v>0.73652894434160698</v>
      </c>
      <c r="K430">
        <f ca="1"/>
        <v>8.9172580179494709E-3</v>
      </c>
    </row>
    <row r="431" spans="7:11">
      <c r="G431" s="20">
        <v>0.73827427359360154</v>
      </c>
      <c r="H431" s="20">
        <v>8.4001804340527748E-3</v>
      </c>
      <c r="I431" s="2">
        <f ca="1"/>
        <v>424</v>
      </c>
      <c r="J431">
        <f ca="1"/>
        <v>0.73827427359360154</v>
      </c>
      <c r="K431">
        <f ca="1"/>
        <v>8.9129718874940197E-3</v>
      </c>
    </row>
    <row r="432" spans="7:11">
      <c r="G432" s="20">
        <v>0.74001960284559576</v>
      </c>
      <c r="H432" s="20">
        <v>8.4157350120322438E-3</v>
      </c>
      <c r="I432" s="2">
        <f ca="1"/>
        <v>425</v>
      </c>
      <c r="J432">
        <f ca="1"/>
        <v>0.74001960284559576</v>
      </c>
      <c r="K432">
        <f ca="1"/>
        <v>8.9092043550900221E-3</v>
      </c>
    </row>
    <row r="433" spans="7:11">
      <c r="G433" s="20">
        <v>0.74176493209759009</v>
      </c>
      <c r="H433" s="20">
        <v>8.4312794239986416E-3</v>
      </c>
      <c r="I433" s="2">
        <f ca="1"/>
        <v>426</v>
      </c>
      <c r="J433">
        <f ca="1"/>
        <v>0.74176493209759009</v>
      </c>
      <c r="K433">
        <f ca="1"/>
        <v>8.9009791311303096E-3</v>
      </c>
    </row>
    <row r="434" spans="7:11">
      <c r="G434" s="20">
        <v>0.74351026134958431</v>
      </c>
      <c r="H434" s="20">
        <v>8.4468052905301485E-3</v>
      </c>
      <c r="I434" s="2">
        <f ca="1"/>
        <v>427</v>
      </c>
      <c r="J434">
        <f ca="1"/>
        <v>0.74351026134958431</v>
      </c>
      <c r="K434">
        <f ca="1"/>
        <v>8.8932715203772078E-3</v>
      </c>
    </row>
    <row r="435" spans="7:11">
      <c r="G435" s="20">
        <v>0.74525559060157853</v>
      </c>
      <c r="H435" s="20">
        <v>8.4623227978595245E-3</v>
      </c>
      <c r="I435" s="2">
        <f ca="1"/>
        <v>428</v>
      </c>
      <c r="J435">
        <f ca="1"/>
        <v>0.74525559060157853</v>
      </c>
      <c r="K435">
        <f ca="1"/>
        <v>8.8866929570059205E-3</v>
      </c>
    </row>
    <row r="436" spans="7:11">
      <c r="G436" s="20">
        <v>0.7470009198535732</v>
      </c>
      <c r="H436" s="20">
        <v>8.4778257008728593E-3</v>
      </c>
      <c r="I436" s="2">
        <f ca="1"/>
        <v>429</v>
      </c>
      <c r="J436">
        <f ca="1"/>
        <v>0.7470009198535732</v>
      </c>
      <c r="K436">
        <f ca="1"/>
        <v>8.8784498499585741E-3</v>
      </c>
    </row>
    <row r="437" spans="7:11">
      <c r="G437" s="20">
        <v>0.74874624910556742</v>
      </c>
      <c r="H437" s="20">
        <v>8.4933144343305213E-3</v>
      </c>
      <c r="I437" s="2">
        <f ca="1"/>
        <v>430</v>
      </c>
      <c r="J437">
        <f ca="1"/>
        <v>0.74874624910556742</v>
      </c>
      <c r="K437">
        <f ca="1"/>
        <v>8.8717388778762427E-3</v>
      </c>
    </row>
    <row r="438" spans="7:11">
      <c r="G438" s="20">
        <v>0.75049157835756164</v>
      </c>
      <c r="H438" s="20">
        <v>8.5087939116320829E-3</v>
      </c>
      <c r="I438" s="2">
        <f ca="1"/>
        <v>431</v>
      </c>
      <c r="J438">
        <f ca="1"/>
        <v>0.75049157835756164</v>
      </c>
      <c r="K438">
        <f ca="1"/>
        <v>8.8652457561052903E-3</v>
      </c>
    </row>
    <row r="439" spans="7:11">
      <c r="G439" s="20">
        <v>0.75223690760955597</v>
      </c>
      <c r="H439" s="20">
        <v>8.5242599798190186E-3</v>
      </c>
      <c r="I439" s="2">
        <f ca="1"/>
        <v>432</v>
      </c>
      <c r="J439">
        <f ca="1"/>
        <v>0.75223690760955597</v>
      </c>
      <c r="K439">
        <f ca="1"/>
        <v>8.8601717455612881E-3</v>
      </c>
    </row>
    <row r="440" spans="7:11">
      <c r="G440" s="20">
        <v>0.7539822368615503</v>
      </c>
      <c r="H440" s="20">
        <v>8.5397217454825265E-3</v>
      </c>
      <c r="I440" s="2">
        <f ca="1"/>
        <v>433</v>
      </c>
      <c r="J440">
        <f ca="1"/>
        <v>0.7539822368615503</v>
      </c>
      <c r="K440">
        <f ca="1"/>
        <v>8.855624740334779E-3</v>
      </c>
    </row>
    <row r="441" spans="7:11">
      <c r="G441" s="20">
        <v>0.75572756611354464</v>
      </c>
      <c r="H441" s="20">
        <v>8.5551719416270006E-3</v>
      </c>
      <c r="I441" s="2">
        <f ca="1"/>
        <v>434</v>
      </c>
      <c r="J441">
        <f ca="1"/>
        <v>0.75572756611354464</v>
      </c>
      <c r="K441">
        <f ca="1"/>
        <v>8.8465654078046241E-3</v>
      </c>
    </row>
    <row r="442" spans="7:11">
      <c r="G442" s="20">
        <v>0.75747289536553908</v>
      </c>
      <c r="H442" s="20">
        <v>8.5706020842543727E-3</v>
      </c>
      <c r="I442" s="2">
        <f ca="1"/>
        <v>435</v>
      </c>
      <c r="J442">
        <f ca="1"/>
        <v>0.75747289536553908</v>
      </c>
      <c r="K442">
        <f ca="1"/>
        <v>8.8380343773019031E-3</v>
      </c>
    </row>
    <row r="443" spans="7:11">
      <c r="G443" s="20">
        <v>0.7592182246175333</v>
      </c>
      <c r="H443" s="20">
        <v>8.5860225014846737E-3</v>
      </c>
      <c r="I443" s="2">
        <f ca="1"/>
        <v>436</v>
      </c>
      <c r="J443">
        <f ca="1"/>
        <v>0.7592182246175333</v>
      </c>
      <c r="K443">
        <f ca="1"/>
        <v>8.830651966271523E-3</v>
      </c>
    </row>
    <row r="444" spans="7:11">
      <c r="G444" s="20">
        <v>0.76096355386952774</v>
      </c>
      <c r="H444" s="20">
        <v>8.6014268746362026E-3</v>
      </c>
      <c r="I444" s="2">
        <f ca="1"/>
        <v>437</v>
      </c>
      <c r="J444">
        <f ca="1"/>
        <v>0.76096355386952774</v>
      </c>
      <c r="K444">
        <f ca="1"/>
        <v>8.8215871087789586E-3</v>
      </c>
    </row>
    <row r="445" spans="7:11">
      <c r="G445" s="20">
        <v>0.76270888312152207</v>
      </c>
      <c r="H445" s="20">
        <v>8.6168156495446107E-3</v>
      </c>
      <c r="I445" s="2">
        <f ca="1"/>
        <v>438</v>
      </c>
      <c r="J445">
        <f ca="1"/>
        <v>0.76270888312152207</v>
      </c>
      <c r="K445">
        <f ca="1"/>
        <v>8.8140777811727133E-3</v>
      </c>
    </row>
    <row r="446" spans="7:11">
      <c r="G446" s="20">
        <v>0.76445421237351618</v>
      </c>
      <c r="H446" s="20">
        <v>8.6321938101978687E-3</v>
      </c>
      <c r="I446" s="2">
        <f ca="1"/>
        <v>439</v>
      </c>
      <c r="J446">
        <f ca="1"/>
        <v>0.76445421237351618</v>
      </c>
      <c r="K446">
        <f ca="1"/>
        <v>8.8067933816082158E-3</v>
      </c>
    </row>
    <row r="447" spans="7:11">
      <c r="G447" s="20">
        <v>0.76619954162551063</v>
      </c>
      <c r="H447" s="20">
        <v>8.6475571577549915E-3</v>
      </c>
      <c r="I447" s="2">
        <f ca="1"/>
        <v>440</v>
      </c>
      <c r="J447">
        <f ca="1"/>
        <v>0.76619954162551063</v>
      </c>
      <c r="K447">
        <f ca="1"/>
        <v>8.7987532734558945E-3</v>
      </c>
    </row>
    <row r="448" spans="7:11">
      <c r="G448" s="20">
        <v>0.76794487087750496</v>
      </c>
      <c r="H448" s="20">
        <v>8.6629072531363566E-3</v>
      </c>
      <c r="I448" s="2">
        <f ca="1"/>
        <v>441</v>
      </c>
      <c r="J448">
        <f ca="1"/>
        <v>0.76794487087750496</v>
      </c>
      <c r="K448">
        <f ca="1"/>
        <v>8.7933259853466492E-3</v>
      </c>
    </row>
    <row r="449" spans="7:11">
      <c r="G449" s="20">
        <v>0.76969020012949929</v>
      </c>
      <c r="H449" s="20">
        <v>8.6782516558840863E-3</v>
      </c>
      <c r="I449" s="2">
        <f ca="1"/>
        <v>442</v>
      </c>
      <c r="J449">
        <f ca="1"/>
        <v>0.76969020012949929</v>
      </c>
      <c r="K449">
        <f ca="1"/>
        <v>8.7877876481070247E-3</v>
      </c>
    </row>
    <row r="450" spans="7:11">
      <c r="G450" s="20">
        <v>0.77143552938149373</v>
      </c>
      <c r="H450" s="20">
        <v>8.6935824188214689E-3</v>
      </c>
      <c r="I450" s="2">
        <f ca="1"/>
        <v>443</v>
      </c>
      <c r="J450">
        <f ca="1"/>
        <v>0.77143552938149373</v>
      </c>
      <c r="K450">
        <f ca="1"/>
        <v>8.7776537217481038E-3</v>
      </c>
    </row>
    <row r="451" spans="7:11">
      <c r="G451" s="20">
        <v>0.77318085863348784</v>
      </c>
      <c r="H451" s="20">
        <v>8.7088914474929731E-3</v>
      </c>
      <c r="I451" s="2">
        <f ca="1"/>
        <v>444</v>
      </c>
      <c r="J451">
        <f ca="1"/>
        <v>0.77318085863348784</v>
      </c>
      <c r="K451">
        <f ca="1"/>
        <v>8.7682422343745292E-3</v>
      </c>
    </row>
    <row r="452" spans="7:11">
      <c r="G452" s="20">
        <v>0.7749261878854824</v>
      </c>
      <c r="H452" s="20">
        <v>8.7241893581419209E-3</v>
      </c>
      <c r="I452" s="2">
        <f ca="1"/>
        <v>445</v>
      </c>
      <c r="J452">
        <f ca="1"/>
        <v>0.7749261878854824</v>
      </c>
      <c r="K452">
        <f ca="1"/>
        <v>8.7600107878543308E-3</v>
      </c>
    </row>
    <row r="453" spans="7:11">
      <c r="G453" s="20">
        <v>0.77667151713747673</v>
      </c>
      <c r="H453" s="20">
        <v>8.7394696536446312E-3</v>
      </c>
      <c r="I453" s="2">
        <f ca="1"/>
        <v>446</v>
      </c>
      <c r="J453">
        <f ca="1"/>
        <v>0.77667151713747673</v>
      </c>
      <c r="K453">
        <f ca="1"/>
        <v>8.7500718963032225E-3</v>
      </c>
    </row>
    <row r="454" spans="7:11">
      <c r="G454" s="20">
        <v>0.77841684638947095</v>
      </c>
      <c r="H454" s="20">
        <v>8.754732871017263E-3</v>
      </c>
      <c r="I454" s="2">
        <f ca="1"/>
        <v>447</v>
      </c>
      <c r="J454">
        <f ca="1"/>
        <v>0.77841684638947095</v>
      </c>
      <c r="K454">
        <f ca="1"/>
        <v>8.7416943419211003E-3</v>
      </c>
    </row>
    <row r="455" spans="7:11">
      <c r="G455" s="20">
        <v>0.78016217564146517</v>
      </c>
      <c r="H455" s="20">
        <v>8.7699839233385257E-3</v>
      </c>
      <c r="I455" s="2">
        <f ca="1"/>
        <v>448</v>
      </c>
      <c r="J455">
        <f ca="1"/>
        <v>0.78016217564146517</v>
      </c>
      <c r="K455">
        <f ca="1"/>
        <v>8.7335327272574474E-3</v>
      </c>
    </row>
    <row r="456" spans="7:11">
      <c r="G456" s="20">
        <v>0.78190750489345962</v>
      </c>
      <c r="H456" s="20">
        <v>8.7852186513015275E-3</v>
      </c>
      <c r="I456" s="2">
        <f ca="1"/>
        <v>449</v>
      </c>
      <c r="J456">
        <f ca="1"/>
        <v>0.78190750489345962</v>
      </c>
      <c r="K456">
        <f ca="1"/>
        <v>8.7268530403198773E-3</v>
      </c>
    </row>
    <row r="457" spans="7:11">
      <c r="G457" s="20">
        <v>0.78365283414545406</v>
      </c>
      <c r="H457" s="20">
        <v>8.8004463871167796E-3</v>
      </c>
      <c r="I457" s="2">
        <f ca="1"/>
        <v>450</v>
      </c>
      <c r="J457">
        <f ca="1"/>
        <v>0.78365283414545406</v>
      </c>
      <c r="K457">
        <f ca="1"/>
        <v>8.7207119338746746E-3</v>
      </c>
    </row>
    <row r="458" spans="7:11">
      <c r="G458" s="20">
        <v>0.78539816339744828</v>
      </c>
      <c r="H458" s="20">
        <v>8.8156596785743425E-3</v>
      </c>
      <c r="I458" s="2">
        <f ca="1"/>
        <v>451</v>
      </c>
      <c r="J458">
        <f ca="1"/>
        <v>0.78539816339744828</v>
      </c>
      <c r="K458">
        <f ca="1"/>
        <v>8.7099486475783264E-3</v>
      </c>
    </row>
    <row r="459" spans="7:11">
      <c r="G459" s="20">
        <v>0.78714349264944261</v>
      </c>
      <c r="H459" s="20">
        <v>8.8308498434327524E-3</v>
      </c>
      <c r="I459" s="2">
        <f ca="1"/>
        <v>452</v>
      </c>
      <c r="J459">
        <f ca="1"/>
        <v>0.78714349264944261</v>
      </c>
      <c r="K459">
        <f ca="1"/>
        <v>8.6997381267799687E-3</v>
      </c>
    </row>
    <row r="460" spans="7:11">
      <c r="G460" s="20">
        <v>0.78888882190143683</v>
      </c>
      <c r="H460" s="20">
        <v>8.8460274934490605E-3</v>
      </c>
      <c r="I460" s="2">
        <f ca="1"/>
        <v>453</v>
      </c>
      <c r="J460">
        <f ca="1"/>
        <v>0.78888882190143683</v>
      </c>
      <c r="K460">
        <f ca="1"/>
        <v>8.6907149740604213E-3</v>
      </c>
    </row>
    <row r="461" spans="7:11">
      <c r="G461" s="20">
        <v>0.79063415115343139</v>
      </c>
      <c r="H461" s="20">
        <v>8.861186161562699E-3</v>
      </c>
      <c r="I461" s="2">
        <f ca="1"/>
        <v>454</v>
      </c>
      <c r="J461">
        <f ca="1"/>
        <v>0.79063415115343139</v>
      </c>
      <c r="K461">
        <f ca="1"/>
        <v>8.6799742997351968E-3</v>
      </c>
    </row>
    <row r="462" spans="7:11">
      <c r="G462" s="20">
        <v>0.7923794804054255</v>
      </c>
      <c r="H462" s="20">
        <v>8.8763263195528342E-3</v>
      </c>
      <c r="I462" s="2">
        <f ca="1"/>
        <v>455</v>
      </c>
      <c r="J462">
        <f ca="1"/>
        <v>0.7923794804054255</v>
      </c>
      <c r="K462">
        <f ca="1"/>
        <v>8.6708361289693815E-3</v>
      </c>
    </row>
    <row r="463" spans="7:11">
      <c r="G463" s="20">
        <v>0.79412480965741994</v>
      </c>
      <c r="H463" s="20">
        <v>8.8914530894329772E-3</v>
      </c>
      <c r="I463" s="2">
        <f ca="1"/>
        <v>456</v>
      </c>
      <c r="J463">
        <f ca="1"/>
        <v>0.79412480965741994</v>
      </c>
      <c r="K463">
        <f ca="1"/>
        <v>8.6619359403261667E-3</v>
      </c>
    </row>
    <row r="464" spans="7:11">
      <c r="G464" s="20">
        <v>0.79587013890941416</v>
      </c>
      <c r="H464" s="20">
        <v>8.9065621799039388E-3</v>
      </c>
      <c r="I464" s="2">
        <f ca="1"/>
        <v>457</v>
      </c>
      <c r="J464">
        <f ca="1"/>
        <v>0.79587013890941416</v>
      </c>
      <c r="K464">
        <f ca="1"/>
        <v>8.6545191254852726E-3</v>
      </c>
    </row>
    <row r="465" spans="7:11">
      <c r="G465" s="20">
        <v>0.7976154681614086</v>
      </c>
      <c r="H465" s="20">
        <v>8.9216630602162849E-3</v>
      </c>
      <c r="I465" s="2">
        <f ca="1"/>
        <v>458</v>
      </c>
      <c r="J465">
        <f ca="1"/>
        <v>0.7976154681614086</v>
      </c>
      <c r="K465">
        <f ca="1"/>
        <v>8.6476608013567515E-3</v>
      </c>
    </row>
    <row r="466" spans="7:11">
      <c r="G466" s="20">
        <v>0.79936079741340282</v>
      </c>
      <c r="H466" s="20">
        <v>8.9367482106198042E-3</v>
      </c>
      <c r="I466" s="2">
        <f ca="1"/>
        <v>459</v>
      </c>
      <c r="J466">
        <f ca="1"/>
        <v>0.79936079741340282</v>
      </c>
      <c r="K466">
        <f ca="1"/>
        <v>8.6361324045153981E-3</v>
      </c>
    </row>
    <row r="467" spans="7:11">
      <c r="G467" s="20">
        <v>0.80110612666539727</v>
      </c>
      <c r="H467" s="20">
        <v>8.9518088492356786E-3</v>
      </c>
      <c r="I467" s="2">
        <f ca="1"/>
        <v>460</v>
      </c>
      <c r="J467">
        <f ca="1"/>
        <v>0.80110612666539727</v>
      </c>
      <c r="K467">
        <f ca="1"/>
        <v>8.625163468457089E-3</v>
      </c>
    </row>
    <row r="468" spans="7:11">
      <c r="G468" s="20">
        <v>0.80285145591739149</v>
      </c>
      <c r="H468" s="20">
        <v>8.9668557108292662E-3</v>
      </c>
      <c r="I468" s="2">
        <f ca="1"/>
        <v>461</v>
      </c>
      <c r="J468">
        <f ca="1"/>
        <v>0.80285145591739149</v>
      </c>
      <c r="K468">
        <f ca="1"/>
        <v>8.6153991647545721E-3</v>
      </c>
    </row>
    <row r="469" spans="7:11">
      <c r="G469" s="20">
        <v>0.80459678516938593</v>
      </c>
      <c r="H469" s="20">
        <v>8.981882265595386E-3</v>
      </c>
      <c r="I469" s="2">
        <f ca="1"/>
        <v>462</v>
      </c>
      <c r="J469">
        <f ca="1"/>
        <v>0.80459678516938593</v>
      </c>
      <c r="K469">
        <f ca="1"/>
        <v>8.6039019283110779E-3</v>
      </c>
    </row>
    <row r="470" spans="7:11">
      <c r="G470" s="20">
        <v>0.80634211442138026</v>
      </c>
      <c r="H470" s="20">
        <v>8.9968889942628107E-3</v>
      </c>
      <c r="I470" s="2">
        <f ca="1"/>
        <v>463</v>
      </c>
      <c r="J470">
        <f ca="1"/>
        <v>0.80634211442138026</v>
      </c>
      <c r="K470">
        <f ca="1"/>
        <v>8.5940282759693135E-3</v>
      </c>
    </row>
    <row r="471" spans="7:11">
      <c r="G471" s="20">
        <v>0.80808744367337448</v>
      </c>
      <c r="H471" s="20">
        <v>9.0118810834804164E-3</v>
      </c>
      <c r="I471" s="2">
        <f ca="1"/>
        <v>464</v>
      </c>
      <c r="J471">
        <f ca="1"/>
        <v>0.80808744367337448</v>
      </c>
      <c r="K471">
        <f ca="1"/>
        <v>8.5843992731312532E-3</v>
      </c>
    </row>
    <row r="472" spans="7:11">
      <c r="G472" s="20">
        <v>0.80983277292536893</v>
      </c>
      <c r="H472" s="20">
        <v>9.0268542005872004E-3</v>
      </c>
      <c r="I472" s="2">
        <f ca="1"/>
        <v>465</v>
      </c>
      <c r="J472">
        <f ca="1"/>
        <v>0.80983277292536893</v>
      </c>
      <c r="K472">
        <f ca="1"/>
        <v>8.5739985005746887E-3</v>
      </c>
    </row>
    <row r="473" spans="7:11">
      <c r="G473" s="20">
        <v>0.81157810217736315</v>
      </c>
      <c r="H473" s="20">
        <v>9.0418099842596335E-3</v>
      </c>
      <c r="I473" s="2">
        <f ca="1"/>
        <v>466</v>
      </c>
      <c r="J473">
        <f ca="1"/>
        <v>0.81157810217736315</v>
      </c>
      <c r="K473">
        <f ca="1"/>
        <v>8.5663150348625223E-3</v>
      </c>
    </row>
    <row r="474" spans="7:11">
      <c r="G474" s="20">
        <v>0.81332343142935759</v>
      </c>
      <c r="H474" s="20">
        <v>9.0567562810114893E-3</v>
      </c>
      <c r="I474" s="2">
        <f ca="1"/>
        <v>467</v>
      </c>
      <c r="J474">
        <f ca="1"/>
        <v>0.81332343142935759</v>
      </c>
      <c r="K474">
        <f ca="1"/>
        <v>8.5585274516652068E-3</v>
      </c>
    </row>
    <row r="475" spans="7:11">
      <c r="G475" s="20">
        <v>0.81506876068135203</v>
      </c>
      <c r="H475" s="20">
        <v>9.071684880890411E-3</v>
      </c>
      <c r="I475" s="2">
        <f ca="1"/>
        <v>468</v>
      </c>
      <c r="J475">
        <f ca="1"/>
        <v>0.81506876068135203</v>
      </c>
      <c r="K475">
        <f ca="1"/>
        <v>8.5459927679868465E-3</v>
      </c>
    </row>
    <row r="476" spans="7:11">
      <c r="G476" s="20">
        <v>0.81681408993334614</v>
      </c>
      <c r="H476" s="20">
        <v>9.0865874233420872E-3</v>
      </c>
      <c r="I476" s="2">
        <f ca="1"/>
        <v>469</v>
      </c>
      <c r="J476">
        <f ca="1"/>
        <v>0.81681408993334614</v>
      </c>
      <c r="K476">
        <f ca="1"/>
        <v>8.5342171512058536E-3</v>
      </c>
    </row>
    <row r="477" spans="7:11">
      <c r="G477" s="20">
        <v>0.8185594191853407</v>
      </c>
      <c r="H477" s="20">
        <v>9.1014749185641536E-3</v>
      </c>
      <c r="I477" s="2">
        <f ca="1"/>
        <v>470</v>
      </c>
      <c r="J477">
        <f ca="1"/>
        <v>0.8185594191853407</v>
      </c>
      <c r="K477">
        <f ca="1"/>
        <v>8.5236758023160154E-3</v>
      </c>
    </row>
    <row r="478" spans="7:11">
      <c r="G478" s="20">
        <v>0.82030474843733492</v>
      </c>
      <c r="H478" s="20">
        <v>9.116340664766685E-3</v>
      </c>
      <c r="I478" s="2">
        <f ca="1"/>
        <v>471</v>
      </c>
      <c r="J478">
        <f ca="1"/>
        <v>0.82030474843733492</v>
      </c>
      <c r="K478">
        <f ca="1"/>
        <v>8.5113786690710763E-3</v>
      </c>
    </row>
    <row r="479" spans="7:11">
      <c r="G479" s="20">
        <v>0.82205007768932914</v>
      </c>
      <c r="H479" s="20">
        <v>9.1311852348960124E-3</v>
      </c>
      <c r="I479" s="2">
        <f ca="1"/>
        <v>472</v>
      </c>
      <c r="J479">
        <f ca="1"/>
        <v>0.82205007768932914</v>
      </c>
      <c r="K479">
        <f ca="1"/>
        <v>8.5007075623350255E-3</v>
      </c>
    </row>
    <row r="480" spans="7:11">
      <c r="G480" s="20">
        <v>0.82379540694132347</v>
      </c>
      <c r="H480" s="20">
        <v>9.1460137319090695E-3</v>
      </c>
      <c r="I480" s="2">
        <f ca="1"/>
        <v>473</v>
      </c>
      <c r="J480">
        <f ca="1"/>
        <v>0.82379540694132347</v>
      </c>
      <c r="K480">
        <f ca="1"/>
        <v>8.4902716161509191E-3</v>
      </c>
    </row>
    <row r="481" spans="7:11">
      <c r="G481" s="20">
        <v>0.82554073619331791</v>
      </c>
      <c r="H481" s="20">
        <v>9.1608218737141041E-3</v>
      </c>
      <c r="I481" s="2">
        <f ca="1"/>
        <v>474</v>
      </c>
      <c r="J481">
        <f ca="1"/>
        <v>0.82554073619331791</v>
      </c>
      <c r="K481">
        <f ca="1"/>
        <v>8.4813775762039995E-3</v>
      </c>
    </row>
    <row r="482" spans="7:11">
      <c r="G482" s="20">
        <v>0.82728606544531225</v>
      </c>
      <c r="H482" s="20">
        <v>9.1756193246709857E-3</v>
      </c>
      <c r="I482" s="2">
        <f ca="1"/>
        <v>475</v>
      </c>
      <c r="J482">
        <f ca="1"/>
        <v>0.82728606544531225</v>
      </c>
      <c r="K482">
        <f ca="1"/>
        <v>8.4730509233752593E-3</v>
      </c>
    </row>
    <row r="483" spans="7:11">
      <c r="G483" s="20">
        <v>0.82903139469730658</v>
      </c>
      <c r="H483" s="20">
        <v>9.1903984009745129E-3</v>
      </c>
      <c r="I483" s="2">
        <f ca="1"/>
        <v>476</v>
      </c>
      <c r="J483">
        <f ca="1"/>
        <v>0.82903139469730658</v>
      </c>
      <c r="K483">
        <f ca="1"/>
        <v>8.459958052643957E-3</v>
      </c>
    </row>
    <row r="484" spans="7:11">
      <c r="G484" s="20">
        <v>0.8307767239493008</v>
      </c>
      <c r="H484" s="20">
        <v>9.2051501491908338E-3</v>
      </c>
      <c r="I484" s="2">
        <f ca="1"/>
        <v>477</v>
      </c>
      <c r="J484">
        <f ca="1"/>
        <v>0.8307767239493008</v>
      </c>
      <c r="K484">
        <f ca="1"/>
        <v>8.4474473826935872E-3</v>
      </c>
    </row>
    <row r="485" spans="7:11">
      <c r="G485" s="20">
        <v>0.83252205320129502</v>
      </c>
      <c r="H485" s="20">
        <v>9.2198855550179072E-3</v>
      </c>
      <c r="I485" s="2">
        <f ca="1"/>
        <v>478</v>
      </c>
      <c r="J485">
        <f ca="1"/>
        <v>0.83252205320129502</v>
      </c>
      <c r="K485">
        <f ca="1"/>
        <v>8.4361759081257575E-3</v>
      </c>
    </row>
    <row r="486" spans="7:11">
      <c r="G486" s="20">
        <v>0.83426738245328969</v>
      </c>
      <c r="H486" s="20">
        <v>9.2345979583656791E-3</v>
      </c>
      <c r="I486" s="2">
        <f ca="1"/>
        <v>479</v>
      </c>
      <c r="J486">
        <f ca="1"/>
        <v>0.83426738245328969</v>
      </c>
      <c r="K486">
        <f ca="1"/>
        <v>8.4231409428145079E-3</v>
      </c>
    </row>
    <row r="487" spans="7:11">
      <c r="G487" s="20">
        <v>0.8360127117052838</v>
      </c>
      <c r="H487" s="20">
        <v>9.2492878635802387E-3</v>
      </c>
      <c r="I487" s="2">
        <f ca="1"/>
        <v>480</v>
      </c>
      <c r="J487">
        <f ca="1"/>
        <v>0.8360127117052838</v>
      </c>
      <c r="K487">
        <f ca="1"/>
        <v>8.41409943756527E-3</v>
      </c>
    </row>
    <row r="488" spans="7:11">
      <c r="G488" s="20">
        <v>0.83775804095727813</v>
      </c>
      <c r="H488" s="20">
        <v>9.2639687061208207E-3</v>
      </c>
      <c r="I488" s="2">
        <f ca="1"/>
        <v>481</v>
      </c>
      <c r="J488">
        <f ca="1"/>
        <v>0.83775804095727813</v>
      </c>
      <c r="K488">
        <f ca="1"/>
        <v>8.4065742228166696E-3</v>
      </c>
    </row>
    <row r="489" spans="7:11">
      <c r="G489" s="20">
        <v>0.83950337020927246</v>
      </c>
      <c r="H489" s="20">
        <v>9.2786323433805256E-3</v>
      </c>
      <c r="I489" s="2">
        <f ca="1"/>
        <v>482</v>
      </c>
      <c r="J489">
        <f ca="1"/>
        <v>0.83950337020927246</v>
      </c>
      <c r="K489">
        <f ca="1"/>
        <v>8.3968324506555093E-3</v>
      </c>
    </row>
    <row r="490" spans="7:11">
      <c r="G490" s="20">
        <v>0.84124869946126679</v>
      </c>
      <c r="H490" s="20">
        <v>9.2932791807212693E-3</v>
      </c>
      <c r="I490" s="2">
        <f ca="1"/>
        <v>483</v>
      </c>
      <c r="J490">
        <f ca="1"/>
        <v>0.84124869946126679</v>
      </c>
      <c r="K490">
        <f ca="1"/>
        <v>8.3840779863754624E-3</v>
      </c>
    </row>
    <row r="491" spans="7:11">
      <c r="G491" s="20">
        <v>0.84299402871326112</v>
      </c>
      <c r="H491" s="20">
        <v>9.3078982965017713E-3</v>
      </c>
      <c r="I491" s="2">
        <f ca="1"/>
        <v>484</v>
      </c>
      <c r="J491">
        <f ca="1"/>
        <v>0.84299402871326112</v>
      </c>
      <c r="K491">
        <f ca="1"/>
        <v>8.3671367999395962E-3</v>
      </c>
    </row>
    <row r="492" spans="7:11">
      <c r="G492" s="20">
        <v>0.84473935796525557</v>
      </c>
      <c r="H492" s="20">
        <v>9.3224859979460159E-3</v>
      </c>
      <c r="I492" s="2">
        <f ca="1"/>
        <v>485</v>
      </c>
      <c r="J492">
        <f ca="1"/>
        <v>0.84473935796525557</v>
      </c>
      <c r="K492">
        <f ca="1"/>
        <v>8.3536630268279521E-3</v>
      </c>
    </row>
    <row r="493" spans="7:11">
      <c r="G493" s="20">
        <v>0.84648468721724979</v>
      </c>
      <c r="H493" s="20">
        <v>9.3370580813858239E-3</v>
      </c>
      <c r="I493" s="2">
        <f ca="1"/>
        <v>486</v>
      </c>
      <c r="J493">
        <f ca="1"/>
        <v>0.84648468721724979</v>
      </c>
      <c r="K493">
        <f ca="1"/>
        <v>8.3425452434056826E-3</v>
      </c>
    </row>
    <row r="494" spans="7:11">
      <c r="G494" s="20">
        <v>0.84823001646924423</v>
      </c>
      <c r="H494" s="20">
        <v>9.3516069744448201E-3</v>
      </c>
      <c r="I494" s="2">
        <f ca="1"/>
        <v>487</v>
      </c>
      <c r="J494">
        <f ca="1"/>
        <v>0.84823001646924423</v>
      </c>
      <c r="K494">
        <f ca="1"/>
        <v>8.3295007234862571E-3</v>
      </c>
    </row>
    <row r="495" spans="7:11">
      <c r="G495" s="20">
        <v>0.84997534572123845</v>
      </c>
      <c r="H495" s="20">
        <v>9.366133523920241E-3</v>
      </c>
      <c r="I495" s="2">
        <f ca="1"/>
        <v>488</v>
      </c>
      <c r="J495">
        <f ca="1"/>
        <v>0.84997534572123845</v>
      </c>
      <c r="K495">
        <f ca="1"/>
        <v>8.3174813649000388E-3</v>
      </c>
    </row>
    <row r="496" spans="7:11">
      <c r="G496" s="20">
        <v>0.85172067497323267</v>
      </c>
      <c r="H496" s="20">
        <v>9.3806404615029738E-3</v>
      </c>
      <c r="I496" s="2">
        <f ca="1"/>
        <v>489</v>
      </c>
      <c r="J496">
        <f ca="1"/>
        <v>0.85172067497323267</v>
      </c>
      <c r="K496">
        <f ca="1"/>
        <v>8.3055131590032468E-3</v>
      </c>
    </row>
    <row r="497" spans="7:11">
      <c r="G497" s="20">
        <v>0.85346600422522712</v>
      </c>
      <c r="H497" s="20">
        <v>9.3951252340587054E-3</v>
      </c>
      <c r="I497" s="2">
        <f ca="1"/>
        <v>490</v>
      </c>
      <c r="J497">
        <f ca="1"/>
        <v>0.85346600422522712</v>
      </c>
      <c r="K497">
        <f ca="1"/>
        <v>8.2930839830785592E-3</v>
      </c>
    </row>
    <row r="498" spans="7:11">
      <c r="G498" s="20">
        <v>0.85521133347722145</v>
      </c>
      <c r="H498" s="20">
        <v>9.4095887856328001E-3</v>
      </c>
      <c r="I498" s="2">
        <f ca="1"/>
        <v>491</v>
      </c>
      <c r="J498">
        <f ca="1"/>
        <v>0.85521133347722145</v>
      </c>
      <c r="K498">
        <f ca="1"/>
        <v>8.2832629426331794E-3</v>
      </c>
    </row>
    <row r="499" spans="7:11">
      <c r="G499" s="20">
        <v>0.85695666272921578</v>
      </c>
      <c r="H499" s="20">
        <v>9.4240392762901821E-3</v>
      </c>
      <c r="I499" s="2">
        <f ca="1"/>
        <v>492</v>
      </c>
      <c r="J499">
        <f ca="1"/>
        <v>0.85695666272921578</v>
      </c>
      <c r="K499">
        <f ca="1"/>
        <v>8.2734205344024269E-3</v>
      </c>
    </row>
    <row r="500" spans="7:11">
      <c r="G500" s="20">
        <v>0.85870199198121022</v>
      </c>
      <c r="H500" s="20">
        <v>9.4384684713782873E-3</v>
      </c>
      <c r="I500" s="2">
        <f ca="1"/>
        <v>493</v>
      </c>
      <c r="J500">
        <f ca="1"/>
        <v>0.85870199198121022</v>
      </c>
      <c r="K500">
        <f ca="1"/>
        <v>8.2587168792307361E-3</v>
      </c>
    </row>
    <row r="501" spans="7:11">
      <c r="G501" s="20">
        <v>0.86044732123320433</v>
      </c>
      <c r="H501" s="20">
        <v>9.4528676365967026E-3</v>
      </c>
      <c r="I501" s="2">
        <f ca="1"/>
        <v>494</v>
      </c>
      <c r="J501">
        <f ca="1"/>
        <v>0.86044732123320433</v>
      </c>
      <c r="K501">
        <f ca="1"/>
        <v>8.2447651968119897E-3</v>
      </c>
    </row>
    <row r="502" spans="7:11">
      <c r="G502" s="20">
        <v>0.86219265048519889</v>
      </c>
      <c r="H502" s="20">
        <v>9.4672481311259288E-3</v>
      </c>
      <c r="I502" s="2">
        <f ca="1"/>
        <v>495</v>
      </c>
      <c r="J502">
        <f ca="1"/>
        <v>0.86219265048519889</v>
      </c>
      <c r="K502">
        <f ca="1"/>
        <v>8.2321053561408095E-3</v>
      </c>
    </row>
    <row r="503" spans="7:11">
      <c r="G503" s="20">
        <v>0.86393797973719322</v>
      </c>
      <c r="H503" s="20">
        <v>9.481603105163848E-3</v>
      </c>
      <c r="I503" s="2">
        <f ca="1"/>
        <v>496</v>
      </c>
      <c r="J503">
        <f ca="1"/>
        <v>0.86393797973719322</v>
      </c>
      <c r="K503">
        <f ca="1"/>
        <v>8.2176490013360255E-3</v>
      </c>
    </row>
    <row r="504" spans="7:11">
      <c r="G504" s="20">
        <v>0.86568330898918744</v>
      </c>
      <c r="H504" s="20">
        <v>9.4959331374952355E-3</v>
      </c>
      <c r="I504" s="2">
        <f ca="1"/>
        <v>497</v>
      </c>
      <c r="J504">
        <f ca="1"/>
        <v>0.86568330898918744</v>
      </c>
      <c r="K504">
        <f ca="1"/>
        <v>8.2048763256871576E-3</v>
      </c>
    </row>
    <row r="505" spans="7:11">
      <c r="G505" s="20">
        <v>0.86742863824118166</v>
      </c>
      <c r="H505" s="20">
        <v>9.5102435264842813E-3</v>
      </c>
      <c r="I505" s="2">
        <f ca="1"/>
        <v>498</v>
      </c>
      <c r="J505">
        <f ca="1"/>
        <v>0.86742863824118166</v>
      </c>
      <c r="K505">
        <f ca="1"/>
        <v>8.1923597745897307E-3</v>
      </c>
    </row>
    <row r="506" spans="7:11">
      <c r="G506" s="20">
        <v>0.8691739674931761</v>
      </c>
      <c r="H506" s="20">
        <v>9.5245298678101418E-3</v>
      </c>
      <c r="I506" s="2">
        <f ca="1"/>
        <v>499</v>
      </c>
      <c r="J506">
        <f ca="1"/>
        <v>0.8691739674931761</v>
      </c>
      <c r="K506">
        <f ca="1"/>
        <v>8.1814350825536904E-3</v>
      </c>
    </row>
    <row r="507" spans="7:11">
      <c r="G507" s="20">
        <v>0.87091929674517055</v>
      </c>
      <c r="H507" s="20">
        <v>9.5388021224300304E-3</v>
      </c>
      <c r="I507" s="2">
        <f ca="1"/>
        <v>500</v>
      </c>
      <c r="J507">
        <f ca="1"/>
        <v>0.87091929674517055</v>
      </c>
      <c r="K507">
        <f ca="1"/>
        <v>8.1711060032047395E-3</v>
      </c>
    </row>
    <row r="508" spans="7:11">
      <c r="G508" s="20">
        <v>0.87266462599716477</v>
      </c>
      <c r="H508" s="20">
        <v>9.5530524084672212E-3</v>
      </c>
      <c r="I508" s="2">
        <f ca="1"/>
        <v>501</v>
      </c>
      <c r="J508">
        <f ca="1"/>
        <v>0.87266462599716477</v>
      </c>
      <c r="K508">
        <f ca="1"/>
        <v>8.1558854357034211E-3</v>
      </c>
    </row>
    <row r="509" spans="7:11">
      <c r="G509" s="20">
        <v>0.8744099552491591</v>
      </c>
      <c r="H509" s="20">
        <v>9.5672715332837249E-3</v>
      </c>
      <c r="I509" s="2">
        <f ca="1"/>
        <v>502</v>
      </c>
      <c r="J509">
        <f ca="1"/>
        <v>0.8744099552491591</v>
      </c>
      <c r="K509">
        <f ca="1"/>
        <v>8.1412726371219418E-3</v>
      </c>
    </row>
    <row r="510" spans="7:11">
      <c r="G510" s="20">
        <v>0.87615528450115332</v>
      </c>
      <c r="H510" s="20">
        <v>9.5814708110312802E-3</v>
      </c>
      <c r="I510" s="2">
        <f ca="1"/>
        <v>503</v>
      </c>
      <c r="J510">
        <f ca="1"/>
        <v>0.87615528450115332</v>
      </c>
      <c r="K510">
        <f ca="1"/>
        <v>8.1279453428293093E-3</v>
      </c>
    </row>
    <row r="511" spans="7:11">
      <c r="G511" s="20">
        <v>0.87790061375314787</v>
      </c>
      <c r="H511" s="20">
        <v>9.595643414814628E-3</v>
      </c>
      <c r="I511" s="2">
        <f ca="1"/>
        <v>504</v>
      </c>
      <c r="J511">
        <f ca="1"/>
        <v>0.87790061375314787</v>
      </c>
      <c r="K511">
        <f ca="1"/>
        <v>8.1128152067938622E-3</v>
      </c>
    </row>
    <row r="512" spans="7:11">
      <c r="G512" s="20">
        <v>0.87964594300514198</v>
      </c>
      <c r="H512" s="20">
        <v>9.6097898784241638E-3</v>
      </c>
      <c r="I512" s="2">
        <f ca="1"/>
        <v>505</v>
      </c>
      <c r="J512">
        <f ca="1"/>
        <v>0.87964594300514198</v>
      </c>
      <c r="K512">
        <f ca="1"/>
        <v>8.099406505469928E-3</v>
      </c>
    </row>
    <row r="513" spans="7:11">
      <c r="G513" s="20">
        <v>0.88139127225713643</v>
      </c>
      <c r="H513" s="20">
        <v>9.6239156770102068E-3</v>
      </c>
      <c r="I513" s="2">
        <f ca="1"/>
        <v>506</v>
      </c>
      <c r="J513">
        <f ca="1"/>
        <v>0.88139127225713643</v>
      </c>
      <c r="K513">
        <f ca="1"/>
        <v>8.0862724634218515E-3</v>
      </c>
    </row>
    <row r="514" spans="7:11">
      <c r="G514" s="20">
        <v>0.88313660150913065</v>
      </c>
      <c r="H514" s="20">
        <v>9.6380162941641766E-3</v>
      </c>
      <c r="I514" s="2">
        <f ca="1"/>
        <v>507</v>
      </c>
      <c r="J514">
        <f ca="1"/>
        <v>0.88313660150913065</v>
      </c>
      <c r="K514">
        <f ca="1"/>
        <v>8.074729658344269E-3</v>
      </c>
    </row>
    <row r="515" spans="7:11">
      <c r="G515" s="20">
        <v>0.88488193076112509</v>
      </c>
      <c r="H515" s="20">
        <v>9.6521018007595157E-3</v>
      </c>
      <c r="I515" s="2">
        <f ca="1"/>
        <v>508</v>
      </c>
      <c r="J515">
        <f ca="1"/>
        <v>0.88488193076112509</v>
      </c>
      <c r="K515">
        <f ca="1"/>
        <v>8.0637993461443874E-3</v>
      </c>
    </row>
    <row r="516" spans="7:11">
      <c r="G516" s="20">
        <v>0.88662726001311931</v>
      </c>
      <c r="H516" s="20">
        <v>9.6661642639262538E-3</v>
      </c>
      <c r="I516" s="2">
        <f ca="1"/>
        <v>509</v>
      </c>
      <c r="J516">
        <f ca="1"/>
        <v>0.88662726001311931</v>
      </c>
      <c r="K516">
        <f ca="1"/>
        <v>8.0479414135820014E-3</v>
      </c>
    </row>
    <row r="517" spans="7:11">
      <c r="G517" s="20">
        <v>0.88837258926511375</v>
      </c>
      <c r="H517" s="20">
        <v>9.6801944158944383E-3</v>
      </c>
      <c r="I517" s="2">
        <f ca="1"/>
        <v>510</v>
      </c>
      <c r="J517">
        <f ca="1"/>
        <v>0.88837258926511375</v>
      </c>
      <c r="K517">
        <f ca="1"/>
        <v>8.0326966058377504E-3</v>
      </c>
    </row>
    <row r="518" spans="7:11">
      <c r="G518" s="20">
        <v>0.89011791851710798</v>
      </c>
      <c r="H518" s="20">
        <v>9.6942036646433822E-3</v>
      </c>
      <c r="I518" s="2">
        <f ca="1"/>
        <v>511</v>
      </c>
      <c r="J518">
        <f ca="1"/>
        <v>0.89011791851710798</v>
      </c>
      <c r="K518">
        <f ca="1"/>
        <v>8.0187507504016833E-3</v>
      </c>
    </row>
    <row r="519" spans="7:11">
      <c r="G519" s="20">
        <v>0.89186324776910242</v>
      </c>
      <c r="H519" s="20">
        <v>9.7081851363926934E-3</v>
      </c>
      <c r="I519" s="2">
        <f ca="1"/>
        <v>512</v>
      </c>
      <c r="J519">
        <f ca="1"/>
        <v>0.89186324776910242</v>
      </c>
      <c r="K519">
        <f ca="1"/>
        <v>8.0029909064530374E-3</v>
      </c>
    </row>
    <row r="520" spans="7:11">
      <c r="G520" s="20">
        <v>0.89360857702109675</v>
      </c>
      <c r="H520" s="20">
        <v>9.7221393729083373E-3</v>
      </c>
      <c r="I520" s="2">
        <f ca="1"/>
        <v>513</v>
      </c>
      <c r="J520">
        <f ca="1"/>
        <v>0.89360857702109675</v>
      </c>
      <c r="K520">
        <f ca="1"/>
        <v>7.9889692690721693E-3</v>
      </c>
    </row>
    <row r="521" spans="7:11">
      <c r="G521" s="20">
        <v>0.89535390627309097</v>
      </c>
      <c r="H521" s="20">
        <v>9.7360718999098834E-3</v>
      </c>
      <c r="I521" s="2">
        <f ca="1"/>
        <v>514</v>
      </c>
      <c r="J521">
        <f ca="1"/>
        <v>0.89535390627309097</v>
      </c>
      <c r="K521">
        <f ca="1"/>
        <v>7.9752275664371694E-3</v>
      </c>
    </row>
    <row r="522" spans="7:11">
      <c r="G522" s="20">
        <v>0.89709923552508541</v>
      </c>
      <c r="H522" s="20">
        <v>9.749978168834366E-3</v>
      </c>
      <c r="I522" s="2">
        <f ca="1"/>
        <v>515</v>
      </c>
      <c r="J522">
        <f ca="1"/>
        <v>0.89709923552508541</v>
      </c>
      <c r="K522">
        <f ca="1"/>
        <v>7.9606893171044781E-3</v>
      </c>
    </row>
    <row r="523" spans="7:11">
      <c r="G523" s="20">
        <v>0.89884456477707964</v>
      </c>
      <c r="H523" s="20">
        <v>9.7638599477722458E-3</v>
      </c>
      <c r="I523" s="2">
        <f ca="1"/>
        <v>516</v>
      </c>
      <c r="J523">
        <f ca="1"/>
        <v>0.89884456477707964</v>
      </c>
      <c r="K523">
        <f ca="1"/>
        <v>7.9490415032589315E-3</v>
      </c>
    </row>
    <row r="524" spans="7:11">
      <c r="G524" s="20">
        <v>0.90058989402907408</v>
      </c>
      <c r="H524" s="20">
        <v>9.7777255581562757E-3</v>
      </c>
      <c r="I524" s="2">
        <f ca="1"/>
        <v>517</v>
      </c>
      <c r="J524">
        <f ca="1"/>
        <v>0.90058989402907408</v>
      </c>
      <c r="K524">
        <f ca="1"/>
        <v>7.9373035648879278E-3</v>
      </c>
    </row>
    <row r="525" spans="7:11">
      <c r="G525" s="20">
        <v>0.90233522328106852</v>
      </c>
      <c r="H525" s="20">
        <v>9.7915663639597632E-3</v>
      </c>
      <c r="I525" s="2">
        <f ca="1"/>
        <v>518</v>
      </c>
      <c r="J525">
        <f ca="1"/>
        <v>0.90233522328106852</v>
      </c>
      <c r="K525">
        <f ca="1"/>
        <v>7.9205724435889961E-3</v>
      </c>
    </row>
    <row r="526" spans="7:11">
      <c r="G526" s="20">
        <v>0.90408055253306263</v>
      </c>
      <c r="H526" s="20">
        <v>9.805373571712947E-3</v>
      </c>
      <c r="I526" s="2">
        <f ca="1"/>
        <v>519</v>
      </c>
      <c r="J526">
        <f ca="1"/>
        <v>0.90408055253306263</v>
      </c>
      <c r="K526">
        <f ca="1"/>
        <v>7.9046625015277375E-3</v>
      </c>
    </row>
    <row r="527" spans="7:11">
      <c r="G527" s="20">
        <v>0.90582588178505719</v>
      </c>
      <c r="H527" s="20">
        <v>9.8191588413418813E-3</v>
      </c>
      <c r="I527" s="2">
        <f ca="1"/>
        <v>520</v>
      </c>
      <c r="J527">
        <f ca="1"/>
        <v>0.90582588178505719</v>
      </c>
      <c r="K527">
        <f ca="1"/>
        <v>7.8900778727068396E-3</v>
      </c>
    </row>
    <row r="528" spans="7:11">
      <c r="G528" s="20">
        <v>0.90757121103705141</v>
      </c>
      <c r="H528" s="20">
        <v>9.8329151391364448E-3</v>
      </c>
      <c r="I528" s="2">
        <f ca="1"/>
        <v>521</v>
      </c>
      <c r="J528">
        <f ca="1"/>
        <v>0.90757121103705141</v>
      </c>
      <c r="K528">
        <f ca="1"/>
        <v>7.8736606205223828E-3</v>
      </c>
    </row>
    <row r="529" spans="7:11">
      <c r="G529" s="20">
        <v>0.90931654028904574</v>
      </c>
      <c r="H529" s="20">
        <v>9.8466431017444275E-3</v>
      </c>
      <c r="I529" s="2">
        <f ca="1"/>
        <v>522</v>
      </c>
      <c r="J529">
        <f ca="1"/>
        <v>0.90931654028904574</v>
      </c>
      <c r="K529">
        <f ca="1"/>
        <v>7.8589778636960726E-3</v>
      </c>
    </row>
    <row r="530" spans="7:11">
      <c r="G530" s="20">
        <v>0.91106186954103996</v>
      </c>
      <c r="H530" s="20">
        <v>9.8603481470490133E-3</v>
      </c>
      <c r="I530" s="2">
        <f ca="1"/>
        <v>523</v>
      </c>
      <c r="J530">
        <f ca="1"/>
        <v>0.91106186954103996</v>
      </c>
      <c r="K530">
        <f ca="1"/>
        <v>7.844563302299639E-3</v>
      </c>
    </row>
    <row r="531" spans="7:11">
      <c r="G531" s="20">
        <v>0.9128071987930344</v>
      </c>
      <c r="H531" s="20">
        <v>9.8740257933456772E-3</v>
      </c>
      <c r="I531" s="2">
        <f ca="1"/>
        <v>524</v>
      </c>
      <c r="J531">
        <f ca="1"/>
        <v>0.9128071987930344</v>
      </c>
      <c r="K531">
        <f ca="1"/>
        <v>7.8317907054380673E-3</v>
      </c>
    </row>
    <row r="532" spans="7:11">
      <c r="G532" s="20">
        <v>0.91455252804502873</v>
      </c>
      <c r="H532" s="20">
        <v>9.8876862538764109E-3</v>
      </c>
      <c r="I532" s="2">
        <f ca="1"/>
        <v>525</v>
      </c>
      <c r="J532">
        <f ca="1"/>
        <v>0.91455252804502873</v>
      </c>
      <c r="K532">
        <f ca="1"/>
        <v>7.8196356766727579E-3</v>
      </c>
    </row>
    <row r="533" spans="7:11">
      <c r="G533" s="20">
        <v>0.91629785729702307</v>
      </c>
      <c r="H533" s="20">
        <v>9.9013214711185481E-3</v>
      </c>
      <c r="I533" s="2">
        <f ca="1"/>
        <v>526</v>
      </c>
      <c r="J533">
        <f ca="1"/>
        <v>0.91629785729702307</v>
      </c>
      <c r="K533">
        <f ca="1"/>
        <v>7.8024809387590918E-3</v>
      </c>
    </row>
    <row r="534" spans="7:11">
      <c r="G534" s="20">
        <v>0.91804318654901718</v>
      </c>
      <c r="H534" s="20">
        <v>9.9149220503174981E-3</v>
      </c>
      <c r="I534" s="2">
        <f ca="1"/>
        <v>527</v>
      </c>
      <c r="J534">
        <f ca="1"/>
        <v>0.91804318654901718</v>
      </c>
      <c r="K534">
        <f ca="1"/>
        <v>7.7859580327370006E-3</v>
      </c>
    </row>
    <row r="535" spans="7:11">
      <c r="G535" s="20">
        <v>0.91978851580101151</v>
      </c>
      <c r="H535" s="20">
        <v>9.9284995917372186E-3</v>
      </c>
      <c r="I535" s="2">
        <f ca="1"/>
        <v>528</v>
      </c>
      <c r="J535">
        <f ca="1"/>
        <v>0.91978851580101151</v>
      </c>
      <c r="K535">
        <f ca="1"/>
        <v>7.7707613837627587E-3</v>
      </c>
    </row>
    <row r="536" spans="7:11">
      <c r="G536" s="20">
        <v>0.92153384505300595</v>
      </c>
      <c r="H536" s="20">
        <v>9.9420471246241971E-3</v>
      </c>
      <c r="I536" s="2">
        <f ca="1"/>
        <v>529</v>
      </c>
      <c r="J536">
        <f ca="1"/>
        <v>0.92153384505300595</v>
      </c>
      <c r="K536">
        <f ca="1"/>
        <v>7.7537286923828339E-3</v>
      </c>
    </row>
    <row r="537" spans="7:11">
      <c r="G537" s="20">
        <v>0.92327917430500028</v>
      </c>
      <c r="H537" s="20">
        <v>9.9555652107349065E-3</v>
      </c>
      <c r="I537" s="2">
        <f ca="1"/>
        <v>530</v>
      </c>
      <c r="J537">
        <f ca="1"/>
        <v>0.92327917430500028</v>
      </c>
      <c r="K537">
        <f ca="1"/>
        <v>7.7384666334931193E-3</v>
      </c>
    </row>
    <row r="538" spans="7:11">
      <c r="G538" s="20">
        <v>0.92502450355699462</v>
      </c>
      <c r="H538" s="20">
        <v>9.9690594689862324E-3</v>
      </c>
      <c r="I538" s="2">
        <f ca="1"/>
        <v>531</v>
      </c>
      <c r="J538">
        <f ca="1"/>
        <v>0.92502450355699462</v>
      </c>
      <c r="K538">
        <f ca="1"/>
        <v>7.723494684406391E-3</v>
      </c>
    </row>
    <row r="539" spans="7:11">
      <c r="G539" s="20">
        <v>0.92676983280898895</v>
      </c>
      <c r="H539" s="20">
        <v>9.9825252931355409E-3</v>
      </c>
      <c r="I539" s="2">
        <f ca="1"/>
        <v>532</v>
      </c>
      <c r="J539">
        <f ca="1"/>
        <v>0.92676983280898895</v>
      </c>
      <c r="K539">
        <f ca="1"/>
        <v>7.7101584937075019E-3</v>
      </c>
    </row>
    <row r="540" spans="7:11">
      <c r="G540" s="20">
        <v>0.92851516206098339</v>
      </c>
      <c r="H540" s="20">
        <v>9.9959729992993938E-3</v>
      </c>
      <c r="I540" s="2">
        <f ca="1"/>
        <v>533</v>
      </c>
      <c r="J540">
        <f ca="1"/>
        <v>0.92851516206098339</v>
      </c>
      <c r="K540">
        <f ca="1"/>
        <v>7.6974580266671441E-3</v>
      </c>
    </row>
    <row r="541" spans="7:11">
      <c r="G541" s="20">
        <v>0.93026049131297761</v>
      </c>
      <c r="H541" s="20">
        <v>1.0009394490455422E-2</v>
      </c>
      <c r="I541" s="2">
        <f ca="1"/>
        <v>534</v>
      </c>
      <c r="J541">
        <f ca="1"/>
        <v>0.93026049131297761</v>
      </c>
      <c r="K541">
        <f ca="1"/>
        <v>7.6797269691212889E-3</v>
      </c>
    </row>
    <row r="542" spans="7:11">
      <c r="G542" s="20">
        <v>0.93200582056497183</v>
      </c>
      <c r="H542" s="20">
        <v>1.0022780303552466E-2</v>
      </c>
      <c r="I542" s="2">
        <f ca="1"/>
        <v>535</v>
      </c>
      <c r="J542">
        <f ca="1"/>
        <v>0.93200582056497183</v>
      </c>
      <c r="K542">
        <f ca="1"/>
        <v>7.662631398869078E-3</v>
      </c>
    </row>
    <row r="543" spans="7:11">
      <c r="G543" s="20">
        <v>0.93375114981696627</v>
      </c>
      <c r="H543" s="20">
        <v>1.0036142119910815E-2</v>
      </c>
      <c r="I543" s="2">
        <f ca="1"/>
        <v>536</v>
      </c>
      <c r="J543">
        <f ca="1"/>
        <v>0.93375114981696627</v>
      </c>
      <c r="K543">
        <f ca="1"/>
        <v>7.6468741483360402E-3</v>
      </c>
    </row>
    <row r="544" spans="7:11">
      <c r="G544" s="20">
        <v>0.93549647906896072</v>
      </c>
      <c r="H544" s="20">
        <v>1.0049472929827288E-2</v>
      </c>
      <c r="I544" s="2">
        <f ca="1"/>
        <v>537</v>
      </c>
      <c r="J544">
        <f ca="1"/>
        <v>0.93549647906896072</v>
      </c>
      <c r="K544">
        <f ca="1"/>
        <v>7.6292714813457549E-3</v>
      </c>
    </row>
    <row r="545" spans="7:11">
      <c r="G545" s="20">
        <v>0.93724180832095494</v>
      </c>
      <c r="H545" s="20">
        <v>1.0062773301286413E-2</v>
      </c>
      <c r="I545" s="2">
        <f ca="1"/>
        <v>538</v>
      </c>
      <c r="J545">
        <f ca="1"/>
        <v>0.93724180832095494</v>
      </c>
      <c r="K545">
        <f ca="1"/>
        <v>7.6134540192218944E-3</v>
      </c>
    </row>
    <row r="546" spans="7:11">
      <c r="G546" s="20">
        <v>0.93898713757294927</v>
      </c>
      <c r="H546" s="20">
        <v>1.0076048897844211E-2</v>
      </c>
      <c r="I546" s="2">
        <f ca="1"/>
        <v>539</v>
      </c>
      <c r="J546">
        <f ca="1"/>
        <v>0.93898713757294927</v>
      </c>
      <c r="K546">
        <f ca="1"/>
        <v>7.5979318849222714E-3</v>
      </c>
    </row>
    <row r="547" spans="7:11">
      <c r="G547" s="20">
        <v>0.9407324668249436</v>
      </c>
      <c r="H547" s="20">
        <v>1.0089295086833244E-2</v>
      </c>
      <c r="I547" s="2">
        <f ca="1"/>
        <v>540</v>
      </c>
      <c r="J547">
        <f ca="1"/>
        <v>0.9407324668249436</v>
      </c>
      <c r="K547">
        <f ca="1"/>
        <v>7.5816044371896287E-3</v>
      </c>
    </row>
    <row r="548" spans="7:11">
      <c r="G548" s="20">
        <v>0.94247779607693793</v>
      </c>
      <c r="H548" s="20">
        <v>1.0102513689846765E-2</v>
      </c>
      <c r="I548" s="2">
        <f ca="1"/>
        <v>541</v>
      </c>
      <c r="J548">
        <f ca="1"/>
        <v>0.94247779607693793</v>
      </c>
      <c r="K548">
        <f ca="1"/>
        <v>7.5682378444220681E-3</v>
      </c>
    </row>
    <row r="549" spans="7:11">
      <c r="G549" s="20">
        <v>0.94422312532893227</v>
      </c>
      <c r="H549" s="20">
        <v>1.0115713220625084E-2</v>
      </c>
      <c r="I549" s="2">
        <f ca="1"/>
        <v>542</v>
      </c>
      <c r="J549">
        <f ca="1"/>
        <v>0.94422312532893227</v>
      </c>
      <c r="K549">
        <f ca="1"/>
        <v>7.5547878503182337E-3</v>
      </c>
    </row>
    <row r="550" spans="7:11">
      <c r="G550" s="20">
        <v>0.9459684545809266</v>
      </c>
      <c r="H550" s="20">
        <v>1.0128884874302309E-2</v>
      </c>
      <c r="I550" s="2">
        <f ca="1"/>
        <v>543</v>
      </c>
      <c r="J550">
        <f ca="1"/>
        <v>0.9459684545809266</v>
      </c>
      <c r="K550">
        <f ca="1"/>
        <v>7.5362468341680765E-3</v>
      </c>
    </row>
    <row r="551" spans="7:11">
      <c r="G551" s="20">
        <v>0.94771378383292082</v>
      </c>
      <c r="H551" s="20">
        <v>1.014201968472493E-2</v>
      </c>
      <c r="I551" s="2">
        <f ca="1"/>
        <v>544</v>
      </c>
      <c r="J551">
        <f ca="1"/>
        <v>0.94771378383292082</v>
      </c>
      <c r="K551">
        <f ca="1"/>
        <v>7.5185528427871243E-3</v>
      </c>
    </row>
    <row r="552" spans="7:11">
      <c r="G552" s="20">
        <v>0.94945911308491537</v>
      </c>
      <c r="H552" s="20">
        <v>1.0155129574720673E-2</v>
      </c>
      <c r="I552" s="2">
        <f ca="1"/>
        <v>545</v>
      </c>
      <c r="J552">
        <f ca="1"/>
        <v>0.94945911308491537</v>
      </c>
      <c r="K552">
        <f ca="1"/>
        <v>7.5022219513911376E-3</v>
      </c>
    </row>
    <row r="553" spans="7:11">
      <c r="G553" s="20">
        <v>0.95120444233690948</v>
      </c>
      <c r="H553" s="20">
        <v>1.0168207379578364E-2</v>
      </c>
      <c r="I553" s="2">
        <f ca="1"/>
        <v>546</v>
      </c>
      <c r="J553">
        <f ca="1"/>
        <v>0.95120444233690948</v>
      </c>
      <c r="K553">
        <f ca="1"/>
        <v>7.4840285565297079E-3</v>
      </c>
    </row>
    <row r="554" spans="7:11">
      <c r="G554" s="20">
        <v>0.95294977158890393</v>
      </c>
      <c r="H554" s="20">
        <v>1.0181253762645616E-2</v>
      </c>
      <c r="I554" s="2">
        <f ca="1"/>
        <v>547</v>
      </c>
      <c r="J554">
        <f ca="1"/>
        <v>0.95294977158890393</v>
      </c>
      <c r="K554">
        <f ca="1"/>
        <v>7.4676138386726024E-3</v>
      </c>
    </row>
    <row r="555" spans="7:11">
      <c r="G555" s="20">
        <v>0.95469510084089815</v>
      </c>
      <c r="H555" s="20">
        <v>1.019427426932883E-2</v>
      </c>
      <c r="I555" s="2">
        <f ca="1"/>
        <v>548</v>
      </c>
      <c r="J555">
        <f ca="1"/>
        <v>0.95469510084089815</v>
      </c>
      <c r="K555">
        <f ca="1"/>
        <v>7.451481734332366E-3</v>
      </c>
    </row>
    <row r="556" spans="7:11">
      <c r="G556" s="20">
        <v>0.95644043009289259</v>
      </c>
      <c r="H556" s="20">
        <v>1.020726434072888E-2</v>
      </c>
      <c r="I556" s="2">
        <f ca="1"/>
        <v>549</v>
      </c>
      <c r="J556">
        <f ca="1"/>
        <v>0.95644043009289259</v>
      </c>
      <c r="K556">
        <f ca="1"/>
        <v>7.4370331006880811E-3</v>
      </c>
    </row>
    <row r="557" spans="7:11">
      <c r="G557" s="20">
        <v>0.95818575934488703</v>
      </c>
      <c r="H557" s="20">
        <v>1.0220234412166193E-2</v>
      </c>
      <c r="I557" s="2">
        <f ca="1"/>
        <v>550</v>
      </c>
      <c r="J557">
        <f ca="1"/>
        <v>0.95818575934488703</v>
      </c>
      <c r="K557">
        <f ca="1"/>
        <v>7.4232231485098013E-3</v>
      </c>
    </row>
    <row r="558" spans="7:11">
      <c r="G558" s="20">
        <v>0.95993108859688125</v>
      </c>
      <c r="H558" s="20">
        <v>1.0233176277739231E-2</v>
      </c>
      <c r="I558" s="2">
        <f ca="1"/>
        <v>551</v>
      </c>
      <c r="J558">
        <f ca="1"/>
        <v>0.95993108859688125</v>
      </c>
      <c r="K558">
        <f ca="1"/>
        <v>7.4043207741677497E-3</v>
      </c>
    </row>
    <row r="559" spans="7:11">
      <c r="G559" s="20">
        <v>0.96167641784887536</v>
      </c>
      <c r="H559" s="20">
        <v>1.02460803674428E-2</v>
      </c>
      <c r="I559" s="2">
        <f ca="1"/>
        <v>552</v>
      </c>
      <c r="J559">
        <f ca="1"/>
        <v>0.96167641784887536</v>
      </c>
      <c r="K559">
        <f ca="1"/>
        <v>7.3860711070805069E-3</v>
      </c>
    </row>
    <row r="560" spans="7:11">
      <c r="G560" s="20">
        <v>0.96342174710086981</v>
      </c>
      <c r="H560" s="20">
        <v>1.0258958529660226E-2</v>
      </c>
      <c r="I560" s="2">
        <f ca="1"/>
        <v>553</v>
      </c>
      <c r="J560">
        <f ca="1"/>
        <v>0.96342174710086981</v>
      </c>
      <c r="K560">
        <f ca="1"/>
        <v>7.3691836733158871E-3</v>
      </c>
    </row>
    <row r="561" spans="7:11">
      <c r="G561" s="20">
        <v>0.96516707635286425</v>
      </c>
      <c r="H561" s="20">
        <v>1.0271803671099516E-2</v>
      </c>
      <c r="I561" s="2">
        <f ca="1"/>
        <v>554</v>
      </c>
      <c r="J561">
        <f ca="1"/>
        <v>0.96516707635286425</v>
      </c>
      <c r="K561">
        <f ca="1"/>
        <v>7.3504319863505595E-3</v>
      </c>
    </row>
    <row r="562" spans="7:11">
      <c r="G562" s="20">
        <v>0.96691240560485847</v>
      </c>
      <c r="H562" s="20">
        <v>1.0284616377581371E-2</v>
      </c>
      <c r="I562" s="2">
        <f ca="1"/>
        <v>555</v>
      </c>
      <c r="J562">
        <f ca="1"/>
        <v>0.96691240560485847</v>
      </c>
      <c r="K562">
        <f ca="1"/>
        <v>7.3334939267893319E-3</v>
      </c>
    </row>
    <row r="563" spans="7:11">
      <c r="G563" s="20">
        <v>0.96865773485685291</v>
      </c>
      <c r="H563" s="20">
        <v>1.0297402394039012E-2</v>
      </c>
      <c r="I563" s="2">
        <f ca="1"/>
        <v>556</v>
      </c>
      <c r="J563">
        <f ca="1"/>
        <v>0.96865773485685291</v>
      </c>
      <c r="K563">
        <f ca="1"/>
        <v>7.3168603622885565E-3</v>
      </c>
    </row>
    <row r="564" spans="7:11">
      <c r="G564" s="20">
        <v>0.97040306410884714</v>
      </c>
      <c r="H564" s="20">
        <v>1.0310157038427491E-2</v>
      </c>
      <c r="I564" s="2">
        <f ca="1"/>
        <v>557</v>
      </c>
      <c r="J564">
        <f ca="1"/>
        <v>0.97040306410884714</v>
      </c>
      <c r="K564">
        <f ca="1"/>
        <v>7.3019015198059929E-3</v>
      </c>
    </row>
    <row r="565" spans="7:11">
      <c r="G565" s="20">
        <v>0.97214839336084158</v>
      </c>
      <c r="H565" s="20">
        <v>1.0322890838674411E-2</v>
      </c>
      <c r="I565" s="2">
        <f ca="1"/>
        <v>558</v>
      </c>
      <c r="J565">
        <f ca="1"/>
        <v>0.97214839336084158</v>
      </c>
      <c r="K565">
        <f ca="1"/>
        <v>7.2875988971825159E-3</v>
      </c>
    </row>
    <row r="566" spans="7:11">
      <c r="G566" s="20">
        <v>0.9738937226128358</v>
      </c>
      <c r="H566" s="20">
        <v>1.0335595557491599E-2</v>
      </c>
      <c r="I566" s="2">
        <f ca="1"/>
        <v>559</v>
      </c>
      <c r="J566">
        <f ca="1"/>
        <v>0.9738937226128358</v>
      </c>
      <c r="K566">
        <f ca="1"/>
        <v>7.2681778361542134E-3</v>
      </c>
    </row>
    <row r="567" spans="7:11">
      <c r="G567" s="20">
        <v>0.97563905186483013</v>
      </c>
      <c r="H567" s="20">
        <v>1.0348261565446683E-2</v>
      </c>
      <c r="I567" s="2">
        <f ca="1"/>
        <v>560</v>
      </c>
      <c r="J567">
        <f ca="1"/>
        <v>0.97563905186483013</v>
      </c>
      <c r="K567">
        <f ca="1"/>
        <v>7.2494123138009334E-3</v>
      </c>
    </row>
    <row r="568" spans="7:11">
      <c r="G568" s="20">
        <v>0.97738438111682457</v>
      </c>
      <c r="H568" s="20">
        <v>1.0360900780233689E-2</v>
      </c>
      <c r="I568" s="2">
        <f ca="1"/>
        <v>561</v>
      </c>
      <c r="J568">
        <f ca="1"/>
        <v>0.97738438111682457</v>
      </c>
      <c r="K568">
        <f ca="1"/>
        <v>7.2320194640953855E-3</v>
      </c>
    </row>
    <row r="569" spans="7:11">
      <c r="G569" s="20">
        <v>0.97912971036881891</v>
      </c>
      <c r="H569" s="20">
        <v>1.037350607569004E-2</v>
      </c>
      <c r="I569" s="2">
        <f ca="1"/>
        <v>562</v>
      </c>
      <c r="J569">
        <f ca="1"/>
        <v>0.97912971036881891</v>
      </c>
      <c r="K569">
        <f ca="1"/>
        <v>7.2127546006337719E-3</v>
      </c>
    </row>
    <row r="570" spans="7:11">
      <c r="G570" s="20">
        <v>0.98087503962081324</v>
      </c>
      <c r="H570" s="20">
        <v>1.0386078043417575E-2</v>
      </c>
      <c r="I570" s="2">
        <f ca="1"/>
        <v>563</v>
      </c>
      <c r="J570">
        <f ca="1"/>
        <v>0.98087503962081324</v>
      </c>
      <c r="K570">
        <f ca="1"/>
        <v>7.195316131410682E-3</v>
      </c>
    </row>
    <row r="571" spans="7:11">
      <c r="G571" s="20">
        <v>0.98262036887280746</v>
      </c>
      <c r="H571" s="20">
        <v>1.0398622467133035E-2</v>
      </c>
      <c r="I571" s="2">
        <f ca="1"/>
        <v>564</v>
      </c>
      <c r="J571">
        <f ca="1"/>
        <v>0.98262036887280746</v>
      </c>
      <c r="K571">
        <f ca="1"/>
        <v>7.1781869944642449E-3</v>
      </c>
    </row>
    <row r="572" spans="7:11">
      <c r="G572" s="20">
        <v>0.9843656981248019</v>
      </c>
      <c r="H572" s="20">
        <v>1.0411134642893023E-2</v>
      </c>
      <c r="I572" s="2">
        <f ca="1"/>
        <v>565</v>
      </c>
      <c r="J572">
        <f ca="1"/>
        <v>0.9843656981248019</v>
      </c>
      <c r="K572">
        <f ca="1"/>
        <v>7.160245842234637E-3</v>
      </c>
    </row>
    <row r="573" spans="7:11">
      <c r="G573" s="20">
        <v>0.98611102737679612</v>
      </c>
      <c r="H573" s="20">
        <v>1.0423616440172881E-2</v>
      </c>
      <c r="I573" s="2">
        <f ca="1"/>
        <v>566</v>
      </c>
      <c r="J573">
        <f ca="1"/>
        <v>0.98611102737679612</v>
      </c>
      <c r="K573">
        <f ca="1"/>
        <v>7.1453265887552863E-3</v>
      </c>
    </row>
    <row r="574" spans="7:11">
      <c r="G574" s="20">
        <v>0.98785635662879057</v>
      </c>
      <c r="H574" s="20">
        <v>1.0436076537913837E-2</v>
      </c>
      <c r="I574" s="2">
        <f ca="1"/>
        <v>567</v>
      </c>
      <c r="J574">
        <f ca="1"/>
        <v>0.98785635662879057</v>
      </c>
      <c r="K574">
        <f ca="1"/>
        <v>7.1303298429903272E-3</v>
      </c>
    </row>
    <row r="575" spans="7:11">
      <c r="G575" s="20">
        <v>0.98960168588078479</v>
      </c>
      <c r="H575" s="20">
        <v>1.0448505986675559E-2</v>
      </c>
      <c r="I575" s="2">
        <f ca="1"/>
        <v>568</v>
      </c>
      <c r="J575">
        <f ca="1"/>
        <v>0.98960168588078479</v>
      </c>
      <c r="K575">
        <f ca="1"/>
        <v>7.1101589331846893E-3</v>
      </c>
    </row>
    <row r="576" spans="7:11">
      <c r="G576" s="20">
        <v>0.99134701513277912</v>
      </c>
      <c r="H576" s="20">
        <v>1.0460895674658669E-2</v>
      </c>
      <c r="I576" s="2">
        <f ca="1"/>
        <v>569</v>
      </c>
      <c r="J576">
        <f ca="1"/>
        <v>0.99134701513277912</v>
      </c>
      <c r="K576">
        <f ca="1"/>
        <v>7.0908582608718053E-3</v>
      </c>
    </row>
    <row r="577" spans="7:11">
      <c r="G577" s="20">
        <v>0.99309234438477367</v>
      </c>
      <c r="H577" s="20">
        <v>1.0473257751364451E-2</v>
      </c>
      <c r="I577" s="2">
        <f ca="1"/>
        <v>570</v>
      </c>
      <c r="J577">
        <f ca="1"/>
        <v>0.99309234438477367</v>
      </c>
      <c r="K577">
        <f ca="1"/>
        <v>7.0729534115563999E-3</v>
      </c>
    </row>
    <row r="578" spans="7:11">
      <c r="G578" s="20">
        <v>0.99483767363676778</v>
      </c>
      <c r="H578" s="20">
        <v>1.0485584939633034E-2</v>
      </c>
      <c r="I578" s="2">
        <f ca="1"/>
        <v>571</v>
      </c>
      <c r="J578">
        <f ca="1"/>
        <v>0.99483767363676778</v>
      </c>
      <c r="K578">
        <f ca="1"/>
        <v>7.053160833692779E-3</v>
      </c>
    </row>
    <row r="579" spans="7:11">
      <c r="G579" s="20">
        <v>0.99658300288876223</v>
      </c>
      <c r="H579" s="20">
        <v>1.049787792720858E-2</v>
      </c>
      <c r="I579" s="2">
        <f ca="1"/>
        <v>572</v>
      </c>
      <c r="J579">
        <f ca="1"/>
        <v>0.99658300288876223</v>
      </c>
      <c r="K579">
        <f ca="1"/>
        <v>7.0351860655260209E-3</v>
      </c>
    </row>
    <row r="580" spans="7:11">
      <c r="G580" s="20">
        <v>0.99832833214075645</v>
      </c>
      <c r="H580" s="20">
        <v>1.0510142371699805E-2</v>
      </c>
      <c r="I580" s="2">
        <f ca="1"/>
        <v>573</v>
      </c>
      <c r="J580">
        <f ca="1"/>
        <v>0.99832833214075645</v>
      </c>
      <c r="K580">
        <f ca="1"/>
        <v>7.0175072571248658E-3</v>
      </c>
    </row>
    <row r="581" spans="7:11">
      <c r="G581" s="20">
        <v>1.0000736613927508</v>
      </c>
      <c r="H581" s="20">
        <v>1.0522373648592464E-2</v>
      </c>
      <c r="I581" s="2">
        <f ca="1"/>
        <v>574</v>
      </c>
      <c r="J581">
        <f ca="1"/>
        <v>1.0000736613927508</v>
      </c>
      <c r="K581">
        <f ca="1"/>
        <v>7.00154758711234E-3</v>
      </c>
    </row>
    <row r="582" spans="7:11">
      <c r="G582" s="20">
        <v>1.0018189906447452</v>
      </c>
      <c r="H582" s="20">
        <v>1.053458238332584E-2</v>
      </c>
      <c r="I582" s="2">
        <f ca="1"/>
        <v>575</v>
      </c>
      <c r="J582">
        <f ca="1"/>
        <v>1.0018189906447452</v>
      </c>
      <c r="K582">
        <f ca="1"/>
        <v>6.9862449560170042E-3</v>
      </c>
    </row>
    <row r="583" spans="7:11">
      <c r="G583" s="20">
        <v>1.0035643198967394</v>
      </c>
      <c r="H583" s="20">
        <v>1.0546760243959133E-2</v>
      </c>
      <c r="I583" s="2">
        <f ca="1"/>
        <v>576</v>
      </c>
      <c r="J583">
        <f ca="1"/>
        <v>1.0035643198967394</v>
      </c>
      <c r="K583">
        <f ca="1"/>
        <v>6.9657713320719133E-3</v>
      </c>
    </row>
    <row r="584" spans="7:11">
      <c r="G584" s="20">
        <v>1.0053096491487337</v>
      </c>
      <c r="H584" s="20">
        <v>1.0558897512262976E-2</v>
      </c>
      <c r="I584" s="2">
        <f ca="1"/>
        <v>577</v>
      </c>
      <c r="J584">
        <f ca="1"/>
        <v>1.0053096491487337</v>
      </c>
      <c r="K584">
        <f ca="1"/>
        <v>6.9459690026319413E-3</v>
      </c>
    </row>
    <row r="585" spans="7:11">
      <c r="G585" s="20">
        <v>1.0070549784007281</v>
      </c>
      <c r="H585" s="20">
        <v>1.0571006249726612E-2</v>
      </c>
      <c r="I585" s="2">
        <f ca="1"/>
        <v>578</v>
      </c>
      <c r="J585">
        <f ca="1"/>
        <v>1.0070549784007281</v>
      </c>
      <c r="K585">
        <f ca="1"/>
        <v>6.9275601621129257E-3</v>
      </c>
    </row>
    <row r="586" spans="7:11">
      <c r="G586" s="20">
        <v>1.0088003076527225</v>
      </c>
      <c r="H586" s="20">
        <v>1.058307925905475E-2</v>
      </c>
      <c r="I586" s="2">
        <f ca="1"/>
        <v>579</v>
      </c>
      <c r="J586">
        <f ca="1"/>
        <v>1.0088003076527225</v>
      </c>
      <c r="K586">
        <f ca="1"/>
        <v>6.9072637703160109E-3</v>
      </c>
    </row>
    <row r="587" spans="7:11">
      <c r="G587" s="20">
        <v>1.0105456369047168</v>
      </c>
      <c r="H587" s="20">
        <v>1.0595117148745758E-2</v>
      </c>
      <c r="I587" s="2">
        <f ca="1"/>
        <v>580</v>
      </c>
      <c r="J587">
        <f ca="1"/>
        <v>1.0105456369047168</v>
      </c>
      <c r="K587">
        <f ca="1"/>
        <v>6.8888187007470963E-3</v>
      </c>
    </row>
    <row r="588" spans="7:11">
      <c r="G588" s="20">
        <v>1.0122909661567112</v>
      </c>
      <c r="H588" s="20">
        <v>1.0607125772634949E-2</v>
      </c>
      <c r="I588" s="2">
        <f ca="1"/>
        <v>581</v>
      </c>
      <c r="J588">
        <f ca="1"/>
        <v>1.0122909661567112</v>
      </c>
      <c r="K588">
        <f ca="1"/>
        <v>6.8706910243857668E-3</v>
      </c>
    </row>
    <row r="589" spans="7:11">
      <c r="G589" s="20">
        <v>1.0140362954087054</v>
      </c>
      <c r="H589" s="20">
        <v>1.0619100384798309E-2</v>
      </c>
      <c r="I589" s="2">
        <f ca="1"/>
        <v>582</v>
      </c>
      <c r="J589">
        <f ca="1"/>
        <v>1.0140362954087054</v>
      </c>
      <c r="K589">
        <f ca="1"/>
        <v>6.854271922340509E-3</v>
      </c>
    </row>
    <row r="590" spans="7:11">
      <c r="G590" s="20">
        <v>1.0157816246606999</v>
      </c>
      <c r="H590" s="20">
        <v>1.0631051695209318E-2</v>
      </c>
      <c r="I590" s="2">
        <f ca="1"/>
        <v>583</v>
      </c>
      <c r="J590">
        <f ca="1"/>
        <v>1.0157816246606999</v>
      </c>
      <c r="K590">
        <f ca="1"/>
        <v>6.8385270594780515E-3</v>
      </c>
    </row>
    <row r="591" spans="7:11">
      <c r="G591" s="20">
        <v>1.0175269539126941</v>
      </c>
      <c r="H591" s="20">
        <v>1.0642971347433233E-2</v>
      </c>
      <c r="I591" s="2">
        <f ca="1"/>
        <v>584</v>
      </c>
      <c r="J591">
        <f ca="1"/>
        <v>1.0175269539126941</v>
      </c>
      <c r="K591">
        <f ca="1"/>
        <v>6.8175892385085417E-3</v>
      </c>
    </row>
    <row r="592" spans="7:11">
      <c r="G592" s="20">
        <v>1.0192722831646883</v>
      </c>
      <c r="H592" s="20">
        <v>1.0654849571061418E-2</v>
      </c>
      <c r="I592" s="2">
        <f ca="1"/>
        <v>585</v>
      </c>
      <c r="J592">
        <f ca="1"/>
        <v>1.0192722831646883</v>
      </c>
      <c r="K592">
        <f ca="1"/>
        <v>6.7973247161966562E-3</v>
      </c>
    </row>
    <row r="593" spans="7:11">
      <c r="G593" s="20">
        <v>1.0210176124166828</v>
      </c>
      <c r="H593" s="20">
        <v>1.0666698486758197E-2</v>
      </c>
      <c r="I593" s="2">
        <f ca="1"/>
        <v>586</v>
      </c>
      <c r="J593">
        <f ca="1"/>
        <v>1.0210176124166828</v>
      </c>
      <c r="K593">
        <f ca="1"/>
        <v>6.7784628960019608E-3</v>
      </c>
    </row>
    <row r="594" spans="7:11">
      <c r="G594" s="20">
        <v>1.0227629416686772</v>
      </c>
      <c r="H594" s="20">
        <v>1.067851087021332E-2</v>
      </c>
      <c r="I594" s="2">
        <f ca="1"/>
        <v>587</v>
      </c>
      <c r="J594">
        <f ca="1"/>
        <v>1.0227629416686772</v>
      </c>
      <c r="K594">
        <f ca="1"/>
        <v>6.7577072560104047E-3</v>
      </c>
    </row>
    <row r="595" spans="7:11">
      <c r="G595" s="20">
        <v>1.0245082709206714</v>
      </c>
      <c r="H595" s="20">
        <v>1.0690287335058855E-2</v>
      </c>
      <c r="I595" s="2">
        <f ca="1"/>
        <v>588</v>
      </c>
      <c r="J595">
        <f ca="1"/>
        <v>1.0245082709206714</v>
      </c>
      <c r="K595">
        <f ca="1"/>
        <v>6.7388136828721535E-3</v>
      </c>
    </row>
    <row r="596" spans="7:11">
      <c r="G596" s="20">
        <v>1.0262536001726656</v>
      </c>
      <c r="H596" s="20">
        <v>1.0702033767502232E-2</v>
      </c>
      <c r="I596" s="2">
        <f ca="1"/>
        <v>589</v>
      </c>
      <c r="J596">
        <f ca="1"/>
        <v>1.0262536001726656</v>
      </c>
      <c r="K596">
        <f ca="1"/>
        <v>6.7202414012744426E-3</v>
      </c>
    </row>
    <row r="597" spans="7:11">
      <c r="G597" s="20">
        <v>1.0279989294246601</v>
      </c>
      <c r="H597" s="20">
        <v>1.0713745402855071E-2</v>
      </c>
      <c r="I597" s="2">
        <f ca="1"/>
        <v>590</v>
      </c>
      <c r="J597">
        <f ca="1"/>
        <v>1.0279989294246601</v>
      </c>
      <c r="K597">
        <f ca="1"/>
        <v>6.700851984857651E-3</v>
      </c>
    </row>
    <row r="598" spans="7:11">
      <c r="G598" s="20">
        <v>1.0297442586766543</v>
      </c>
      <c r="H598" s="20">
        <v>1.0725424153467144E-2</v>
      </c>
      <c r="I598" s="2">
        <f ca="1"/>
        <v>591</v>
      </c>
      <c r="J598">
        <f ca="1"/>
        <v>1.0297442586766543</v>
      </c>
      <c r="K598">
        <f ca="1"/>
        <v>6.6845379293335415E-3</v>
      </c>
    </row>
    <row r="599" spans="7:11">
      <c r="G599" s="20">
        <v>1.0314895879286488</v>
      </c>
      <c r="H599" s="20">
        <v>1.0737078842023334E-2</v>
      </c>
      <c r="I599" s="2">
        <f ca="1"/>
        <v>592</v>
      </c>
      <c r="J599">
        <f ca="1"/>
        <v>1.0314895879286488</v>
      </c>
      <c r="K599">
        <f ca="1"/>
        <v>6.6681524235291285E-3</v>
      </c>
    </row>
    <row r="600" spans="7:11">
      <c r="G600" s="20">
        <v>1.033234917180643</v>
      </c>
      <c r="H600" s="20">
        <v>1.0748700396430229E-2</v>
      </c>
      <c r="I600" s="2">
        <f ca="1"/>
        <v>593</v>
      </c>
      <c r="J600">
        <f ca="1"/>
        <v>1.033234917180643</v>
      </c>
      <c r="K600">
        <f ca="1"/>
        <v>6.6465219287775877E-3</v>
      </c>
    </row>
    <row r="601" spans="7:11">
      <c r="G601" s="20">
        <v>1.0349802464326374</v>
      </c>
      <c r="H601" s="20">
        <v>1.0760279580315968E-2</v>
      </c>
      <c r="I601" s="2">
        <f ca="1"/>
        <v>594</v>
      </c>
      <c r="J601">
        <f ca="1"/>
        <v>1.0349802464326374</v>
      </c>
      <c r="K601">
        <f ca="1"/>
        <v>6.6257816720169671E-3</v>
      </c>
    </row>
    <row r="602" spans="7:11">
      <c r="G602" s="20">
        <v>1.0367255756846319</v>
      </c>
      <c r="H602" s="20">
        <v>1.0771828737569229E-2</v>
      </c>
      <c r="I602" s="2">
        <f ca="1"/>
        <v>595</v>
      </c>
      <c r="J602">
        <f ca="1"/>
        <v>1.0367255756846319</v>
      </c>
      <c r="K602">
        <f ca="1"/>
        <v>6.6064660744255587E-3</v>
      </c>
    </row>
    <row r="603" spans="7:11">
      <c r="G603" s="20">
        <v>1.0384709049366261</v>
      </c>
      <c r="H603" s="20">
        <v>1.0783340497299974E-2</v>
      </c>
      <c r="I603" s="2">
        <f ca="1"/>
        <v>596</v>
      </c>
      <c r="J603">
        <f ca="1"/>
        <v>1.0384709049366261</v>
      </c>
      <c r="K603">
        <f ca="1"/>
        <v>6.5852423833958817E-3</v>
      </c>
    </row>
    <row r="604" spans="7:11">
      <c r="G604" s="20">
        <v>1.0402162341886205</v>
      </c>
      <c r="H604" s="20">
        <v>1.0794815569895656E-2</v>
      </c>
      <c r="I604" s="2">
        <f ca="1"/>
        <v>597</v>
      </c>
      <c r="J604">
        <f ca="1"/>
        <v>1.0402162341886205</v>
      </c>
      <c r="K604">
        <f ca="1"/>
        <v>6.5658700966623983E-3</v>
      </c>
    </row>
    <row r="605" spans="7:11">
      <c r="G605" s="20">
        <v>1.0419615634406147</v>
      </c>
      <c r="H605" s="20">
        <v>1.0806259707588974E-2</v>
      </c>
      <c r="I605" s="2">
        <f ca="1"/>
        <v>598</v>
      </c>
      <c r="J605">
        <f ca="1"/>
        <v>1.0419615634406147</v>
      </c>
      <c r="K605">
        <f ca="1"/>
        <v>6.5468051429769403E-3</v>
      </c>
    </row>
    <row r="606" spans="7:11">
      <c r="G606" s="20">
        <v>1.0437068926926092</v>
      </c>
      <c r="H606" s="20">
        <v>1.0817668230941945E-2</v>
      </c>
      <c r="I606" s="2">
        <f ca="1"/>
        <v>599</v>
      </c>
      <c r="J606">
        <f ca="1"/>
        <v>1.0437068926926092</v>
      </c>
      <c r="K606">
        <f ca="1"/>
        <v>6.529490596410178E-3</v>
      </c>
    </row>
    <row r="607" spans="7:11">
      <c r="G607" s="20">
        <v>1.0454522219446036</v>
      </c>
      <c r="H607" s="20">
        <v>1.0829051929466049E-2</v>
      </c>
      <c r="I607" s="2">
        <f ca="1"/>
        <v>600</v>
      </c>
      <c r="J607">
        <f ca="1"/>
        <v>1.0454522219446036</v>
      </c>
      <c r="K607">
        <f ca="1"/>
        <v>6.5128495930699155E-3</v>
      </c>
    </row>
    <row r="608" spans="7:11">
      <c r="G608" s="20">
        <v>1.0471975511965976</v>
      </c>
      <c r="H608" s="20">
        <v>1.0840402364759192E-2</v>
      </c>
      <c r="I608" s="2">
        <f ca="1"/>
        <v>601</v>
      </c>
      <c r="J608">
        <f ca="1"/>
        <v>1.0471975511965976</v>
      </c>
      <c r="K608">
        <f ca="1"/>
        <v>6.4909712694184918E-3</v>
      </c>
    </row>
    <row r="609" spans="7:11">
      <c r="G609" s="20">
        <v>1.0489428804485919</v>
      </c>
      <c r="H609" s="20">
        <v>1.0851709693526787E-2</v>
      </c>
      <c r="I609" s="2">
        <f ca="1"/>
        <v>602</v>
      </c>
      <c r="J609">
        <f ca="1"/>
        <v>1.0489428804485919</v>
      </c>
      <c r="K609">
        <f ca="1"/>
        <v>6.4697806608693632E-3</v>
      </c>
    </row>
    <row r="610" spans="7:11">
      <c r="G610" s="20">
        <v>1.0506882097005863</v>
      </c>
      <c r="H610" s="20">
        <v>1.0862986159641997E-2</v>
      </c>
      <c r="I610" s="2">
        <f ca="1"/>
        <v>603</v>
      </c>
      <c r="J610">
        <f ca="1"/>
        <v>1.0506882097005863</v>
      </c>
      <c r="K610">
        <f ca="1"/>
        <v>6.4500106687128004E-3</v>
      </c>
    </row>
    <row r="611" spans="7:11">
      <c r="G611" s="20">
        <v>1.0524335389525807</v>
      </c>
      <c r="H611" s="20">
        <v>1.0874224478118349E-2</v>
      </c>
      <c r="I611" s="2">
        <f ca="1"/>
        <v>604</v>
      </c>
      <c r="J611">
        <f ca="1"/>
        <v>1.0524335389525807</v>
      </c>
      <c r="K611">
        <f ca="1"/>
        <v>6.4283338749019916E-3</v>
      </c>
    </row>
    <row r="612" spans="7:11">
      <c r="G612" s="20">
        <v>1.054178868204575</v>
      </c>
      <c r="H612" s="20">
        <v>1.0885425277948902E-2</v>
      </c>
      <c r="I612" s="2">
        <f ca="1"/>
        <v>605</v>
      </c>
      <c r="J612">
        <f ca="1"/>
        <v>1.054178868204575</v>
      </c>
      <c r="K612">
        <f ca="1"/>
        <v>6.4085410147157133E-3</v>
      </c>
    </row>
    <row r="613" spans="7:11">
      <c r="G613" s="20">
        <v>1.0559241974565694</v>
      </c>
      <c r="H613" s="20">
        <v>1.0896594506309526E-2</v>
      </c>
      <c r="I613" s="2">
        <f ca="1"/>
        <v>606</v>
      </c>
      <c r="J613">
        <f ca="1"/>
        <v>1.0559241974565694</v>
      </c>
      <c r="K613">
        <f ca="1"/>
        <v>6.3890771081402771E-3</v>
      </c>
    </row>
    <row r="614" spans="7:11">
      <c r="G614" s="20">
        <v>1.0576695267085634</v>
      </c>
      <c r="H614" s="20">
        <v>1.090772736428907E-2</v>
      </c>
      <c r="I614" s="2">
        <f ca="1"/>
        <v>607</v>
      </c>
      <c r="J614">
        <f ca="1"/>
        <v>1.0576695267085634</v>
      </c>
      <c r="K614">
        <f ca="1"/>
        <v>6.3713513966437716E-3</v>
      </c>
    </row>
    <row r="615" spans="7:11">
      <c r="G615" s="20">
        <v>1.0594148559605581</v>
      </c>
      <c r="H615" s="20">
        <v>1.0918834718244121E-2</v>
      </c>
      <c r="I615" s="2">
        <f ca="1"/>
        <v>608</v>
      </c>
      <c r="J615">
        <f ca="1"/>
        <v>1.0594148559605581</v>
      </c>
      <c r="K615">
        <f ca="1"/>
        <v>6.3543158508642074E-3</v>
      </c>
    </row>
    <row r="616" spans="7:11">
      <c r="G616" s="20">
        <v>1.0611601852125523</v>
      </c>
      <c r="H616" s="20">
        <v>1.0929908110950921E-2</v>
      </c>
      <c r="I616" s="2">
        <f ca="1"/>
        <v>609</v>
      </c>
      <c r="J616">
        <f ca="1"/>
        <v>1.0611601852125523</v>
      </c>
      <c r="K616">
        <f ca="1"/>
        <v>6.3320244549718756E-3</v>
      </c>
    </row>
    <row r="617" spans="7:11">
      <c r="G617" s="20">
        <v>1.0629055144645465</v>
      </c>
      <c r="H617" s="20">
        <v>1.0940937653255331E-2</v>
      </c>
      <c r="I617" s="2">
        <f ca="1"/>
        <v>610</v>
      </c>
      <c r="J617">
        <f ca="1"/>
        <v>1.0629055144645465</v>
      </c>
      <c r="K617">
        <f ca="1"/>
        <v>6.3104221168505401E-3</v>
      </c>
    </row>
    <row r="618" spans="7:11">
      <c r="G618" s="20">
        <v>1.064650843716541</v>
      </c>
      <c r="H618" s="20">
        <v>1.0951935639576863E-2</v>
      </c>
      <c r="I618" s="2">
        <f ca="1"/>
        <v>611</v>
      </c>
      <c r="J618">
        <f ca="1"/>
        <v>1.064650843716541</v>
      </c>
      <c r="K618">
        <f ca="1"/>
        <v>6.2902484166590727E-3</v>
      </c>
    </row>
    <row r="619" spans="7:11">
      <c r="G619" s="20">
        <v>1.0663961729685352</v>
      </c>
      <c r="H619" s="20">
        <v>1.0962894762383144E-2</v>
      </c>
      <c r="I619" s="2">
        <f ca="1"/>
        <v>612</v>
      </c>
      <c r="J619">
        <f ca="1"/>
        <v>1.0663961729685352</v>
      </c>
      <c r="K619">
        <f ca="1"/>
        <v>6.2681624784852313E-3</v>
      </c>
    </row>
    <row r="620" spans="7:11">
      <c r="G620" s="20">
        <v>1.0681415022205296</v>
      </c>
      <c r="H620" s="20">
        <v>1.097381565423677E-2</v>
      </c>
      <c r="I620" s="2">
        <f ca="1"/>
        <v>613</v>
      </c>
      <c r="J620">
        <f ca="1"/>
        <v>1.0681415022205296</v>
      </c>
      <c r="K620">
        <f ca="1"/>
        <v>6.250548612199959E-3</v>
      </c>
    </row>
    <row r="621" spans="7:11">
      <c r="G621" s="20">
        <v>1.0698868314725241</v>
      </c>
      <c r="H621" s="20">
        <v>1.0984713293050915E-2</v>
      </c>
      <c r="I621" s="2">
        <f ca="1"/>
        <v>614</v>
      </c>
      <c r="J621">
        <f ca="1"/>
        <v>1.0698868314725241</v>
      </c>
      <c r="K621">
        <f ca="1"/>
        <v>6.2346618828620906E-3</v>
      </c>
    </row>
    <row r="622" spans="7:11">
      <c r="G622" s="20">
        <v>1.0716321607245183</v>
      </c>
      <c r="H622" s="20">
        <v>1.0995578729757677E-2</v>
      </c>
      <c r="I622" s="2">
        <f ca="1"/>
        <v>615</v>
      </c>
      <c r="J622">
        <f ca="1"/>
        <v>1.0716321607245183</v>
      </c>
      <c r="K622">
        <f ca="1"/>
        <v>6.2163590917616385E-3</v>
      </c>
    </row>
    <row r="623" spans="7:11">
      <c r="G623" s="20">
        <v>1.0733774899765127</v>
      </c>
      <c r="H623" s="20">
        <v>1.100641247977842E-2</v>
      </c>
      <c r="I623" s="2">
        <f ca="1"/>
        <v>616</v>
      </c>
      <c r="J623">
        <f ca="1"/>
        <v>1.0733774899765127</v>
      </c>
      <c r="K623">
        <f ca="1"/>
        <v>6.1947672635442172E-3</v>
      </c>
    </row>
    <row r="624" spans="7:11">
      <c r="G624" s="20">
        <v>1.0751228192285072</v>
      </c>
      <c r="H624" s="20">
        <v>1.1017202546786399E-2</v>
      </c>
      <c r="I624" s="2">
        <f ca="1"/>
        <v>617</v>
      </c>
      <c r="J624">
        <f ca="1"/>
        <v>1.0751228192285072</v>
      </c>
      <c r="K624">
        <f ca="1"/>
        <v>6.168591690573203E-3</v>
      </c>
    </row>
    <row r="625" spans="7:11">
      <c r="G625" s="20">
        <v>1.0768681484805014</v>
      </c>
      <c r="H625" s="20">
        <v>1.1027944926820753E-2</v>
      </c>
      <c r="I625" s="2">
        <f ca="1"/>
        <v>618</v>
      </c>
      <c r="J625">
        <f ca="1"/>
        <v>1.0768681484805014</v>
      </c>
      <c r="K625">
        <f ca="1"/>
        <v>6.1475478743508718E-3</v>
      </c>
    </row>
    <row r="626" spans="7:11">
      <c r="G626" s="20">
        <v>1.0786134777324956</v>
      </c>
      <c r="H626" s="20">
        <v>1.1038661537052678E-2</v>
      </c>
      <c r="I626" s="2">
        <f ca="1"/>
        <v>619</v>
      </c>
      <c r="J626">
        <f ca="1"/>
        <v>1.0786134777324956</v>
      </c>
      <c r="K626">
        <f ca="1"/>
        <v>6.1309319795554177E-3</v>
      </c>
    </row>
    <row r="627" spans="7:11">
      <c r="G627" s="20">
        <v>1.08035880698449</v>
      </c>
      <c r="H627" s="20">
        <v>1.1049345916672565E-2</v>
      </c>
      <c r="I627" s="2">
        <f ca="1"/>
        <v>620</v>
      </c>
      <c r="J627">
        <f ca="1"/>
        <v>1.08035880698449</v>
      </c>
      <c r="K627">
        <f ca="1"/>
        <v>6.108084779926728E-3</v>
      </c>
    </row>
    <row r="628" spans="7:11">
      <c r="G628" s="20">
        <v>1.0821041362364843</v>
      </c>
      <c r="H628" s="20">
        <v>1.1059982775132813E-2</v>
      </c>
      <c r="I628" s="2">
        <f ca="1"/>
        <v>621</v>
      </c>
      <c r="J628">
        <f ca="1"/>
        <v>1.0821041362364843</v>
      </c>
      <c r="K628">
        <f ca="1"/>
        <v>6.0836551330436181E-3</v>
      </c>
    </row>
    <row r="629" spans="7:11">
      <c r="G629" s="20">
        <v>1.0838494654884787</v>
      </c>
      <c r="H629" s="20">
        <v>1.1070581879198058E-2</v>
      </c>
      <c r="I629" s="2">
        <f ca="1"/>
        <v>622</v>
      </c>
      <c r="J629">
        <f ca="1"/>
        <v>1.0838494654884787</v>
      </c>
      <c r="K629">
        <f ca="1"/>
        <v>6.0636860288344483E-3</v>
      </c>
    </row>
    <row r="630" spans="7:11">
      <c r="G630" s="20">
        <v>1.0855947947404729</v>
      </c>
      <c r="H630" s="20">
        <v>1.1081149032334882E-2</v>
      </c>
      <c r="I630" s="2">
        <f ca="1"/>
        <v>623</v>
      </c>
      <c r="J630">
        <f ca="1"/>
        <v>1.0855947947404729</v>
      </c>
      <c r="K630">
        <f ca="1"/>
        <v>6.0433842253307564E-3</v>
      </c>
    </row>
    <row r="631" spans="7:11">
      <c r="G631" s="20">
        <v>1.0873401239924674</v>
      </c>
      <c r="H631" s="20">
        <v>1.1091677269737079E-2</v>
      </c>
      <c r="I631" s="2">
        <f ca="1"/>
        <v>624</v>
      </c>
      <c r="J631">
        <f ca="1"/>
        <v>1.0873401239924674</v>
      </c>
      <c r="K631">
        <f ca="1"/>
        <v>6.0246517838174647E-3</v>
      </c>
    </row>
    <row r="632" spans="7:11">
      <c r="G632" s="20">
        <v>1.0890854532444618</v>
      </c>
      <c r="H632" s="20">
        <v>1.1102179034317636E-2</v>
      </c>
      <c r="I632" s="2">
        <f ca="1"/>
        <v>625</v>
      </c>
      <c r="J632">
        <f ca="1"/>
        <v>1.0890854532444618</v>
      </c>
      <c r="K632">
        <f ca="1"/>
        <v>6.0069141885622252E-3</v>
      </c>
    </row>
    <row r="633" spans="7:11">
      <c r="G633" s="20">
        <v>1.0908307824964558</v>
      </c>
      <c r="H633" s="20">
        <v>1.1112645355832113E-2</v>
      </c>
      <c r="I633" s="2">
        <f ca="1"/>
        <v>626</v>
      </c>
      <c r="J633">
        <f ca="1"/>
        <v>1.0908307824964558</v>
      </c>
      <c r="K633">
        <f ca="1"/>
        <v>5.9838149432701274E-3</v>
      </c>
    </row>
    <row r="634" spans="7:11">
      <c r="G634" s="20">
        <v>1.09257611174845</v>
      </c>
      <c r="H634" s="20">
        <v>1.1123066488835653E-2</v>
      </c>
      <c r="I634" s="2">
        <f ca="1"/>
        <v>627</v>
      </c>
      <c r="J634">
        <f ca="1"/>
        <v>1.09257611174845</v>
      </c>
      <c r="K634">
        <f ca="1"/>
        <v>5.9614308836037607E-3</v>
      </c>
    </row>
    <row r="635" spans="7:11">
      <c r="G635" s="20">
        <v>1.0943214410004445</v>
      </c>
      <c r="H635" s="20">
        <v>1.1133454675241905E-2</v>
      </c>
      <c r="I635" s="2">
        <f ca="1"/>
        <v>628</v>
      </c>
      <c r="J635">
        <f ca="1"/>
        <v>1.0943214410004445</v>
      </c>
      <c r="K635">
        <f ca="1"/>
        <v>5.9404306367869314E-3</v>
      </c>
    </row>
    <row r="636" spans="7:11">
      <c r="G636" s="20">
        <v>1.0960667702524389</v>
      </c>
      <c r="H636" s="20">
        <v>1.114380250355531E-2</v>
      </c>
      <c r="I636" s="2">
        <f ca="1"/>
        <v>629</v>
      </c>
      <c r="J636">
        <f ca="1"/>
        <v>1.0960667702524389</v>
      </c>
      <c r="K636">
        <f ca="1"/>
        <v>5.9175105079745582E-3</v>
      </c>
    </row>
    <row r="637" spans="7:11">
      <c r="G637" s="20">
        <v>1.0978120995044331</v>
      </c>
      <c r="H637" s="20">
        <v>1.1154110683619009E-2</v>
      </c>
      <c r="I637" s="2">
        <f ca="1"/>
        <v>630</v>
      </c>
      <c r="J637">
        <f ca="1"/>
        <v>1.0978120995044331</v>
      </c>
      <c r="K637">
        <f ca="1"/>
        <v>5.8965238585422346E-3</v>
      </c>
    </row>
    <row r="638" spans="7:11">
      <c r="G638" s="20">
        <v>1.0995574287564276</v>
      </c>
      <c r="H638" s="20">
        <v>1.1164385254706102E-2</v>
      </c>
      <c r="I638" s="2">
        <f ca="1"/>
        <v>631</v>
      </c>
      <c r="J638">
        <f ca="1"/>
        <v>1.0995574287564276</v>
      </c>
      <c r="K638">
        <f ca="1"/>
        <v>5.8758731649460431E-3</v>
      </c>
    </row>
    <row r="639" spans="7:11">
      <c r="G639" s="20">
        <v>1.1013027580084218</v>
      </c>
      <c r="H639" s="20">
        <v>1.1174621350250586E-2</v>
      </c>
      <c r="I639" s="2">
        <f ca="1"/>
        <v>632</v>
      </c>
      <c r="J639">
        <f ca="1"/>
        <v>1.1013027580084218</v>
      </c>
      <c r="K639">
        <f ca="1"/>
        <v>5.8569835705689563E-3</v>
      </c>
    </row>
    <row r="640" spans="7:11">
      <c r="G640" s="20">
        <v>1.1030480872604163</v>
      </c>
      <c r="H640" s="20">
        <v>1.1184829984214431E-2</v>
      </c>
      <c r="I640" s="2">
        <f ca="1"/>
        <v>633</v>
      </c>
      <c r="J640">
        <f ca="1"/>
        <v>1.1030480872604163</v>
      </c>
      <c r="K640">
        <f ca="1"/>
        <v>5.838801407829811E-3</v>
      </c>
    </row>
    <row r="641" spans="7:11">
      <c r="G641" s="20">
        <v>1.1047934165124107</v>
      </c>
      <c r="H641" s="20">
        <v>1.119500261203793E-2</v>
      </c>
      <c r="I641" s="2">
        <f ca="1"/>
        <v>634</v>
      </c>
      <c r="J641">
        <f ca="1"/>
        <v>1.1047934165124107</v>
      </c>
      <c r="K641">
        <f ca="1"/>
        <v>5.815309906572072E-3</v>
      </c>
    </row>
    <row r="642" spans="7:11">
      <c r="G642" s="20">
        <v>1.1065387457644049</v>
      </c>
      <c r="H642" s="20">
        <v>1.1205129245193136E-2</v>
      </c>
      <c r="I642" s="2">
        <f ca="1"/>
        <v>635</v>
      </c>
      <c r="J642">
        <f ca="1"/>
        <v>1.1065387457644049</v>
      </c>
      <c r="K642">
        <f ca="1"/>
        <v>5.7925211408970797E-3</v>
      </c>
    </row>
    <row r="643" spans="7:11">
      <c r="G643" s="20">
        <v>1.1082840750163994</v>
      </c>
      <c r="H643" s="20">
        <v>1.1215222325217936E-2</v>
      </c>
      <c r="I643" s="2">
        <f ca="1"/>
        <v>636</v>
      </c>
      <c r="J643">
        <f ca="1"/>
        <v>1.1082840750163994</v>
      </c>
      <c r="K643">
        <f ca="1"/>
        <v>5.7711830998734533E-3</v>
      </c>
    </row>
    <row r="644" spans="7:11">
      <c r="G644" s="20">
        <v>1.1100294042683936</v>
      </c>
      <c r="H644" s="20">
        <v>1.1225274474558785E-2</v>
      </c>
      <c r="I644" s="2">
        <f ca="1"/>
        <v>637</v>
      </c>
      <c r="J644">
        <f ca="1"/>
        <v>1.1100294042683936</v>
      </c>
      <c r="K644">
        <f ca="1"/>
        <v>5.7479181106122098E-3</v>
      </c>
    </row>
    <row r="645" spans="7:11">
      <c r="G645" s="20">
        <v>1.111774733520388</v>
      </c>
      <c r="H645" s="20">
        <v>1.1235286344450975E-2</v>
      </c>
      <c r="I645" s="2">
        <f ca="1"/>
        <v>638</v>
      </c>
      <c r="J645">
        <f ca="1"/>
        <v>1.111774733520388</v>
      </c>
      <c r="K645">
        <f ca="1"/>
        <v>5.7265740407144959E-3</v>
      </c>
    </row>
    <row r="646" spans="7:11">
      <c r="G646" s="20">
        <v>1.1135200627723822</v>
      </c>
      <c r="H646" s="20">
        <v>1.1245263988932726E-2</v>
      </c>
      <c r="I646" s="2">
        <f ca="1"/>
        <v>639</v>
      </c>
      <c r="J646">
        <f ca="1"/>
        <v>1.1135200627723822</v>
      </c>
      <c r="K646">
        <f ca="1"/>
        <v>5.7055727319102051E-3</v>
      </c>
    </row>
    <row r="647" spans="7:11">
      <c r="G647" s="20">
        <v>1.1152653920243765</v>
      </c>
      <c r="H647" s="20">
        <v>1.1255202550427742E-2</v>
      </c>
      <c r="I647" s="2">
        <f ca="1"/>
        <v>640</v>
      </c>
      <c r="J647">
        <f ca="1"/>
        <v>1.1152653920243765</v>
      </c>
      <c r="K647">
        <f ca="1"/>
        <v>5.6863424380419435E-3</v>
      </c>
    </row>
    <row r="648" spans="7:11">
      <c r="G648" s="20">
        <v>1.1170107212763709</v>
      </c>
      <c r="H648" s="20">
        <v>1.1265113068520669E-2</v>
      </c>
      <c r="I648" s="2">
        <f ca="1"/>
        <v>641</v>
      </c>
      <c r="J648">
        <f ca="1"/>
        <v>1.1170107212763709</v>
      </c>
      <c r="K648">
        <f ca="1"/>
        <v>5.6678209660795233E-3</v>
      </c>
    </row>
    <row r="649" spans="7:11">
      <c r="G649" s="20">
        <v>1.1187560505283651</v>
      </c>
      <c r="H649" s="20">
        <v>1.1274986977882073E-2</v>
      </c>
      <c r="I649" s="2">
        <f ca="1"/>
        <v>642</v>
      </c>
      <c r="J649">
        <f ca="1"/>
        <v>1.1187560505283651</v>
      </c>
      <c r="K649">
        <f ca="1"/>
        <v>5.6439756455937259E-3</v>
      </c>
    </row>
    <row r="650" spans="7:11">
      <c r="G650" s="20">
        <v>1.1205013797803596</v>
      </c>
      <c r="H650" s="20">
        <v>1.1284814260104265E-2</v>
      </c>
      <c r="I650" s="2">
        <f ca="1"/>
        <v>643</v>
      </c>
      <c r="J650">
        <f ca="1"/>
        <v>1.1205013797803596</v>
      </c>
      <c r="K650">
        <f ca="1"/>
        <v>5.6209423436742569E-3</v>
      </c>
    </row>
    <row r="651" spans="7:11">
      <c r="G651" s="20">
        <v>1.1222467090323538</v>
      </c>
      <c r="H651" s="20">
        <v>1.1294607768074449E-2</v>
      </c>
      <c r="I651" s="2">
        <f ca="1"/>
        <v>644</v>
      </c>
      <c r="J651">
        <f ca="1"/>
        <v>1.1222467090323538</v>
      </c>
      <c r="K651">
        <f ca="1"/>
        <v>5.6015370286272275E-3</v>
      </c>
    </row>
    <row r="652" spans="7:11">
      <c r="G652" s="20">
        <v>1.1239920382843482</v>
      </c>
      <c r="H652" s="20">
        <v>1.130436731296865E-2</v>
      </c>
      <c r="I652" s="2">
        <f ca="1"/>
        <v>645</v>
      </c>
      <c r="J652">
        <f ca="1"/>
        <v>1.1239920382843482</v>
      </c>
      <c r="K652">
        <f ca="1"/>
        <v>5.5783352580094803E-3</v>
      </c>
    </row>
    <row r="653" spans="7:11">
      <c r="G653" s="20">
        <v>1.1257373675363425</v>
      </c>
      <c r="H653" s="20">
        <v>1.131407983148092E-2</v>
      </c>
      <c r="I653" s="2">
        <f ca="1"/>
        <v>646</v>
      </c>
      <c r="J653">
        <f ca="1"/>
        <v>1.1257373675363425</v>
      </c>
      <c r="K653">
        <f ca="1"/>
        <v>5.5534206240875905E-3</v>
      </c>
    </row>
    <row r="654" spans="7:11">
      <c r="G654" s="20">
        <v>1.1274826967883367</v>
      </c>
      <c r="H654" s="20">
        <v>1.1323752407896346E-2</v>
      </c>
      <c r="I654" s="2">
        <f ca="1"/>
        <v>647</v>
      </c>
      <c r="J654">
        <f ca="1"/>
        <v>1.1274826967883367</v>
      </c>
      <c r="K654">
        <f ca="1"/>
        <v>5.5321566398924618E-3</v>
      </c>
    </row>
    <row r="655" spans="7:11">
      <c r="G655" s="20">
        <v>1.1292280260403311</v>
      </c>
      <c r="H655" s="20">
        <v>1.1333390701101358E-2</v>
      </c>
      <c r="I655" s="2">
        <f ca="1"/>
        <v>648</v>
      </c>
      <c r="J655">
        <f ca="1"/>
        <v>1.1292280260403311</v>
      </c>
      <c r="K655">
        <f ca="1"/>
        <v>5.5107478346955955E-3</v>
      </c>
    </row>
    <row r="656" spans="7:11">
      <c r="G656" s="20">
        <v>1.1309733552923258</v>
      </c>
      <c r="H656" s="20">
        <v>1.1342988546688866E-2</v>
      </c>
      <c r="I656" s="2">
        <f ca="1"/>
        <v>649</v>
      </c>
      <c r="J656">
        <f ca="1"/>
        <v>1.1309733552923258</v>
      </c>
      <c r="K656">
        <f ca="1"/>
        <v>5.4910253923461409E-3</v>
      </c>
    </row>
    <row r="657" spans="7:11">
      <c r="G657" s="20">
        <v>1.13271868454432</v>
      </c>
      <c r="H657" s="20">
        <v>1.135255799558277E-2</v>
      </c>
      <c r="I657" s="2">
        <f ca="1"/>
        <v>650</v>
      </c>
      <c r="J657">
        <f ca="1"/>
        <v>1.13271868454432</v>
      </c>
      <c r="K657">
        <f ca="1"/>
        <v>5.472199430246372E-3</v>
      </c>
    </row>
    <row r="658" spans="7:11">
      <c r="G658" s="20">
        <v>1.1344640137963142</v>
      </c>
      <c r="H658" s="20">
        <v>1.1362090126165576E-2</v>
      </c>
      <c r="I658" s="2">
        <f ca="1"/>
        <v>651</v>
      </c>
      <c r="J658">
        <f ca="1"/>
        <v>1.1344640137963142</v>
      </c>
      <c r="K658">
        <f ca="1"/>
        <v>5.447985516265505E-3</v>
      </c>
    </row>
    <row r="659" spans="7:11">
      <c r="G659" s="20">
        <v>1.1362093430483085</v>
      </c>
      <c r="H659" s="20">
        <v>1.1371575052554728E-2</v>
      </c>
      <c r="I659" s="2">
        <f ca="1"/>
        <v>652</v>
      </c>
      <c r="J659">
        <f ca="1"/>
        <v>1.1362093430483085</v>
      </c>
      <c r="K659">
        <f ca="1"/>
        <v>5.4244997369390681E-3</v>
      </c>
    </row>
    <row r="660" spans="7:11">
      <c r="G660" s="20">
        <v>1.1379546723003027</v>
      </c>
      <c r="H660" s="20">
        <v>1.1381025202302206E-2</v>
      </c>
      <c r="I660" s="2">
        <f ca="1"/>
        <v>653</v>
      </c>
      <c r="J660">
        <f ca="1"/>
        <v>1.1379546723003027</v>
      </c>
      <c r="K660">
        <f ca="1"/>
        <v>5.4064551927239437E-3</v>
      </c>
    </row>
    <row r="661" spans="7:11">
      <c r="G661" s="20">
        <v>1.1397000015522971</v>
      </c>
      <c r="H661" s="20">
        <v>1.1390447141349644E-2</v>
      </c>
      <c r="I661" s="2">
        <f ca="1"/>
        <v>654</v>
      </c>
      <c r="J661">
        <f ca="1"/>
        <v>1.1397000015522971</v>
      </c>
      <c r="K661">
        <f ca="1"/>
        <v>5.3854437466130459E-3</v>
      </c>
    </row>
    <row r="662" spans="7:11">
      <c r="G662" s="20">
        <v>1.1414453308042916</v>
      </c>
      <c r="H662" s="20">
        <v>1.1399823947314074E-2</v>
      </c>
      <c r="I662" s="2">
        <f ca="1"/>
        <v>655</v>
      </c>
      <c r="J662">
        <f ca="1"/>
        <v>1.1414453308042916</v>
      </c>
      <c r="K662">
        <f ca="1"/>
        <v>5.3587437814383351E-3</v>
      </c>
    </row>
    <row r="663" spans="7:11">
      <c r="G663" s="20">
        <v>1.143190660056286</v>
      </c>
      <c r="H663" s="20">
        <v>1.1409152685901019E-2</v>
      </c>
      <c r="I663" s="2">
        <f ca="1"/>
        <v>656</v>
      </c>
      <c r="J663">
        <f ca="1"/>
        <v>1.143190660056286</v>
      </c>
      <c r="K663">
        <f ca="1"/>
        <v>5.3353578224059114E-3</v>
      </c>
    </row>
    <row r="664" spans="7:11">
      <c r="G664" s="20">
        <v>1.14493598930828</v>
      </c>
      <c r="H664" s="20">
        <v>1.1418447859468677E-2</v>
      </c>
      <c r="I664" s="2">
        <f ca="1"/>
        <v>657</v>
      </c>
      <c r="J664">
        <f ca="1"/>
        <v>1.14493598930828</v>
      </c>
      <c r="K664">
        <f ca="1"/>
        <v>5.3173070999489105E-3</v>
      </c>
    </row>
    <row r="665" spans="7:11">
      <c r="G665" s="20">
        <v>1.1466813185602747</v>
      </c>
      <c r="H665" s="20">
        <v>1.1427713589147775E-2</v>
      </c>
      <c r="I665" s="2">
        <f ca="1"/>
        <v>658</v>
      </c>
      <c r="J665">
        <f ca="1"/>
        <v>1.1466813185602747</v>
      </c>
      <c r="K665">
        <f ca="1"/>
        <v>5.2965252910677956E-3</v>
      </c>
    </row>
    <row r="666" spans="7:11">
      <c r="G666" s="20">
        <v>1.1484266478122689</v>
      </c>
      <c r="H666" s="20">
        <v>1.1436936220517535E-2</v>
      </c>
      <c r="I666" s="2">
        <f ca="1"/>
        <v>659</v>
      </c>
      <c r="J666">
        <f ca="1"/>
        <v>1.1484266478122689</v>
      </c>
      <c r="K666">
        <f ca="1"/>
        <v>5.2702810778986024E-3</v>
      </c>
    </row>
    <row r="667" spans="7:11">
      <c r="G667" s="20">
        <v>1.1501719770642633</v>
      </c>
      <c r="H667" s="20">
        <v>1.1446110340610752E-2</v>
      </c>
      <c r="I667" s="2">
        <f ca="1"/>
        <v>660</v>
      </c>
      <c r="J667">
        <f ca="1"/>
        <v>1.1501719770642633</v>
      </c>
      <c r="K667">
        <f ca="1"/>
        <v>5.2465734054836545E-3</v>
      </c>
    </row>
    <row r="668" spans="7:11">
      <c r="G668" s="20">
        <v>1.1519173063162575</v>
      </c>
      <c r="H668" s="20">
        <v>1.1455250216592187E-2</v>
      </c>
      <c r="I668" s="2">
        <f ca="1"/>
        <v>661</v>
      </c>
      <c r="J668">
        <f ca="1"/>
        <v>1.1519173063162575</v>
      </c>
      <c r="K668">
        <f ca="1"/>
        <v>5.2245663761255204E-3</v>
      </c>
    </row>
    <row r="669" spans="7:11">
      <c r="G669" s="20">
        <v>1.153662635568252</v>
      </c>
      <c r="H669" s="20">
        <v>1.1464347517661228E-2</v>
      </c>
      <c r="I669" s="2">
        <f ca="1"/>
        <v>662</v>
      </c>
      <c r="J669">
        <f ca="1"/>
        <v>1.153662635568252</v>
      </c>
      <c r="K669">
        <f ca="1"/>
        <v>5.2005521257088355E-3</v>
      </c>
    </row>
    <row r="670" spans="7:11">
      <c r="G670" s="20">
        <v>1.1554079648202462</v>
      </c>
      <c r="H670" s="20">
        <v>1.1473403568095229E-2</v>
      </c>
      <c r="I670" s="2">
        <f ca="1"/>
        <v>663</v>
      </c>
      <c r="J670">
        <f ca="1"/>
        <v>1.1554079648202462</v>
      </c>
      <c r="K670">
        <f ca="1"/>
        <v>5.1782409623998245E-3</v>
      </c>
    </row>
    <row r="671" spans="7:11">
      <c r="G671" s="20">
        <v>1.1571532940722404</v>
      </c>
      <c r="H671" s="20">
        <v>1.148242298851233E-2</v>
      </c>
      <c r="I671" s="2">
        <f ca="1"/>
        <v>664</v>
      </c>
      <c r="J671">
        <f ca="1"/>
        <v>1.1571532940722404</v>
      </c>
      <c r="K671">
        <f ca="1"/>
        <v>5.1561273337548605E-3</v>
      </c>
    </row>
    <row r="672" spans="7:11">
      <c r="G672" s="20">
        <v>1.1588986233242347</v>
      </c>
      <c r="H672" s="20">
        <v>1.1491401847820448E-2</v>
      </c>
      <c r="I672" s="2">
        <f ca="1"/>
        <v>665</v>
      </c>
      <c r="J672">
        <f ca="1"/>
        <v>1.1588986233242347</v>
      </c>
      <c r="K672">
        <f ca="1"/>
        <v>5.1359987951291675E-3</v>
      </c>
    </row>
    <row r="673" spans="7:11">
      <c r="G673" s="20">
        <v>1.1606439525762291</v>
      </c>
      <c r="H673" s="20">
        <v>1.1500351006383023E-2</v>
      </c>
      <c r="I673" s="2">
        <f ca="1"/>
        <v>666</v>
      </c>
      <c r="J673">
        <f ca="1"/>
        <v>1.1606439525762291</v>
      </c>
      <c r="K673">
        <f ca="1"/>
        <v>5.1164825885244535E-3</v>
      </c>
    </row>
    <row r="674" spans="7:11">
      <c r="G674" s="20">
        <v>1.1623892818282233</v>
      </c>
      <c r="H674" s="20">
        <v>1.150926174127859E-2</v>
      </c>
      <c r="I674" s="2">
        <f ca="1"/>
        <v>667</v>
      </c>
      <c r="J674">
        <f ca="1"/>
        <v>1.1623892818282233</v>
      </c>
      <c r="K674">
        <f ca="1"/>
        <v>5.0915973849624731E-3</v>
      </c>
    </row>
    <row r="675" spans="7:11">
      <c r="G675" s="20">
        <v>1.1641346110802178</v>
      </c>
      <c r="H675" s="20">
        <v>1.1518124034093729E-2</v>
      </c>
      <c r="I675" s="2">
        <f ca="1"/>
        <v>668</v>
      </c>
      <c r="J675">
        <f ca="1"/>
        <v>1.1641346110802178</v>
      </c>
      <c r="K675">
        <f ca="1"/>
        <v>5.0675747486172923E-3</v>
      </c>
    </row>
    <row r="676" spans="7:11">
      <c r="G676" s="20">
        <v>1.165879940332212</v>
      </c>
      <c r="H676" s="20">
        <v>1.152695091416945E-2</v>
      </c>
      <c r="I676" s="2">
        <f ca="1"/>
        <v>669</v>
      </c>
      <c r="J676">
        <f ca="1"/>
        <v>1.165879940332212</v>
      </c>
      <c r="K676">
        <f ca="1"/>
        <v>5.0472183602522699E-3</v>
      </c>
    </row>
    <row r="677" spans="7:11">
      <c r="G677" s="20">
        <v>1.1676252695842064</v>
      </c>
      <c r="H677" s="20">
        <v>1.1535742149784431E-2</v>
      </c>
      <c r="I677" s="2">
        <f ca="1"/>
        <v>670</v>
      </c>
      <c r="J677">
        <f ca="1"/>
        <v>1.1676252695842064</v>
      </c>
      <c r="K677">
        <f ca="1"/>
        <v>5.0230194831646403E-3</v>
      </c>
    </row>
    <row r="678" spans="7:11">
      <c r="G678" s="20">
        <v>1.1693705988362006</v>
      </c>
      <c r="H678" s="20">
        <v>1.1544484559844059E-2</v>
      </c>
      <c r="I678" s="2">
        <f ca="1"/>
        <v>671</v>
      </c>
      <c r="J678">
        <f ca="1"/>
        <v>1.1693705988362006</v>
      </c>
      <c r="K678">
        <f ca="1"/>
        <v>4.9970993699762316E-3</v>
      </c>
    </row>
    <row r="679" spans="7:11">
      <c r="G679" s="20">
        <v>1.1711159280881951</v>
      </c>
      <c r="H679" s="20">
        <v>1.1553185317195515E-2</v>
      </c>
      <c r="I679" s="2">
        <f ca="1"/>
        <v>672</v>
      </c>
      <c r="J679">
        <f ca="1"/>
        <v>1.1711159280881951</v>
      </c>
      <c r="K679">
        <f ca="1"/>
        <v>4.9748740865216464E-3</v>
      </c>
    </row>
    <row r="680" spans="7:11">
      <c r="G680" s="20">
        <v>1.1728612573401895</v>
      </c>
      <c r="H680" s="20">
        <v>1.156185014638045E-2</v>
      </c>
      <c r="I680" s="2">
        <f ca="1"/>
        <v>673</v>
      </c>
      <c r="J680">
        <f ca="1"/>
        <v>1.1728612573401895</v>
      </c>
      <c r="K680">
        <f ca="1"/>
        <v>4.9525078705490297E-3</v>
      </c>
    </row>
    <row r="681" spans="7:11">
      <c r="G681" s="20">
        <v>1.174606586592184</v>
      </c>
      <c r="H681" s="20">
        <v>1.1570472830909919E-2</v>
      </c>
      <c r="I681" s="2">
        <f ca="1"/>
        <v>674</v>
      </c>
      <c r="J681">
        <f ca="1"/>
        <v>1.174606586592184</v>
      </c>
      <c r="K681">
        <f ca="1"/>
        <v>4.9318461910419671E-3</v>
      </c>
    </row>
    <row r="682" spans="7:11">
      <c r="G682" s="20">
        <v>1.1763519158441782</v>
      </c>
      <c r="H682" s="20">
        <v>1.1579065537227574E-2</v>
      </c>
      <c r="I682" s="2">
        <f ca="1"/>
        <v>675</v>
      </c>
      <c r="J682">
        <f ca="1"/>
        <v>1.1763519158441782</v>
      </c>
      <c r="K682">
        <f ca="1"/>
        <v>4.9120952604994753E-3</v>
      </c>
    </row>
    <row r="683" spans="7:11">
      <c r="G683" s="20">
        <v>1.1780972450961724</v>
      </c>
      <c r="H683" s="20">
        <v>1.1587619278003383E-2</v>
      </c>
      <c r="I683" s="2">
        <f ca="1"/>
        <v>676</v>
      </c>
      <c r="J683">
        <f ca="1"/>
        <v>1.1780972450961724</v>
      </c>
      <c r="K683">
        <f ca="1"/>
        <v>4.8869165822564955E-3</v>
      </c>
    </row>
    <row r="684" spans="7:11">
      <c r="G684" s="20">
        <v>1.1798425743481666</v>
      </c>
      <c r="H684" s="20">
        <v>1.159612409415371E-2</v>
      </c>
      <c r="I684" s="2">
        <f ca="1"/>
        <v>677</v>
      </c>
      <c r="J684">
        <f ca="1"/>
        <v>1.1798425743481666</v>
      </c>
      <c r="K684">
        <f ca="1"/>
        <v>4.8624772658674414E-3</v>
      </c>
    </row>
    <row r="685" spans="7:11">
      <c r="G685" s="20">
        <v>1.1815879036001609</v>
      </c>
      <c r="H685" s="20">
        <v>1.1604592525621934E-2</v>
      </c>
      <c r="I685" s="2">
        <f ca="1"/>
        <v>678</v>
      </c>
      <c r="J685">
        <f ca="1"/>
        <v>1.1815879036001609</v>
      </c>
      <c r="K685">
        <f ca="1"/>
        <v>4.839478851972283E-3</v>
      </c>
    </row>
    <row r="686" spans="7:11">
      <c r="G686" s="20">
        <v>1.1833332328521553</v>
      </c>
      <c r="H686" s="20">
        <v>1.1613017062163221E-2</v>
      </c>
      <c r="I686" s="2">
        <f ca="1"/>
        <v>679</v>
      </c>
      <c r="J686">
        <f ca="1"/>
        <v>1.1833332328521553</v>
      </c>
      <c r="K686">
        <f ca="1"/>
        <v>4.8145365768212439E-3</v>
      </c>
    </row>
    <row r="687" spans="7:11">
      <c r="G687" s="20">
        <v>1.18507856210415</v>
      </c>
      <c r="H687" s="20">
        <v>1.1621398428666581E-2</v>
      </c>
      <c r="I687" s="2">
        <f ca="1"/>
        <v>680</v>
      </c>
      <c r="J687">
        <f ca="1"/>
        <v>1.18507856210415</v>
      </c>
      <c r="K687">
        <f ca="1"/>
        <v>4.7915669859650185E-3</v>
      </c>
    </row>
    <row r="688" spans="7:11">
      <c r="G688" s="20">
        <v>1.1868238913561442</v>
      </c>
      <c r="H688" s="20">
        <v>1.1629742786210212E-2</v>
      </c>
      <c r="I688" s="2">
        <f ca="1"/>
        <v>681</v>
      </c>
      <c r="J688">
        <f ca="1"/>
        <v>1.1868238913561442</v>
      </c>
      <c r="K688">
        <f ca="1"/>
        <v>4.7689513522151212E-3</v>
      </c>
    </row>
    <row r="689" spans="7:11">
      <c r="G689" s="20">
        <v>1.1885692206081382</v>
      </c>
      <c r="H689" s="20">
        <v>1.1638045209259297E-2</v>
      </c>
      <c r="I689" s="2">
        <f ca="1"/>
        <v>682</v>
      </c>
      <c r="J689">
        <f ca="1"/>
        <v>1.1885692206081382</v>
      </c>
      <c r="K689">
        <f ca="1"/>
        <v>4.7481396156296412E-3</v>
      </c>
    </row>
    <row r="690" spans="7:11">
      <c r="G690" s="20">
        <v>1.1903145498601329</v>
      </c>
      <c r="H690" s="20">
        <v>1.1646316920137635E-2</v>
      </c>
      <c r="I690" s="2">
        <f ca="1"/>
        <v>683</v>
      </c>
      <c r="J690">
        <f ca="1"/>
        <v>1.1903145498601329</v>
      </c>
      <c r="K690">
        <f ca="1"/>
        <v>4.7280583576228864E-3</v>
      </c>
    </row>
    <row r="691" spans="7:11">
      <c r="G691" s="20">
        <v>1.1920598791121269</v>
      </c>
      <c r="H691" s="20">
        <v>1.1654549246372688E-2</v>
      </c>
      <c r="I691" s="2">
        <f ca="1"/>
        <v>684</v>
      </c>
      <c r="J691">
        <f ca="1"/>
        <v>1.1920598791121269</v>
      </c>
      <c r="K691">
        <f ca="1"/>
        <v>4.702586457474984E-3</v>
      </c>
    </row>
    <row r="692" spans="7:11">
      <c r="G692" s="20">
        <v>1.1938052083641215</v>
      </c>
      <c r="H692" s="20">
        <v>1.1662732043546162E-2</v>
      </c>
      <c r="I692" s="2">
        <f ca="1"/>
        <v>685</v>
      </c>
      <c r="J692">
        <f ca="1"/>
        <v>1.1938052083641215</v>
      </c>
      <c r="K692">
        <f ca="1"/>
        <v>4.6778399557639381E-3</v>
      </c>
    </row>
    <row r="693" spans="7:11">
      <c r="G693" s="20">
        <v>1.1955505376161157</v>
      </c>
      <c r="H693" s="20">
        <v>1.1670877988194574E-2</v>
      </c>
      <c r="I693" s="2">
        <f ca="1"/>
        <v>686</v>
      </c>
      <c r="J693">
        <f ca="1"/>
        <v>1.1955505376161157</v>
      </c>
      <c r="K693">
        <f ca="1"/>
        <v>4.654581374540943E-3</v>
      </c>
    </row>
    <row r="694" spans="7:11">
      <c r="G694" s="20">
        <v>1.1972958668681102</v>
      </c>
      <c r="H694" s="20">
        <v>1.167897959760371E-2</v>
      </c>
      <c r="I694" s="2">
        <f ca="1"/>
        <v>687</v>
      </c>
      <c r="J694">
        <f ca="1"/>
        <v>1.1972958668681102</v>
      </c>
      <c r="K694">
        <f ca="1"/>
        <v>4.6293743262854339E-3</v>
      </c>
    </row>
    <row r="695" spans="7:11">
      <c r="G695" s="20">
        <v>1.1990411961201044</v>
      </c>
      <c r="H695" s="20">
        <v>1.1687037553054769E-2</v>
      </c>
      <c r="I695" s="2">
        <f ca="1"/>
        <v>688</v>
      </c>
      <c r="J695">
        <f ca="1"/>
        <v>1.1990411961201044</v>
      </c>
      <c r="K695">
        <f ca="1"/>
        <v>4.6061318423043967E-3</v>
      </c>
    </row>
    <row r="696" spans="7:11">
      <c r="G696" s="20">
        <v>1.2007865253720986</v>
      </c>
      <c r="H696" s="20">
        <v>1.1695058030889542E-2</v>
      </c>
      <c r="I696" s="2">
        <f ca="1"/>
        <v>689</v>
      </c>
      <c r="J696">
        <f ca="1"/>
        <v>1.2007865253720986</v>
      </c>
      <c r="K696">
        <f ca="1"/>
        <v>4.5832492425340737E-3</v>
      </c>
    </row>
    <row r="697" spans="7:11">
      <c r="G697" s="20">
        <v>1.2025318546240928</v>
      </c>
      <c r="H697" s="20">
        <v>1.170303611099912E-2</v>
      </c>
      <c r="I697" s="2">
        <f ca="1"/>
        <v>690</v>
      </c>
      <c r="J697">
        <f ca="1"/>
        <v>1.2025318546240928</v>
      </c>
      <c r="K697">
        <f ca="1"/>
        <v>4.5621777243496885E-3</v>
      </c>
    </row>
    <row r="698" spans="7:11">
      <c r="G698" s="20">
        <v>1.2042771838760873</v>
      </c>
      <c r="H698" s="20">
        <v>1.1710983035359751E-2</v>
      </c>
      <c r="I698" s="2">
        <f ca="1"/>
        <v>691</v>
      </c>
      <c r="J698">
        <f ca="1"/>
        <v>1.2042771838760873</v>
      </c>
      <c r="K698">
        <f ca="1"/>
        <v>4.5418380274130929E-3</v>
      </c>
    </row>
    <row r="699" spans="7:11">
      <c r="G699" s="20">
        <v>1.2060225131280817</v>
      </c>
      <c r="H699" s="20">
        <v>1.1718890116533249E-2</v>
      </c>
      <c r="I699" s="2">
        <f ca="1"/>
        <v>692</v>
      </c>
      <c r="J699">
        <f ca="1"/>
        <v>1.2060225131280817</v>
      </c>
      <c r="K699">
        <f ca="1"/>
        <v>4.516097506712973E-3</v>
      </c>
    </row>
    <row r="700" spans="7:11">
      <c r="G700" s="20">
        <v>1.207767842380076</v>
      </c>
      <c r="H700" s="20">
        <v>1.1726747189526401E-2</v>
      </c>
      <c r="I700" s="2">
        <f ca="1"/>
        <v>693</v>
      </c>
      <c r="J700">
        <f ca="1"/>
        <v>1.207767842380076</v>
      </c>
      <c r="K700">
        <f ca="1"/>
        <v>4.4911926309337616E-3</v>
      </c>
    </row>
    <row r="701" spans="7:11">
      <c r="G701" s="20">
        <v>1.2095131716320704</v>
      </c>
      <c r="H701" s="20">
        <v>1.1734567336283469E-2</v>
      </c>
      <c r="I701" s="2">
        <f ca="1"/>
        <v>694</v>
      </c>
      <c r="J701">
        <f ca="1"/>
        <v>1.2095131716320704</v>
      </c>
      <c r="K701">
        <f ca="1"/>
        <v>4.4699856937046841E-3</v>
      </c>
    </row>
    <row r="702" spans="7:11">
      <c r="G702" s="20">
        <v>1.2112585008840648</v>
      </c>
      <c r="H702" s="20">
        <v>1.174235038310084E-2</v>
      </c>
      <c r="I702" s="2">
        <f ca="1"/>
        <v>695</v>
      </c>
      <c r="J702">
        <f ca="1"/>
        <v>1.2112585008840648</v>
      </c>
      <c r="K702">
        <f ca="1"/>
        <v>4.4449323809124903E-3</v>
      </c>
    </row>
    <row r="703" spans="7:11">
      <c r="G703" s="20">
        <v>1.2130038301360591</v>
      </c>
      <c r="H703" s="20">
        <v>1.1750083077298556E-2</v>
      </c>
      <c r="I703" s="2">
        <f ca="1"/>
        <v>696</v>
      </c>
      <c r="J703">
        <f ca="1"/>
        <v>1.2130038301360591</v>
      </c>
      <c r="K703">
        <f ca="1"/>
        <v>4.4181498695719341E-3</v>
      </c>
    </row>
    <row r="704" spans="7:11">
      <c r="G704" s="20">
        <v>1.2147491593880533</v>
      </c>
      <c r="H704" s="20">
        <v>1.1757772635514956E-2</v>
      </c>
      <c r="I704" s="2">
        <f ca="1"/>
        <v>697</v>
      </c>
      <c r="J704">
        <f ca="1"/>
        <v>1.2147491593880533</v>
      </c>
      <c r="K704">
        <f ca="1"/>
        <v>4.3950871635558483E-3</v>
      </c>
    </row>
    <row r="705" spans="7:11">
      <c r="G705" s="20">
        <v>1.2164944886400477</v>
      </c>
      <c r="H705" s="20">
        <v>1.1765424825681794E-2</v>
      </c>
      <c r="I705" s="2">
        <f ca="1"/>
        <v>698</v>
      </c>
      <c r="J705">
        <f ca="1"/>
        <v>1.2164944886400477</v>
      </c>
      <c r="K705">
        <f ca="1"/>
        <v>4.3718883786507314E-3</v>
      </c>
    </row>
    <row r="706" spans="7:11">
      <c r="G706" s="20">
        <v>1.2182398178920422</v>
      </c>
      <c r="H706" s="20">
        <v>1.1773033404862384E-2</v>
      </c>
      <c r="I706" s="2">
        <f ca="1"/>
        <v>699</v>
      </c>
      <c r="J706">
        <f ca="1"/>
        <v>1.2182398178920422</v>
      </c>
      <c r="K706">
        <f ca="1"/>
        <v>4.3504126600106708E-3</v>
      </c>
    </row>
    <row r="707" spans="7:11">
      <c r="G707" s="20">
        <v>1.2199851471440364</v>
      </c>
      <c r="H707" s="20">
        <v>1.178061063062932E-2</v>
      </c>
      <c r="I707" s="2">
        <f ca="1"/>
        <v>700</v>
      </c>
      <c r="J707">
        <f ca="1"/>
        <v>1.2199851471440364</v>
      </c>
      <c r="K707">
        <f ca="1"/>
        <v>4.3298582576908398E-3</v>
      </c>
    </row>
    <row r="708" spans="7:11">
      <c r="G708" s="20">
        <v>1.2217304763960306</v>
      </c>
      <c r="H708" s="20">
        <v>1.1788147461410657E-2</v>
      </c>
      <c r="I708" s="2">
        <f ca="1"/>
        <v>701</v>
      </c>
      <c r="J708">
        <f ca="1"/>
        <v>1.2217304763960306</v>
      </c>
      <c r="K708">
        <f ca="1"/>
        <v>4.3038429217804033E-3</v>
      </c>
    </row>
    <row r="709" spans="7:11">
      <c r="G709" s="20">
        <v>1.2234758056480248</v>
      </c>
      <c r="H709" s="20">
        <v>1.1795633876524063E-2</v>
      </c>
      <c r="I709" s="2">
        <f ca="1"/>
        <v>702</v>
      </c>
      <c r="J709">
        <f ca="1"/>
        <v>1.2234758056480248</v>
      </c>
      <c r="K709">
        <f ca="1"/>
        <v>4.2785770850288004E-3</v>
      </c>
    </row>
    <row r="710" spans="7:11">
      <c r="G710" s="20">
        <v>1.225221134900019</v>
      </c>
      <c r="H710" s="20">
        <v>1.1803082512897483E-2</v>
      </c>
      <c r="I710" s="2">
        <f ca="1"/>
        <v>703</v>
      </c>
      <c r="J710">
        <f ca="1"/>
        <v>1.225221134900019</v>
      </c>
      <c r="K710">
        <f ca="1"/>
        <v>4.2547678901862802E-3</v>
      </c>
    </row>
    <row r="711" spans="7:11">
      <c r="G711" s="20">
        <v>1.2269664641520135</v>
      </c>
      <c r="H711" s="20">
        <v>1.181048581824244E-2</v>
      </c>
      <c r="I711" s="2">
        <f ca="1"/>
        <v>704</v>
      </c>
      <c r="J711">
        <f ca="1"/>
        <v>1.2269664641520135</v>
      </c>
      <c r="K711">
        <f ca="1"/>
        <v>4.2290064120491912E-3</v>
      </c>
    </row>
    <row r="712" spans="7:11">
      <c r="G712" s="20">
        <v>1.2287117934040082</v>
      </c>
      <c r="H712" s="20">
        <v>1.1817844530093127E-2</v>
      </c>
      <c r="I712" s="2">
        <f ca="1"/>
        <v>705</v>
      </c>
      <c r="J712">
        <f ca="1"/>
        <v>1.2287117934040082</v>
      </c>
      <c r="K712">
        <f ca="1"/>
        <v>4.2052358443488373E-3</v>
      </c>
    </row>
    <row r="713" spans="7:11">
      <c r="G713" s="20">
        <v>1.2304571226560022</v>
      </c>
      <c r="H713" s="20">
        <v>1.1825164860503794E-2</v>
      </c>
      <c r="I713" s="2">
        <f ca="1"/>
        <v>706</v>
      </c>
      <c r="J713">
        <f ca="1"/>
        <v>1.2304571226560022</v>
      </c>
      <c r="K713">
        <f ca="1"/>
        <v>4.1818272306692874E-3</v>
      </c>
    </row>
    <row r="714" spans="7:11">
      <c r="G714" s="20">
        <v>1.2322024519079966</v>
      </c>
      <c r="H714" s="20">
        <v>1.1832441860878073E-2</v>
      </c>
      <c r="I714" s="2">
        <f ca="1"/>
        <v>707</v>
      </c>
      <c r="J714">
        <f ca="1"/>
        <v>1.2322024519079966</v>
      </c>
      <c r="K714">
        <f ca="1"/>
        <v>4.160239817825458E-3</v>
      </c>
    </row>
    <row r="715" spans="7:11">
      <c r="G715" s="20">
        <v>1.233947781159991</v>
      </c>
      <c r="H715" s="20">
        <v>1.183968683700252E-2</v>
      </c>
      <c r="I715" s="2">
        <f ca="1"/>
        <v>708</v>
      </c>
      <c r="J715">
        <f ca="1"/>
        <v>1.233947781159991</v>
      </c>
      <c r="K715">
        <f ca="1"/>
        <v>4.1393924775635959E-3</v>
      </c>
    </row>
    <row r="716" spans="7:11">
      <c r="G716" s="20">
        <v>1.2356931104119853</v>
      </c>
      <c r="H716" s="20">
        <v>1.1846891066431227E-2</v>
      </c>
      <c r="I716" s="2">
        <f ca="1"/>
        <v>709</v>
      </c>
      <c r="J716">
        <f ca="1"/>
        <v>1.2356931104119853</v>
      </c>
      <c r="K716">
        <f ca="1"/>
        <v>4.11312344802025E-3</v>
      </c>
    </row>
    <row r="717" spans="7:11">
      <c r="G717" s="20">
        <v>1.2374384396639797</v>
      </c>
      <c r="H717" s="20">
        <v>1.1854044346344307E-2</v>
      </c>
      <c r="I717" s="2">
        <f ca="1"/>
        <v>710</v>
      </c>
      <c r="J717">
        <f ca="1"/>
        <v>1.2374384396639797</v>
      </c>
      <c r="K717">
        <f ca="1"/>
        <v>4.0875896636897065E-3</v>
      </c>
    </row>
    <row r="718" spans="7:11">
      <c r="G718" s="20">
        <v>1.2391837689159739</v>
      </c>
      <c r="H718" s="20">
        <v>1.1861159446051601E-2</v>
      </c>
      <c r="I718" s="2">
        <f ca="1"/>
        <v>711</v>
      </c>
      <c r="J718">
        <f ca="1"/>
        <v>1.2391837689159739</v>
      </c>
      <c r="K718">
        <f ca="1"/>
        <v>4.063558807196976E-3</v>
      </c>
    </row>
    <row r="719" spans="7:11">
      <c r="G719" s="20">
        <v>1.2409290981679684</v>
      </c>
      <c r="H719" s="20">
        <v>1.1868228842451107E-2</v>
      </c>
      <c r="I719" s="2">
        <f ca="1"/>
        <v>712</v>
      </c>
      <c r="J719">
        <f ca="1"/>
        <v>1.2409290981679684</v>
      </c>
      <c r="K719">
        <f ca="1"/>
        <v>4.037571394837158E-3</v>
      </c>
    </row>
    <row r="720" spans="7:11">
      <c r="G720" s="20">
        <v>1.2426744274199626</v>
      </c>
      <c r="H720" s="20">
        <v>1.1875253228976451E-2</v>
      </c>
      <c r="I720" s="2">
        <f ca="1"/>
        <v>713</v>
      </c>
      <c r="J720">
        <f ca="1"/>
        <v>1.2426744274199626</v>
      </c>
      <c r="K720">
        <f ca="1"/>
        <v>4.0135661901933043E-3</v>
      </c>
    </row>
    <row r="721" spans="7:11">
      <c r="G721" s="20">
        <v>1.244419756671957</v>
      </c>
      <c r="H721" s="20">
        <v>1.1882238831404227E-2</v>
      </c>
      <c r="I721" s="2">
        <f ca="1"/>
        <v>714</v>
      </c>
      <c r="J721">
        <f ca="1"/>
        <v>1.244419756671957</v>
      </c>
      <c r="K721">
        <f ca="1"/>
        <v>3.9899287238756177E-3</v>
      </c>
    </row>
    <row r="722" spans="7:11">
      <c r="G722" s="20">
        <v>1.246165085923951</v>
      </c>
      <c r="H722" s="20">
        <v>1.1889180707606755E-2</v>
      </c>
      <c r="I722" s="2">
        <f ca="1"/>
        <v>715</v>
      </c>
      <c r="J722">
        <f ca="1"/>
        <v>1.246165085923951</v>
      </c>
      <c r="K722">
        <f ca="1"/>
        <v>3.9681189189587525E-3</v>
      </c>
    </row>
    <row r="723" spans="7:11">
      <c r="G723" s="20">
        <v>1.2479104151759457</v>
      </c>
      <c r="H723" s="20">
        <v>1.1896090179453528E-2</v>
      </c>
      <c r="I723" s="2">
        <f ca="1"/>
        <v>716</v>
      </c>
      <c r="J723">
        <f ca="1"/>
        <v>1.2479104151759457</v>
      </c>
      <c r="K723">
        <f ca="1"/>
        <v>3.9470503979770694E-3</v>
      </c>
    </row>
    <row r="724" spans="7:11">
      <c r="G724" s="20">
        <v>1.2496557444279399</v>
      </c>
      <c r="H724" s="20">
        <v>1.1902958512644127E-2</v>
      </c>
      <c r="I724" s="2">
        <f ca="1"/>
        <v>717</v>
      </c>
      <c r="J724">
        <f ca="1"/>
        <v>1.2496557444279399</v>
      </c>
      <c r="K724">
        <f ca="1"/>
        <v>3.9205516327203106E-3</v>
      </c>
    </row>
    <row r="725" spans="7:11">
      <c r="G725" s="20">
        <v>1.2514010736799344</v>
      </c>
      <c r="H725" s="20">
        <v>1.190977548635061E-2</v>
      </c>
      <c r="I725" s="2">
        <f ca="1"/>
        <v>718</v>
      </c>
      <c r="J725">
        <f ca="1"/>
        <v>1.2514010736799344</v>
      </c>
      <c r="K725">
        <f ca="1"/>
        <v>3.8948984773455831E-3</v>
      </c>
    </row>
    <row r="726" spans="7:11">
      <c r="G726" s="20">
        <v>1.2531464029319286</v>
      </c>
      <c r="H726" s="20">
        <v>1.1916554273136246E-2</v>
      </c>
      <c r="I726" s="2">
        <f ca="1"/>
        <v>719</v>
      </c>
      <c r="J726">
        <f ca="1"/>
        <v>1.2531464029319286</v>
      </c>
      <c r="K726">
        <f ca="1"/>
        <v>3.8729715057864863E-3</v>
      </c>
    </row>
    <row r="727" spans="7:11">
      <c r="G727" s="20">
        <v>1.254891732183923</v>
      </c>
      <c r="H727" s="20">
        <v>1.1923294707272989E-2</v>
      </c>
      <c r="I727" s="2">
        <f ca="1"/>
        <v>720</v>
      </c>
      <c r="J727">
        <f ca="1"/>
        <v>1.254891732183923</v>
      </c>
      <c r="K727">
        <f ca="1"/>
        <v>3.8471792923746805E-3</v>
      </c>
    </row>
    <row r="728" spans="7:11">
      <c r="G728" s="20">
        <v>1.2566370614359172</v>
      </c>
      <c r="H728" s="20">
        <v>1.1929983462249542E-2</v>
      </c>
      <c r="I728" s="2">
        <f ca="1"/>
        <v>721</v>
      </c>
      <c r="J728">
        <f ca="1"/>
        <v>1.2566370614359172</v>
      </c>
      <c r="K728">
        <f ca="1"/>
        <v>3.8196514953568114E-3</v>
      </c>
    </row>
    <row r="729" spans="7:11">
      <c r="G729" s="20">
        <v>1.2583823906879115</v>
      </c>
      <c r="H729" s="20">
        <v>1.1936627806247529E-2</v>
      </c>
      <c r="I729" s="2">
        <f ca="1"/>
        <v>722</v>
      </c>
      <c r="J729">
        <f ca="1"/>
        <v>1.2583823906879115</v>
      </c>
      <c r="K729">
        <f ca="1"/>
        <v>3.7958715470355398E-3</v>
      </c>
    </row>
    <row r="730" spans="7:11">
      <c r="G730" s="20">
        <v>1.2601277199399059</v>
      </c>
      <c r="H730" s="20">
        <v>1.1943233553545251E-2</v>
      </c>
      <c r="I730" s="2">
        <f ca="1"/>
        <v>723</v>
      </c>
      <c r="J730">
        <f ca="1"/>
        <v>1.2601277199399059</v>
      </c>
      <c r="K730">
        <f ca="1"/>
        <v>3.7719600845685058E-3</v>
      </c>
    </row>
    <row r="731" spans="7:11">
      <c r="G731" s="20">
        <v>1.2618730491919006</v>
      </c>
      <c r="H731" s="20">
        <v>1.1949794430793435E-2</v>
      </c>
      <c r="I731" s="2">
        <f ca="1"/>
        <v>724</v>
      </c>
      <c r="J731">
        <f ca="1"/>
        <v>1.2618730491919006</v>
      </c>
      <c r="K731">
        <f ca="1"/>
        <v>3.7497862262758667E-3</v>
      </c>
    </row>
    <row r="732" spans="7:11">
      <c r="G732" s="20">
        <v>1.2636183784438946</v>
      </c>
      <c r="H732" s="20">
        <v>1.195632277672414E-2</v>
      </c>
      <c r="I732" s="2">
        <f ca="1"/>
        <v>725</v>
      </c>
      <c r="J732">
        <f ca="1"/>
        <v>1.2636183784438946</v>
      </c>
      <c r="K732">
        <f ca="1"/>
        <v>3.7285442024136877E-3</v>
      </c>
    </row>
    <row r="733" spans="7:11">
      <c r="G733" s="20">
        <v>1.2653637076958888</v>
      </c>
      <c r="H733" s="20">
        <v>1.1962809505321087E-2</v>
      </c>
      <c r="I733" s="2">
        <f ca="1"/>
        <v>726</v>
      </c>
      <c r="J733">
        <f ca="1"/>
        <v>1.2653637076958888</v>
      </c>
      <c r="K733">
        <f ca="1"/>
        <v>3.70181362835276E-3</v>
      </c>
    </row>
    <row r="734" spans="7:11">
      <c r="G734" s="20">
        <v>1.267109036947883</v>
      </c>
      <c r="H734" s="20">
        <v>1.196924454394613E-2</v>
      </c>
      <c r="I734" s="2">
        <f ca="1"/>
        <v>727</v>
      </c>
      <c r="J734">
        <f ca="1"/>
        <v>1.267109036947883</v>
      </c>
      <c r="K734">
        <f ca="1"/>
        <v>3.6758415286425191E-3</v>
      </c>
    </row>
    <row r="735" spans="7:11">
      <c r="G735" s="20">
        <v>1.2688543661998775</v>
      </c>
      <c r="H735" s="20">
        <v>1.1975640612812357E-2</v>
      </c>
      <c r="I735" s="2">
        <f ca="1"/>
        <v>728</v>
      </c>
      <c r="J735">
        <f ca="1"/>
        <v>1.2688543661998775</v>
      </c>
      <c r="K735">
        <f ca="1"/>
        <v>3.651339372773104E-3</v>
      </c>
    </row>
    <row r="736" spans="7:11">
      <c r="G736" s="20">
        <v>1.2705996954518719</v>
      </c>
      <c r="H736" s="20">
        <v>1.198199012277865E-2</v>
      </c>
      <c r="I736" s="2">
        <f ca="1"/>
        <v>729</v>
      </c>
      <c r="J736">
        <f ca="1"/>
        <v>1.2705996954518719</v>
      </c>
      <c r="K736">
        <f ca="1"/>
        <v>3.6248781775946376E-3</v>
      </c>
    </row>
    <row r="737" spans="7:11">
      <c r="G737" s="20">
        <v>1.2723450247038663</v>
      </c>
      <c r="H737" s="20">
        <v>1.1988293824648902E-2</v>
      </c>
      <c r="I737" s="2">
        <f ca="1"/>
        <v>730</v>
      </c>
      <c r="J737">
        <f ca="1"/>
        <v>1.2723450247038663</v>
      </c>
      <c r="K737">
        <f ca="1"/>
        <v>3.6004248748085417E-3</v>
      </c>
    </row>
    <row r="738" spans="7:11">
      <c r="G738" s="20">
        <v>1.2740903539558606</v>
      </c>
      <c r="H738" s="20">
        <v>1.1994557976485873E-2</v>
      </c>
      <c r="I738" s="2">
        <f ca="1"/>
        <v>731</v>
      </c>
      <c r="J738">
        <f ca="1"/>
        <v>1.2740903539558606</v>
      </c>
      <c r="K738">
        <f ca="1"/>
        <v>3.5763403674116683E-3</v>
      </c>
    </row>
    <row r="739" spans="7:11">
      <c r="G739" s="20">
        <v>1.2758356832078548</v>
      </c>
      <c r="H739" s="20">
        <v>1.2000777607565564E-2</v>
      </c>
      <c r="I739" s="2">
        <f ca="1"/>
        <v>732</v>
      </c>
      <c r="J739">
        <f ca="1"/>
        <v>1.2758356832078548</v>
      </c>
      <c r="K739">
        <f ca="1"/>
        <v>3.5540916463607688E-3</v>
      </c>
    </row>
    <row r="740" spans="7:11">
      <c r="G740" s="20">
        <v>1.2775810124598492</v>
      </c>
      <c r="H740" s="20">
        <v>1.2006964096715197E-2</v>
      </c>
      <c r="I740" s="2">
        <f ca="1"/>
        <v>733</v>
      </c>
      <c r="J740">
        <f ca="1"/>
        <v>1.2775810124598492</v>
      </c>
      <c r="K740">
        <f ca="1"/>
        <v>3.5325924655050423E-3</v>
      </c>
    </row>
    <row r="741" spans="7:11">
      <c r="G741" s="20">
        <v>1.2793263417118435</v>
      </c>
      <c r="H741" s="20">
        <v>1.2013108681496406E-2</v>
      </c>
      <c r="I741" s="2">
        <f ca="1"/>
        <v>734</v>
      </c>
      <c r="J741">
        <f ca="1"/>
        <v>1.2793263417118435</v>
      </c>
      <c r="K741">
        <f ca="1"/>
        <v>3.5056456201611711E-3</v>
      </c>
    </row>
    <row r="742" spans="7:11">
      <c r="G742" s="20">
        <v>1.2810716709638379</v>
      </c>
      <c r="H742" s="20">
        <v>1.2019201108411183E-2</v>
      </c>
      <c r="I742" s="2">
        <f ca="1"/>
        <v>735</v>
      </c>
      <c r="J742">
        <f ca="1"/>
        <v>1.2810716709638379</v>
      </c>
      <c r="K742">
        <f ca="1"/>
        <v>3.4794424026769392E-3</v>
      </c>
    </row>
    <row r="743" spans="7:11">
      <c r="G743" s="20">
        <v>1.2828170002158323</v>
      </c>
      <c r="H743" s="20">
        <v>1.202525422670845E-2</v>
      </c>
      <c r="I743" s="2">
        <f ca="1"/>
        <v>736</v>
      </c>
      <c r="J743">
        <f ca="1"/>
        <v>1.2828170002158323</v>
      </c>
      <c r="K743">
        <f ca="1"/>
        <v>3.4547554428666105E-3</v>
      </c>
    </row>
    <row r="744" spans="7:11">
      <c r="G744" s="20">
        <v>1.2845623294678268</v>
      </c>
      <c r="H744" s="20">
        <v>1.2031260479877027E-2</v>
      </c>
      <c r="I744" s="2">
        <f ca="1"/>
        <v>737</v>
      </c>
      <c r="J744">
        <f ca="1"/>
        <v>1.2845623294678268</v>
      </c>
      <c r="K744">
        <f ca="1"/>
        <v>3.4281057571533624E-3</v>
      </c>
    </row>
    <row r="745" spans="7:11">
      <c r="G745" s="20">
        <v>1.286307658719821</v>
      </c>
      <c r="H745" s="20">
        <v>1.203722057322223E-2</v>
      </c>
      <c r="I745" s="2">
        <f ca="1"/>
        <v>738</v>
      </c>
      <c r="J745">
        <f ca="1"/>
        <v>1.286307658719821</v>
      </c>
      <c r="K745">
        <f ca="1"/>
        <v>3.403453962764418E-3</v>
      </c>
    </row>
    <row r="746" spans="7:11">
      <c r="G746" s="20">
        <v>1.2880529879718152</v>
      </c>
      <c r="H746" s="20">
        <v>1.2043140775395084E-2</v>
      </c>
      <c r="I746" s="2">
        <f ca="1"/>
        <v>739</v>
      </c>
      <c r="J746">
        <f ca="1"/>
        <v>1.2880529879718152</v>
      </c>
      <c r="K746">
        <f ca="1"/>
        <v>3.3791766200402811E-3</v>
      </c>
    </row>
    <row r="747" spans="7:11">
      <c r="G747" s="20">
        <v>1.2897983172238092</v>
      </c>
      <c r="H747" s="20">
        <v>1.2049016124827451E-2</v>
      </c>
      <c r="I747" s="2">
        <f ca="1"/>
        <v>740</v>
      </c>
      <c r="J747">
        <f ca="1"/>
        <v>1.2897983172238092</v>
      </c>
      <c r="K747">
        <f ca="1"/>
        <v>3.3567412927862244E-3</v>
      </c>
    </row>
    <row r="748" spans="7:11">
      <c r="G748" s="20">
        <v>1.2915436464758039</v>
      </c>
      <c r="H748" s="20">
        <v>1.2054858012934438E-2</v>
      </c>
      <c r="I748" s="2">
        <f ca="1"/>
        <v>741</v>
      </c>
      <c r="J748">
        <f ca="1"/>
        <v>1.2915436464758039</v>
      </c>
      <c r="K748">
        <f ca="1"/>
        <v>3.3350561622877439E-3</v>
      </c>
    </row>
    <row r="749" spans="7:11">
      <c r="G749" s="20">
        <v>1.2932889757277981</v>
      </c>
      <c r="H749" s="20">
        <v>1.2060657666981622E-2</v>
      </c>
      <c r="I749" s="2">
        <f ca="1"/>
        <v>742</v>
      </c>
      <c r="J749">
        <f ca="1"/>
        <v>1.2932889757277981</v>
      </c>
      <c r="K749">
        <f ca="1"/>
        <v>3.307916266592454E-3</v>
      </c>
    </row>
    <row r="750" spans="7:11">
      <c r="G750" s="20">
        <v>1.2950343049797925</v>
      </c>
      <c r="H750" s="20">
        <v>1.2066404818980902E-2</v>
      </c>
      <c r="I750" s="2">
        <f ca="1"/>
        <v>743</v>
      </c>
      <c r="J750">
        <f ca="1"/>
        <v>1.2950343049797925</v>
      </c>
      <c r="K750">
        <f ca="1"/>
        <v>3.2816307458715939E-3</v>
      </c>
    </row>
    <row r="751" spans="7:11">
      <c r="G751" s="20">
        <v>1.2967796342317868</v>
      </c>
      <c r="H751" s="20">
        <v>1.2072112719251649E-2</v>
      </c>
      <c r="I751" s="2">
        <f ca="1"/>
        <v>744</v>
      </c>
      <c r="J751">
        <f ca="1"/>
        <v>1.2967796342317868</v>
      </c>
      <c r="K751">
        <f ca="1"/>
        <v>3.2590956853197641E-3</v>
      </c>
    </row>
    <row r="752" spans="7:11">
      <c r="G752" s="20">
        <v>1.2985249634837812</v>
      </c>
      <c r="H752" s="20">
        <v>1.2077781209050176E-2</v>
      </c>
      <c r="I752" s="2">
        <f ca="1"/>
        <v>745</v>
      </c>
      <c r="J752">
        <f ca="1"/>
        <v>1.2985249634837812</v>
      </c>
      <c r="K752">
        <f ca="1"/>
        <v>3.2326799799878526E-3</v>
      </c>
    </row>
    <row r="753" spans="7:11">
      <c r="G753" s="20">
        <v>1.3002702927357754</v>
      </c>
      <c r="H753" s="20">
        <v>1.2083396901114467E-2</v>
      </c>
      <c r="I753" s="2">
        <f ca="1"/>
        <v>746</v>
      </c>
      <c r="J753">
        <f ca="1"/>
        <v>1.3002702927357754</v>
      </c>
      <c r="K753">
        <f ca="1"/>
        <v>3.2045243347658472E-3</v>
      </c>
    </row>
    <row r="754" spans="7:11">
      <c r="G754" s="20">
        <v>1.3020156219877697</v>
      </c>
      <c r="H754" s="20">
        <v>1.2088967109170564E-2</v>
      </c>
      <c r="I754" s="2">
        <f ca="1"/>
        <v>747</v>
      </c>
      <c r="J754">
        <f ca="1"/>
        <v>1.3020156219877697</v>
      </c>
      <c r="K754">
        <f ca="1"/>
        <v>3.180140396035903E-3</v>
      </c>
    </row>
    <row r="755" spans="7:11">
      <c r="G755" s="20">
        <v>1.3037609512397641</v>
      </c>
      <c r="H755" s="20">
        <v>1.2094497685231768E-2</v>
      </c>
      <c r="I755" s="2">
        <f ca="1"/>
        <v>748</v>
      </c>
      <c r="J755">
        <f ca="1"/>
        <v>1.3037609512397641</v>
      </c>
      <c r="K755">
        <f ca="1"/>
        <v>3.1556290335369346E-3</v>
      </c>
    </row>
    <row r="756" spans="7:11">
      <c r="G756" s="20">
        <v>1.3055062804917588</v>
      </c>
      <c r="H756" s="20">
        <v>1.2099982332491915E-2</v>
      </c>
      <c r="I756" s="2">
        <f ca="1"/>
        <v>749</v>
      </c>
      <c r="J756">
        <f ca="1"/>
        <v>1.3055062804917588</v>
      </c>
      <c r="K756">
        <f ca="1"/>
        <v>3.1328688824441247E-3</v>
      </c>
    </row>
    <row r="757" spans="7:11">
      <c r="G757" s="20">
        <v>1.3072516097437528</v>
      </c>
      <c r="H757" s="20">
        <v>1.2105433460638153E-2</v>
      </c>
      <c r="I757" s="2">
        <f ca="1"/>
        <v>750</v>
      </c>
      <c r="J757">
        <f ca="1"/>
        <v>1.3072516097437528</v>
      </c>
      <c r="K757">
        <f ca="1"/>
        <v>3.1110498561231596E-3</v>
      </c>
    </row>
    <row r="758" spans="7:11">
      <c r="G758" s="20">
        <v>1.3089969389957472</v>
      </c>
      <c r="H758" s="20">
        <v>1.2110841945128523E-2</v>
      </c>
      <c r="I758" s="2">
        <f ca="1"/>
        <v>751</v>
      </c>
      <c r="J758">
        <f ca="1"/>
        <v>1.3089969389957472</v>
      </c>
      <c r="K758">
        <f ca="1"/>
        <v>3.0837188748351571E-3</v>
      </c>
    </row>
    <row r="759" spans="7:11">
      <c r="G759" s="20">
        <v>1.3107422682477414</v>
      </c>
      <c r="H759" s="20">
        <v>1.2116197670152507E-2</v>
      </c>
      <c r="I759" s="2">
        <f ca="1"/>
        <v>752</v>
      </c>
      <c r="J759">
        <f ca="1"/>
        <v>1.3107422682477414</v>
      </c>
      <c r="K759">
        <f ca="1"/>
        <v>3.0571543828716761E-3</v>
      </c>
    </row>
    <row r="760" spans="7:11">
      <c r="G760" s="20">
        <v>1.3124875974997356</v>
      </c>
      <c r="H760" s="20">
        <v>1.21215134270731E-2</v>
      </c>
      <c r="I760" s="2">
        <f ca="1"/>
        <v>753</v>
      </c>
      <c r="J760">
        <f ca="1"/>
        <v>1.3124875974997356</v>
      </c>
      <c r="K760">
        <f ca="1"/>
        <v>3.0320719318899609E-3</v>
      </c>
    </row>
    <row r="761" spans="7:11">
      <c r="G761" s="20">
        <v>1.3142329267517301</v>
      </c>
      <c r="H761" s="20">
        <v>1.2126781597826264E-2</v>
      </c>
      <c r="I761" s="2">
        <f ca="1"/>
        <v>754</v>
      </c>
      <c r="J761">
        <f ca="1"/>
        <v>1.3142329267517301</v>
      </c>
      <c r="K761">
        <f ca="1"/>
        <v>3.0050255305193894E-3</v>
      </c>
    </row>
    <row r="762" spans="7:11">
      <c r="G762" s="20">
        <v>1.3159782560037245</v>
      </c>
      <c r="H762" s="20">
        <v>1.2132002944995911E-2</v>
      </c>
      <c r="I762" s="2">
        <f ca="1"/>
        <v>755</v>
      </c>
      <c r="J762">
        <f ca="1"/>
        <v>1.3159782560037245</v>
      </c>
      <c r="K762">
        <f ca="1"/>
        <v>2.980001278770301E-3</v>
      </c>
    </row>
    <row r="763" spans="7:11">
      <c r="G763" s="20">
        <v>1.3177235852557188</v>
      </c>
      <c r="H763" s="20">
        <v>1.2137183764631901E-2</v>
      </c>
      <c r="I763" s="2">
        <f ca="1"/>
        <v>756</v>
      </c>
      <c r="J763">
        <f ca="1"/>
        <v>1.3177235852557188</v>
      </c>
      <c r="K763">
        <f ca="1"/>
        <v>2.9553521959781305E-3</v>
      </c>
    </row>
    <row r="764" spans="7:11">
      <c r="G764" s="20">
        <v>1.319468914507713</v>
      </c>
      <c r="H764" s="20">
        <v>1.2142319070271083E-2</v>
      </c>
      <c r="I764" s="2">
        <f ca="1"/>
        <v>757</v>
      </c>
      <c r="J764">
        <f ca="1"/>
        <v>1.319468914507713</v>
      </c>
      <c r="K764">
        <f ca="1"/>
        <v>2.9325523984330597E-3</v>
      </c>
    </row>
    <row r="765" spans="7:11">
      <c r="G765" s="20">
        <v>1.3212142437597076</v>
      </c>
      <c r="H765" s="20">
        <v>1.2147420303599884E-2</v>
      </c>
      <c r="I765" s="2">
        <f ca="1"/>
        <v>758</v>
      </c>
      <c r="J765">
        <f ca="1"/>
        <v>1.3212142437597076</v>
      </c>
      <c r="K765">
        <f ca="1"/>
        <v>2.9105102381241981E-3</v>
      </c>
    </row>
    <row r="766" spans="7:11">
      <c r="G766" s="20">
        <v>1.3229595730117016</v>
      </c>
      <c r="H766" s="20">
        <v>1.2152478667584737E-2</v>
      </c>
      <c r="I766" s="2">
        <f ca="1"/>
        <v>759</v>
      </c>
      <c r="J766">
        <f ca="1"/>
        <v>1.3229595730117016</v>
      </c>
      <c r="K766">
        <f ca="1"/>
        <v>2.8829986680177725E-3</v>
      </c>
    </row>
    <row r="767" spans="7:11">
      <c r="G767" s="20">
        <v>1.3247049022636963</v>
      </c>
      <c r="H767" s="20">
        <v>1.2157483867417388E-2</v>
      </c>
      <c r="I767" s="2">
        <f ca="1"/>
        <v>760</v>
      </c>
      <c r="J767">
        <f ca="1"/>
        <v>1.3247049022636963</v>
      </c>
      <c r="K767">
        <f ca="1"/>
        <v>2.8562384485734341E-3</v>
      </c>
    </row>
    <row r="768" spans="7:11">
      <c r="G768" s="20">
        <v>1.3264502315156903</v>
      </c>
      <c r="H768" s="20">
        <v>1.2162448820614669E-2</v>
      </c>
      <c r="I768" s="2">
        <f ca="1"/>
        <v>761</v>
      </c>
      <c r="J768">
        <f ca="1"/>
        <v>1.3264502315156903</v>
      </c>
      <c r="K768">
        <f ca="1"/>
        <v>2.8310061194255888E-3</v>
      </c>
    </row>
    <row r="769" spans="7:11">
      <c r="G769" s="20">
        <v>1.328195560767685</v>
      </c>
      <c r="H769" s="20">
        <v>1.2167365943003005E-2</v>
      </c>
      <c r="I769" s="2">
        <f ca="1"/>
        <v>762</v>
      </c>
      <c r="J769">
        <f ca="1"/>
        <v>1.328195560767685</v>
      </c>
      <c r="K769">
        <f ca="1"/>
        <v>2.8038066752651236E-3</v>
      </c>
    </row>
    <row r="770" spans="7:11">
      <c r="G770" s="20">
        <v>1.3299408900196792</v>
      </c>
      <c r="H770" s="20">
        <v>1.2172235952229224E-2</v>
      </c>
      <c r="I770" s="2">
        <f ca="1"/>
        <v>763</v>
      </c>
      <c r="J770">
        <f ca="1"/>
        <v>1.3299408900196792</v>
      </c>
      <c r="K770">
        <f ca="1"/>
        <v>2.7786192335712855E-3</v>
      </c>
    </row>
    <row r="771" spans="7:11">
      <c r="G771" s="20">
        <v>1.3316862192716732</v>
      </c>
      <c r="H771" s="20">
        <v>1.2177065153860016E-2</v>
      </c>
      <c r="I771" s="2">
        <f ca="1"/>
        <v>764</v>
      </c>
      <c r="J771">
        <f ca="1"/>
        <v>1.3316862192716732</v>
      </c>
      <c r="K771">
        <f ca="1"/>
        <v>2.7538121542341749E-3</v>
      </c>
    </row>
    <row r="772" spans="7:11">
      <c r="G772" s="20">
        <v>1.3334315485236676</v>
      </c>
      <c r="H772" s="20">
        <v>1.2181848570043789E-2</v>
      </c>
      <c r="I772" s="2">
        <f ca="1"/>
        <v>765</v>
      </c>
      <c r="J772">
        <f ca="1"/>
        <v>1.3334315485236676</v>
      </c>
      <c r="K772">
        <f ca="1"/>
        <v>2.7308596520269732E-3</v>
      </c>
    </row>
    <row r="773" spans="7:11">
      <c r="G773" s="20">
        <v>1.3351768777756621</v>
      </c>
      <c r="H773" s="20">
        <v>1.2186597652327564E-2</v>
      </c>
      <c r="I773" s="2">
        <f ca="1"/>
        <v>766</v>
      </c>
      <c r="J773">
        <f ca="1"/>
        <v>1.3351768777756621</v>
      </c>
      <c r="K773">
        <f ca="1"/>
        <v>2.7086654846514733E-3</v>
      </c>
    </row>
    <row r="774" spans="7:11">
      <c r="G774" s="20">
        <v>1.3369222070276563</v>
      </c>
      <c r="H774" s="20">
        <v>1.2191303596252248E-2</v>
      </c>
      <c r="I774" s="2">
        <f ca="1"/>
        <v>767</v>
      </c>
      <c r="J774">
        <f ca="1"/>
        <v>1.3369222070276563</v>
      </c>
      <c r="K774">
        <f ca="1"/>
        <v>2.6809962840331188E-3</v>
      </c>
    </row>
    <row r="775" spans="7:11">
      <c r="G775" s="20">
        <v>1.3386675362796507</v>
      </c>
      <c r="H775" s="20">
        <v>1.2195956094805586E-2</v>
      </c>
      <c r="I775" s="2">
        <f ca="1"/>
        <v>768</v>
      </c>
      <c r="J775">
        <f ca="1"/>
        <v>1.3386675362796507</v>
      </c>
      <c r="K775">
        <f ca="1"/>
        <v>2.6541893601033E-3</v>
      </c>
    </row>
    <row r="776" spans="7:11">
      <c r="G776" s="20">
        <v>1.340412865531645</v>
      </c>
      <c r="H776" s="20">
        <v>1.2200568464913289E-2</v>
      </c>
      <c r="I776" s="2">
        <f ca="1"/>
        <v>769</v>
      </c>
      <c r="J776">
        <f ca="1"/>
        <v>1.340412865531645</v>
      </c>
      <c r="K776">
        <f ca="1"/>
        <v>2.631153873475232E-3</v>
      </c>
    </row>
    <row r="777" spans="7:11">
      <c r="G777" s="20">
        <v>1.3421581947836394</v>
      </c>
      <c r="H777" s="20">
        <v>1.2205140554449335E-2</v>
      </c>
      <c r="I777" s="2">
        <f ca="1"/>
        <v>770</v>
      </c>
      <c r="J777">
        <f ca="1"/>
        <v>1.3421581947836394</v>
      </c>
      <c r="K777">
        <f ca="1"/>
        <v>2.6042252706871081E-3</v>
      </c>
    </row>
    <row r="778" spans="7:11">
      <c r="G778" s="20">
        <v>1.3439035240356338</v>
      </c>
      <c r="H778" s="20">
        <v>1.2209658926000715E-2</v>
      </c>
      <c r="I778" s="2">
        <f ca="1"/>
        <v>771</v>
      </c>
      <c r="J778">
        <f ca="1"/>
        <v>1.3439035240356338</v>
      </c>
      <c r="K778">
        <f ca="1"/>
        <v>2.5776639482730634E-3</v>
      </c>
    </row>
    <row r="779" spans="7:11">
      <c r="G779" s="20">
        <v>1.3456488532876281</v>
      </c>
      <c r="H779" s="20">
        <v>1.22141382990308E-2</v>
      </c>
      <c r="I779" s="2">
        <f ca="1"/>
        <v>772</v>
      </c>
      <c r="J779">
        <f ca="1"/>
        <v>1.3456488532876281</v>
      </c>
      <c r="K779">
        <f ca="1"/>
        <v>2.5559083113012335E-3</v>
      </c>
    </row>
    <row r="780" spans="7:11">
      <c r="G780" s="20">
        <v>1.3473941825396225</v>
      </c>
      <c r="H780" s="20">
        <v>1.2218580729082974E-2</v>
      </c>
      <c r="I780" s="2">
        <f ca="1"/>
        <v>773</v>
      </c>
      <c r="J780">
        <f ca="1"/>
        <v>1.3473941825396225</v>
      </c>
      <c r="K780">
        <f ca="1"/>
        <v>2.5324163126982956E-3</v>
      </c>
    </row>
    <row r="781" spans="7:11">
      <c r="G781" s="20">
        <v>1.3491395117916167</v>
      </c>
      <c r="H781" s="20">
        <v>1.2222978099568359E-2</v>
      </c>
      <c r="I781" s="2">
        <f ca="1"/>
        <v>774</v>
      </c>
      <c r="J781">
        <f ca="1"/>
        <v>1.3491395117916167</v>
      </c>
      <c r="K781">
        <f ca="1"/>
        <v>2.5095665574059573E-3</v>
      </c>
    </row>
    <row r="782" spans="7:11">
      <c r="G782" s="20">
        <v>1.3508848410436112</v>
      </c>
      <c r="H782" s="20">
        <v>1.2227340768927909E-2</v>
      </c>
      <c r="I782" s="2">
        <f ca="1"/>
        <v>775</v>
      </c>
      <c r="J782">
        <f ca="1"/>
        <v>1.3508848410436112</v>
      </c>
      <c r="K782">
        <f ca="1"/>
        <v>2.4828038889876895E-3</v>
      </c>
    </row>
    <row r="783" spans="7:11">
      <c r="G783" s="20">
        <v>1.3526301702956054</v>
      </c>
      <c r="H783" s="20">
        <v>1.223164472007719E-2</v>
      </c>
      <c r="I783" s="2">
        <f ca="1"/>
        <v>776</v>
      </c>
      <c r="J783">
        <f ca="1"/>
        <v>1.3526301702956054</v>
      </c>
      <c r="K783">
        <f ca="1"/>
        <v>2.4501380880401469E-3</v>
      </c>
    </row>
    <row r="784" spans="7:11">
      <c r="G784" s="20">
        <v>1.3543754995475996</v>
      </c>
      <c r="H784" s="20">
        <v>1.2235893364280872E-2</v>
      </c>
      <c r="I784" s="2">
        <f ca="1"/>
        <v>777</v>
      </c>
      <c r="J784">
        <f ca="1"/>
        <v>1.3543754995475996</v>
      </c>
      <c r="K784">
        <f ca="1"/>
        <v>2.4234894216387933E-3</v>
      </c>
    </row>
    <row r="785" spans="7:11">
      <c r="G785" s="20">
        <v>1.3561208287995938</v>
      </c>
      <c r="H785" s="20">
        <v>1.224010429403616E-2</v>
      </c>
      <c r="I785" s="2">
        <f ca="1"/>
        <v>778</v>
      </c>
      <c r="J785">
        <f ca="1"/>
        <v>1.3561208287995938</v>
      </c>
      <c r="K785">
        <f ca="1"/>
        <v>2.3989400622976853E-3</v>
      </c>
    </row>
    <row r="786" spans="7:11">
      <c r="G786" s="20">
        <v>1.3578661580515883</v>
      </c>
      <c r="H786" s="20">
        <v>1.2244267244809891E-2</v>
      </c>
      <c r="I786" s="2">
        <f ca="1"/>
        <v>779</v>
      </c>
      <c r="J786">
        <f ca="1"/>
        <v>1.3578661580515883</v>
      </c>
      <c r="K786">
        <f ca="1"/>
        <v>2.3722289011116472E-3</v>
      </c>
    </row>
    <row r="787" spans="7:11">
      <c r="G787" s="20">
        <v>1.3596114873035827</v>
      </c>
      <c r="H787" s="20">
        <v>1.2248384935023233E-2</v>
      </c>
      <c r="I787" s="2">
        <f ca="1"/>
        <v>780</v>
      </c>
      <c r="J787">
        <f ca="1"/>
        <v>1.3596114873035827</v>
      </c>
      <c r="K787">
        <f ca="1"/>
        <v>2.3468808234950187E-3</v>
      </c>
    </row>
    <row r="788" spans="7:11">
      <c r="G788" s="20">
        <v>1.3613568165555769</v>
      </c>
      <c r="H788" s="20">
        <v>1.2252459404314272E-2</v>
      </c>
      <c r="I788" s="2">
        <f ca="1"/>
        <v>781</v>
      </c>
      <c r="J788">
        <f ca="1"/>
        <v>1.3613568165555769</v>
      </c>
      <c r="K788">
        <f ca="1"/>
        <v>2.3214675756072782E-3</v>
      </c>
    </row>
    <row r="789" spans="7:11">
      <c r="G789" s="20">
        <v>1.3631021458075712</v>
      </c>
      <c r="H789" s="20">
        <v>1.225648838555776E-2</v>
      </c>
      <c r="I789" s="2">
        <f ca="1"/>
        <v>782</v>
      </c>
      <c r="J789">
        <f ca="1"/>
        <v>1.3631021458075712</v>
      </c>
      <c r="K789">
        <f ca="1"/>
        <v>2.298465027017037E-3</v>
      </c>
    </row>
    <row r="790" spans="7:11">
      <c r="G790" s="20">
        <v>1.3648474750595656</v>
      </c>
      <c r="H790" s="20">
        <v>1.2260482560806949E-2</v>
      </c>
      <c r="I790" s="2">
        <f ca="1"/>
        <v>783</v>
      </c>
      <c r="J790">
        <f ca="1"/>
        <v>1.3648474750595656</v>
      </c>
      <c r="K790">
        <f ca="1"/>
        <v>2.2759191561847474E-3</v>
      </c>
    </row>
    <row r="791" spans="7:11">
      <c r="G791" s="20">
        <v>1.3665928043115598</v>
      </c>
      <c r="H791" s="20">
        <v>1.2264432842114687E-2</v>
      </c>
      <c r="I791" s="2">
        <f ca="1"/>
        <v>784</v>
      </c>
      <c r="J791">
        <f ca="1"/>
        <v>1.3665928043115598</v>
      </c>
      <c r="K791">
        <f ca="1"/>
        <v>2.247876176876495E-3</v>
      </c>
    </row>
    <row r="792" spans="7:11">
      <c r="G792" s="20">
        <v>1.3683381335635545</v>
      </c>
      <c r="H792" s="20">
        <v>1.2268329128899677E-2</v>
      </c>
      <c r="I792" s="2">
        <f ca="1"/>
        <v>785</v>
      </c>
      <c r="J792">
        <f ca="1"/>
        <v>1.3683381335635545</v>
      </c>
      <c r="K792">
        <f ca="1"/>
        <v>2.2206760958500332E-3</v>
      </c>
    </row>
    <row r="793" spans="7:11">
      <c r="G793" s="20">
        <v>1.3700834628155485</v>
      </c>
      <c r="H793" s="20">
        <v>1.2272184464013271E-2</v>
      </c>
      <c r="I793" s="2">
        <f ca="1"/>
        <v>786</v>
      </c>
      <c r="J793">
        <f ca="1"/>
        <v>1.3700834628155485</v>
      </c>
      <c r="K793">
        <f ca="1"/>
        <v>2.1950204225623564E-3</v>
      </c>
    </row>
    <row r="794" spans="7:11">
      <c r="G794" s="20">
        <v>1.3718287920675432</v>
      </c>
      <c r="H794" s="20">
        <v>1.2275991195604123E-2</v>
      </c>
      <c r="I794" s="2">
        <f ca="1"/>
        <v>787</v>
      </c>
      <c r="J794">
        <f ca="1"/>
        <v>1.3718287920675432</v>
      </c>
      <c r="K794">
        <f ca="1"/>
        <v>2.1673912606919206E-3</v>
      </c>
    </row>
    <row r="795" spans="7:11">
      <c r="G795" s="20">
        <v>1.3735741213195374</v>
      </c>
      <c r="H795" s="20">
        <v>1.2279750086748876E-2</v>
      </c>
      <c r="I795" s="2">
        <f ca="1"/>
        <v>788</v>
      </c>
      <c r="J795">
        <f ca="1"/>
        <v>1.3735741213195374</v>
      </c>
      <c r="K795">
        <f ca="1"/>
        <v>2.1417769688182671E-3</v>
      </c>
    </row>
    <row r="796" spans="7:11">
      <c r="G796" s="20">
        <v>1.3753194505715316</v>
      </c>
      <c r="H796" s="20">
        <v>1.2283467407593975E-2</v>
      </c>
      <c r="I796" s="2">
        <f ca="1"/>
        <v>789</v>
      </c>
      <c r="J796">
        <f ca="1"/>
        <v>1.3753194505715316</v>
      </c>
      <c r="K796">
        <f ca="1"/>
        <v>2.1165416949936251E-3</v>
      </c>
    </row>
    <row r="797" spans="7:11">
      <c r="G797" s="20">
        <v>1.3770647798235258</v>
      </c>
      <c r="H797" s="20">
        <v>1.2287138211015552E-2</v>
      </c>
      <c r="I797" s="2">
        <f ca="1"/>
        <v>790</v>
      </c>
      <c r="J797">
        <f ca="1"/>
        <v>1.3770647798235258</v>
      </c>
      <c r="K797">
        <f ca="1"/>
        <v>2.0931811186185451E-3</v>
      </c>
    </row>
    <row r="798" spans="7:11">
      <c r="G798" s="20">
        <v>1.3788101090755203</v>
      </c>
      <c r="H798" s="20">
        <v>1.229077398806607E-2</v>
      </c>
      <c r="I798" s="2">
        <f ca="1"/>
        <v>791</v>
      </c>
      <c r="J798">
        <f ca="1"/>
        <v>1.3788101090755203</v>
      </c>
      <c r="K798">
        <f ca="1"/>
        <v>2.0705812456219236E-3</v>
      </c>
    </row>
    <row r="799" spans="7:11">
      <c r="G799" s="20">
        <v>1.3805554383275145</v>
      </c>
      <c r="H799" s="20">
        <v>1.2294365903048781E-2</v>
      </c>
      <c r="I799" s="2">
        <f ca="1"/>
        <v>792</v>
      </c>
      <c r="J799">
        <f ca="1"/>
        <v>1.3805554383275145</v>
      </c>
      <c r="K799">
        <f ca="1"/>
        <v>2.0424893557815615E-3</v>
      </c>
    </row>
    <row r="800" spans="7:11">
      <c r="G800" s="20">
        <v>1.3823007675795091</v>
      </c>
      <c r="H800" s="20">
        <v>1.2297903620905135E-2</v>
      </c>
      <c r="I800" s="2">
        <f ca="1"/>
        <v>793</v>
      </c>
      <c r="J800">
        <f ca="1"/>
        <v>1.3823007675795091</v>
      </c>
      <c r="K800">
        <f ca="1"/>
        <v>2.0151594791585439E-3</v>
      </c>
    </row>
    <row r="801" spans="7:11">
      <c r="G801" s="20">
        <v>1.3840460968315034</v>
      </c>
      <c r="H801" s="20">
        <v>1.23014001366216E-2</v>
      </c>
      <c r="I801" s="2">
        <f ca="1"/>
        <v>794</v>
      </c>
      <c r="J801">
        <f ca="1"/>
        <v>1.3840460968315034</v>
      </c>
      <c r="K801">
        <f ca="1"/>
        <v>1.9893713249377297E-3</v>
      </c>
    </row>
    <row r="802" spans="7:11">
      <c r="G802" s="20">
        <v>1.3857914260834978</v>
      </c>
      <c r="H802" s="20">
        <v>1.230484783683812E-2</v>
      </c>
      <c r="I802" s="2">
        <f ca="1"/>
        <v>795</v>
      </c>
      <c r="J802">
        <f ca="1"/>
        <v>1.3857914260834978</v>
      </c>
      <c r="K802">
        <f ca="1"/>
        <v>1.9616115369183616E-3</v>
      </c>
    </row>
    <row r="803" spans="7:11">
      <c r="G803" s="20">
        <v>1.387536755335492</v>
      </c>
      <c r="H803" s="20">
        <v>1.2308247452614466E-2</v>
      </c>
      <c r="I803" s="2">
        <f ca="1"/>
        <v>796</v>
      </c>
      <c r="J803">
        <f ca="1"/>
        <v>1.387536755335492</v>
      </c>
      <c r="K803">
        <f ca="1"/>
        <v>1.9358792773997505E-3</v>
      </c>
    </row>
    <row r="804" spans="7:11">
      <c r="G804" s="20">
        <v>1.3892820845874863</v>
      </c>
      <c r="H804" s="20">
        <v>1.2311605330300471E-2</v>
      </c>
      <c r="I804" s="2">
        <f ca="1"/>
        <v>797</v>
      </c>
      <c r="J804">
        <f ca="1"/>
        <v>1.3892820845874863</v>
      </c>
      <c r="K804">
        <f ca="1"/>
        <v>1.9105353656644244E-3</v>
      </c>
    </row>
    <row r="805" spans="7:11">
      <c r="G805" s="20">
        <v>1.3910274138394807</v>
      </c>
      <c r="H805" s="20">
        <v>1.2314916479135794E-2</v>
      </c>
      <c r="I805" s="2">
        <f ca="1"/>
        <v>798</v>
      </c>
      <c r="J805">
        <f ca="1"/>
        <v>1.3910274138394807</v>
      </c>
      <c r="K805">
        <f ca="1"/>
        <v>1.8843660923981722E-3</v>
      </c>
    </row>
    <row r="806" spans="7:11">
      <c r="G806" s="20">
        <v>1.3927727430914751</v>
      </c>
      <c r="H806" s="20">
        <v>1.2318183008825529E-2</v>
      </c>
      <c r="I806" s="2">
        <f ca="1"/>
        <v>799</v>
      </c>
      <c r="J806">
        <f ca="1"/>
        <v>1.3927727430914751</v>
      </c>
      <c r="K806">
        <f ca="1"/>
        <v>1.8615083533213249E-3</v>
      </c>
    </row>
    <row r="807" spans="7:11">
      <c r="G807" s="20">
        <v>1.3945180723434694</v>
      </c>
      <c r="H807" s="20">
        <v>1.2321414369099561E-2</v>
      </c>
      <c r="I807" s="2">
        <f ca="1"/>
        <v>800</v>
      </c>
      <c r="J807">
        <f ca="1"/>
        <v>1.3945180723434694</v>
      </c>
      <c r="K807">
        <f ca="1"/>
        <v>1.8386200660882087E-3</v>
      </c>
    </row>
    <row r="808" spans="7:11">
      <c r="G808" s="20">
        <v>1.3962634015954636</v>
      </c>
      <c r="H808" s="20">
        <v>1.2324601003594823E-2</v>
      </c>
      <c r="I808" s="2">
        <f ca="1"/>
        <v>801</v>
      </c>
      <c r="J808">
        <f ca="1"/>
        <v>1.3962634015954636</v>
      </c>
      <c r="K808">
        <f ca="1"/>
        <v>1.81020498888776E-3</v>
      </c>
    </row>
    <row r="809" spans="7:11">
      <c r="G809" s="20">
        <v>1.3980087308474578</v>
      </c>
      <c r="H809" s="20">
        <v>1.2327733176537984E-2</v>
      </c>
      <c r="I809" s="2">
        <f ca="1"/>
        <v>802</v>
      </c>
      <c r="J809">
        <f ca="1"/>
        <v>1.3980087308474578</v>
      </c>
      <c r="K809">
        <f ca="1"/>
        <v>1.7829484468765901E-3</v>
      </c>
    </row>
    <row r="810" spans="7:11">
      <c r="G810" s="20">
        <v>1.399754060099452</v>
      </c>
      <c r="H810" s="20">
        <v>1.2330824667753086E-2</v>
      </c>
      <c r="I810" s="2">
        <f ca="1"/>
        <v>803</v>
      </c>
      <c r="J810">
        <f ca="1"/>
        <v>1.399754060099452</v>
      </c>
      <c r="K810">
        <f ca="1"/>
        <v>1.7590476781508832E-3</v>
      </c>
    </row>
    <row r="811" spans="7:11">
      <c r="G811" s="20">
        <v>1.4014993893514465</v>
      </c>
      <c r="H811" s="20">
        <v>1.2333873411274643E-2</v>
      </c>
      <c r="I811" s="2">
        <f ca="1"/>
        <v>804</v>
      </c>
      <c r="J811">
        <f ca="1"/>
        <v>1.4014993893514465</v>
      </c>
      <c r="K811">
        <f ca="1"/>
        <v>1.7343221486478546E-3</v>
      </c>
    </row>
    <row r="812" spans="7:11">
      <c r="G812" s="20">
        <v>1.4032447186034409</v>
      </c>
      <c r="H812" s="20">
        <v>1.233687859410992E-2</v>
      </c>
      <c r="I812" s="2">
        <f ca="1"/>
        <v>805</v>
      </c>
      <c r="J812">
        <f ca="1"/>
        <v>1.4032447186034409</v>
      </c>
      <c r="K812">
        <f ca="1"/>
        <v>1.7115482951203834E-3</v>
      </c>
    </row>
    <row r="813" spans="7:11">
      <c r="G813" s="20">
        <v>1.4049900478554351</v>
      </c>
      <c r="H813" s="20">
        <v>1.2339847841885992E-2</v>
      </c>
      <c r="I813" s="2">
        <f ca="1"/>
        <v>806</v>
      </c>
      <c r="J813">
        <f ca="1"/>
        <v>1.4049900478554351</v>
      </c>
      <c r="K813">
        <f ca="1"/>
        <v>1.6852700129860465E-3</v>
      </c>
    </row>
    <row r="814" spans="7:11">
      <c r="G814" s="20">
        <v>1.4067353771074298</v>
      </c>
      <c r="H814" s="20">
        <v>1.2342761296212267E-2</v>
      </c>
      <c r="I814" s="2">
        <f ca="1"/>
        <v>807</v>
      </c>
      <c r="J814">
        <f ca="1"/>
        <v>1.4067353771074298</v>
      </c>
      <c r="K814">
        <f ca="1"/>
        <v>1.6532585574147805E-3</v>
      </c>
    </row>
    <row r="815" spans="7:11">
      <c r="G815" s="20">
        <v>1.4084807063594238</v>
      </c>
      <c r="H815" s="20">
        <v>1.2345618802928724E-2</v>
      </c>
      <c r="I815" s="2">
        <f ca="1"/>
        <v>808</v>
      </c>
      <c r="J815">
        <f ca="1"/>
        <v>1.4084807063594238</v>
      </c>
      <c r="K815">
        <f ca="1"/>
        <v>1.6273012172030572E-3</v>
      </c>
    </row>
    <row r="816" spans="7:11">
      <c r="G816" s="20">
        <v>1.4102260356114182</v>
      </c>
      <c r="H816" s="20">
        <v>1.2348441649044648E-2</v>
      </c>
      <c r="I816" s="2">
        <f ca="1"/>
        <v>809</v>
      </c>
      <c r="J816">
        <f ca="1"/>
        <v>1.4102260356114182</v>
      </c>
      <c r="K816">
        <f ca="1"/>
        <v>1.6044028681685947E-3</v>
      </c>
    </row>
    <row r="817" spans="7:11">
      <c r="G817" s="20">
        <v>1.4119713648634127</v>
      </c>
      <c r="H817" s="20">
        <v>1.2351219225444321E-2</v>
      </c>
      <c r="I817" s="2">
        <f ca="1"/>
        <v>810</v>
      </c>
      <c r="J817">
        <f ca="1"/>
        <v>1.4119713648634127</v>
      </c>
      <c r="K817">
        <f ca="1"/>
        <v>1.5769234318125111E-3</v>
      </c>
    </row>
    <row r="818" spans="7:11">
      <c r="G818" s="20">
        <v>1.4137166941154069</v>
      </c>
      <c r="H818" s="20">
        <v>1.2353946150232043E-2</v>
      </c>
      <c r="I818" s="2">
        <f ca="1"/>
        <v>811</v>
      </c>
      <c r="J818">
        <f ca="1"/>
        <v>1.4137166941154069</v>
      </c>
      <c r="K818">
        <f ca="1"/>
        <v>1.5501819768894863E-3</v>
      </c>
    </row>
    <row r="819" spans="7:11">
      <c r="G819" s="20">
        <v>1.4154620233674011</v>
      </c>
      <c r="H819" s="20">
        <v>1.235663038134468E-2</v>
      </c>
      <c r="I819" s="2">
        <f ca="1"/>
        <v>812</v>
      </c>
      <c r="J819">
        <f ca="1"/>
        <v>1.4154620233674011</v>
      </c>
      <c r="K819">
        <f ca="1"/>
        <v>1.5259445202624694E-3</v>
      </c>
    </row>
    <row r="820" spans="7:11">
      <c r="G820" s="20">
        <v>1.4172073526193953</v>
      </c>
      <c r="H820" s="20">
        <v>1.2359272701448312E-2</v>
      </c>
      <c r="I820" s="2">
        <f ca="1"/>
        <v>813</v>
      </c>
      <c r="J820">
        <f ca="1"/>
        <v>1.4172073526193953</v>
      </c>
      <c r="K820">
        <f ca="1"/>
        <v>1.5031948905637191E-3</v>
      </c>
    </row>
    <row r="821" spans="7:11">
      <c r="G821" s="20">
        <v>1.41895268187139</v>
      </c>
      <c r="H821" s="20">
        <v>1.2361877521372579E-2</v>
      </c>
      <c r="I821" s="2">
        <f ca="1"/>
        <v>814</v>
      </c>
      <c r="J821">
        <f ca="1"/>
        <v>1.41895268187139</v>
      </c>
      <c r="K821">
        <f ca="1"/>
        <v>1.4772181407584366E-3</v>
      </c>
    </row>
    <row r="822" spans="7:11">
      <c r="G822" s="20">
        <v>1.4206980111233845</v>
      </c>
      <c r="H822" s="20">
        <v>1.2364429165513597E-2</v>
      </c>
      <c r="I822" s="2">
        <f ca="1"/>
        <v>815</v>
      </c>
      <c r="J822">
        <f ca="1"/>
        <v>1.4206980111233845</v>
      </c>
      <c r="K822">
        <f ca="1"/>
        <v>1.4458265824336147E-3</v>
      </c>
    </row>
    <row r="823" spans="7:11">
      <c r="G823" s="20">
        <v>1.4224433403753785</v>
      </c>
      <c r="H823" s="20">
        <v>1.2366924408227844E-2</v>
      </c>
      <c r="I823" s="2">
        <f ca="1"/>
        <v>816</v>
      </c>
      <c r="J823">
        <f ca="1"/>
        <v>1.4224433403753785</v>
      </c>
      <c r="K823">
        <f ca="1"/>
        <v>1.4193399504287515E-3</v>
      </c>
    </row>
    <row r="824" spans="7:11">
      <c r="G824" s="20">
        <v>1.4241886696273727</v>
      </c>
      <c r="H824" s="20">
        <v>1.2369383596581612E-2</v>
      </c>
      <c r="I824" s="2">
        <f ca="1"/>
        <v>817</v>
      </c>
      <c r="J824">
        <f ca="1"/>
        <v>1.4241886696273727</v>
      </c>
      <c r="K824">
        <f ca="1"/>
        <v>1.3962192027545575E-3</v>
      </c>
    </row>
    <row r="825" spans="7:11">
      <c r="G825" s="20">
        <v>1.4259339988793673</v>
      </c>
      <c r="H825" s="20">
        <v>1.2371798132661371E-2</v>
      </c>
      <c r="I825" s="2">
        <f ca="1"/>
        <v>818</v>
      </c>
      <c r="J825">
        <f ca="1"/>
        <v>1.4259339988793673</v>
      </c>
      <c r="K825">
        <f ca="1"/>
        <v>1.3689414472487435E-3</v>
      </c>
    </row>
    <row r="826" spans="7:11">
      <c r="G826" s="20">
        <v>1.4276793281313616</v>
      </c>
      <c r="H826" s="20">
        <v>1.2374162103685913E-2</v>
      </c>
      <c r="I826" s="2">
        <f ca="1"/>
        <v>819</v>
      </c>
      <c r="J826">
        <f ca="1"/>
        <v>1.4276793281313616</v>
      </c>
      <c r="K826">
        <f ca="1"/>
        <v>1.3420387178985824E-3</v>
      </c>
    </row>
    <row r="827" spans="7:11">
      <c r="G827" s="20">
        <v>1.4294246573833558</v>
      </c>
      <c r="H827" s="20">
        <v>1.2376482731524686E-2</v>
      </c>
      <c r="I827" s="2">
        <f ca="1"/>
        <v>820</v>
      </c>
      <c r="J827">
        <f ca="1"/>
        <v>1.4294246573833558</v>
      </c>
      <c r="K827">
        <f ca="1"/>
        <v>1.3170076165738293E-3</v>
      </c>
    </row>
    <row r="828" spans="7:11">
      <c r="G828" s="20">
        <v>1.43116998663535</v>
      </c>
      <c r="H828" s="20">
        <v>1.2378759327522524E-2</v>
      </c>
      <c r="I828" s="2">
        <f ca="1"/>
        <v>821</v>
      </c>
      <c r="J828">
        <f ca="1"/>
        <v>1.43116998663535</v>
      </c>
      <c r="K828">
        <f ca="1"/>
        <v>1.2919819909693775E-3</v>
      </c>
    </row>
    <row r="829" spans="7:11">
      <c r="G829" s="20">
        <v>1.4329153158873447</v>
      </c>
      <c r="H829" s="20">
        <v>1.2380992599448463E-2</v>
      </c>
      <c r="I829" s="2">
        <f ca="1"/>
        <v>822</v>
      </c>
      <c r="J829">
        <f ca="1"/>
        <v>1.4329153158873447</v>
      </c>
      <c r="K829">
        <f ca="1"/>
        <v>1.2691383975042773E-3</v>
      </c>
    </row>
    <row r="830" spans="7:11">
      <c r="G830" s="20">
        <v>1.4346606451393389</v>
      </c>
      <c r="H830" s="20">
        <v>1.2383189456262511E-2</v>
      </c>
      <c r="I830" s="2">
        <f ca="1"/>
        <v>823</v>
      </c>
      <c r="J830">
        <f ca="1"/>
        <v>1.4346606451393389</v>
      </c>
      <c r="K830">
        <f ca="1"/>
        <v>1.2428847265692643E-3</v>
      </c>
    </row>
    <row r="831" spans="7:11">
      <c r="G831" s="20">
        <v>1.4364059743913336</v>
      </c>
      <c r="H831" s="20">
        <v>1.238533108558874E-2</v>
      </c>
      <c r="I831" s="2">
        <f ca="1"/>
        <v>824</v>
      </c>
      <c r="J831">
        <f ca="1"/>
        <v>1.4364059743913336</v>
      </c>
      <c r="K831">
        <f ca="1"/>
        <v>1.2109460229097631E-3</v>
      </c>
    </row>
    <row r="832" spans="7:11">
      <c r="G832" s="20">
        <v>1.4381513036433278</v>
      </c>
      <c r="H832" s="20">
        <v>1.2387416455295253E-2</v>
      </c>
      <c r="I832" s="2">
        <f ca="1"/>
        <v>825</v>
      </c>
      <c r="J832">
        <f ca="1"/>
        <v>1.4381513036433278</v>
      </c>
      <c r="K832">
        <f ca="1"/>
        <v>1.1846859406555881E-3</v>
      </c>
    </row>
    <row r="833" spans="7:11">
      <c r="G833" s="20">
        <v>1.4398966328953218</v>
      </c>
      <c r="H833" s="20">
        <v>1.2389466419642045E-2</v>
      </c>
      <c r="I833" s="2">
        <f ca="1"/>
        <v>826</v>
      </c>
      <c r="J833">
        <f ca="1"/>
        <v>1.4398966328953218</v>
      </c>
      <c r="K833">
        <f ca="1"/>
        <v>1.1615516136531444E-3</v>
      </c>
    </row>
    <row r="834" spans="7:11">
      <c r="G834" s="20">
        <v>1.441641962147316</v>
      </c>
      <c r="H834" s="20">
        <v>1.2391471035313273E-2</v>
      </c>
      <c r="I834" s="2">
        <f ca="1"/>
        <v>827</v>
      </c>
      <c r="J834">
        <f ca="1"/>
        <v>1.441641962147316</v>
      </c>
      <c r="K834">
        <f ca="1"/>
        <v>1.1339965627764682E-3</v>
      </c>
    </row>
    <row r="835" spans="7:11">
      <c r="G835" s="20">
        <v>1.4433872913993102</v>
      </c>
      <c r="H835" s="20">
        <v>1.2393424814387394E-2</v>
      </c>
      <c r="I835" s="2">
        <f ca="1"/>
        <v>828</v>
      </c>
      <c r="J835">
        <f ca="1"/>
        <v>1.4433872913993102</v>
      </c>
      <c r="K835">
        <f ca="1"/>
        <v>1.1070715497363175E-3</v>
      </c>
    </row>
    <row r="836" spans="7:11">
      <c r="G836" s="20">
        <v>1.4451326206513049</v>
      </c>
      <c r="H836" s="20">
        <v>1.2395335444032884E-2</v>
      </c>
      <c r="I836" s="2">
        <f ca="1"/>
        <v>829</v>
      </c>
      <c r="J836">
        <f ca="1"/>
        <v>1.4451326206513049</v>
      </c>
      <c r="K836">
        <f ca="1"/>
        <v>1.082623350072453E-3</v>
      </c>
    </row>
    <row r="837" spans="7:11">
      <c r="G837" s="20">
        <v>1.4468779499032991</v>
      </c>
      <c r="H837" s="20">
        <v>1.2397203882790942E-2</v>
      </c>
      <c r="I837" s="2">
        <f ca="1"/>
        <v>830</v>
      </c>
      <c r="J837">
        <f ca="1"/>
        <v>1.4468779499032991</v>
      </c>
      <c r="K837">
        <f ca="1"/>
        <v>1.0597297364866162E-3</v>
      </c>
    </row>
    <row r="838" spans="7:11">
      <c r="G838" s="20">
        <v>1.4486232791552935</v>
      </c>
      <c r="H838" s="20">
        <v>1.239903459864948E-2</v>
      </c>
      <c r="I838" s="2">
        <f ca="1"/>
        <v>831</v>
      </c>
      <c r="J838">
        <f ca="1"/>
        <v>1.4486232791552935</v>
      </c>
      <c r="K838">
        <f ca="1"/>
        <v>1.0336077996473264E-3</v>
      </c>
    </row>
    <row r="839" spans="7:11">
      <c r="G839" s="20">
        <v>1.450368608407288</v>
      </c>
      <c r="H839" s="20">
        <v>1.240081185464657E-2</v>
      </c>
      <c r="I839" s="2">
        <f ca="1"/>
        <v>832</v>
      </c>
      <c r="J839">
        <f ca="1"/>
        <v>1.450368608407288</v>
      </c>
      <c r="K839">
        <f ca="1"/>
        <v>1.0020569989524603E-3</v>
      </c>
    </row>
    <row r="840" spans="7:11">
      <c r="G840" s="20">
        <v>1.4521139376592822</v>
      </c>
      <c r="H840" s="20">
        <v>1.2402532437434355E-2</v>
      </c>
      <c r="I840" s="2">
        <f ca="1"/>
        <v>833</v>
      </c>
      <c r="J840">
        <f ca="1"/>
        <v>1.4521139376592822</v>
      </c>
      <c r="K840">
        <f ca="1"/>
        <v>9.7541768854834748E-4</v>
      </c>
    </row>
    <row r="841" spans="7:11">
      <c r="G841" s="20">
        <v>1.4538592669112764</v>
      </c>
      <c r="H841" s="20">
        <v>1.2404216704696042E-2</v>
      </c>
      <c r="I841" s="2">
        <f ca="1"/>
        <v>834</v>
      </c>
      <c r="J841">
        <f ca="1"/>
        <v>1.4538592669112764</v>
      </c>
      <c r="K841">
        <f ca="1"/>
        <v>9.5214689528606172E-4</v>
      </c>
    </row>
    <row r="842" spans="7:11">
      <c r="G842" s="20">
        <v>1.4556045961632711</v>
      </c>
      <c r="H842" s="20">
        <v>1.2405856057091432E-2</v>
      </c>
      <c r="I842" s="2">
        <f ca="1"/>
        <v>835</v>
      </c>
      <c r="J842">
        <f ca="1"/>
        <v>1.4556045961632711</v>
      </c>
      <c r="K842">
        <f ca="1"/>
        <v>9.2472044998991325E-4</v>
      </c>
    </row>
    <row r="843" spans="7:11">
      <c r="G843" s="20">
        <v>1.4573499254152653</v>
      </c>
      <c r="H843" s="20">
        <v>1.2407444587998612E-2</v>
      </c>
      <c r="I843" s="2">
        <f ca="1"/>
        <v>836</v>
      </c>
      <c r="J843">
        <f ca="1"/>
        <v>1.4573499254152653</v>
      </c>
      <c r="K843">
        <f ca="1"/>
        <v>8.9767278473878076E-4</v>
      </c>
    </row>
    <row r="844" spans="7:11">
      <c r="G844" s="20">
        <v>1.4590952546672595</v>
      </c>
      <c r="H844" s="20">
        <v>1.240898952623128E-2</v>
      </c>
      <c r="I844" s="2">
        <f ca="1"/>
        <v>837</v>
      </c>
      <c r="J844">
        <f ca="1"/>
        <v>1.4590952546672595</v>
      </c>
      <c r="K844">
        <f ca="1"/>
        <v>8.7307319681954702E-4</v>
      </c>
    </row>
    <row r="845" spans="7:11">
      <c r="G845" s="20">
        <v>1.4608405839192535</v>
      </c>
      <c r="H845" s="20">
        <v>1.2410492188377694E-2</v>
      </c>
      <c r="I845" s="2">
        <f ca="1"/>
        <v>838</v>
      </c>
      <c r="J845">
        <f ca="1"/>
        <v>1.4608405839192535</v>
      </c>
      <c r="K845">
        <f ca="1"/>
        <v>8.5014776135053751E-4</v>
      </c>
    </row>
    <row r="846" spans="7:11">
      <c r="G846" s="20">
        <v>1.4625859131712484</v>
      </c>
      <c r="H846" s="20">
        <v>1.2411957101744085E-2</v>
      </c>
      <c r="I846" s="2">
        <f ca="1"/>
        <v>839</v>
      </c>
      <c r="J846">
        <f ca="1"/>
        <v>1.4625859131712484</v>
      </c>
      <c r="K846">
        <f ca="1"/>
        <v>8.2400003642481702E-4</v>
      </c>
    </row>
    <row r="847" spans="7:11">
      <c r="G847" s="20">
        <v>1.4643312424232426</v>
      </c>
      <c r="H847" s="20">
        <v>1.2413368491112128E-2</v>
      </c>
      <c r="I847" s="2">
        <f ca="1"/>
        <v>840</v>
      </c>
      <c r="J847">
        <f ca="1"/>
        <v>1.4643312424232426</v>
      </c>
      <c r="K847">
        <f ca="1"/>
        <v>7.9240955480780332E-4</v>
      </c>
    </row>
    <row r="848" spans="7:11">
      <c r="G848" s="20">
        <v>1.4660765716752369</v>
      </c>
      <c r="H848" s="20">
        <v>1.2414723132895216E-2</v>
      </c>
      <c r="I848" s="2">
        <f ca="1"/>
        <v>841</v>
      </c>
      <c r="J848">
        <f ca="1"/>
        <v>1.4660765716752369</v>
      </c>
      <c r="K848">
        <f ca="1"/>
        <v>7.6571267547085198E-4</v>
      </c>
    </row>
    <row r="849" spans="7:11">
      <c r="G849" s="20">
        <v>1.4678219009272311</v>
      </c>
      <c r="H849" s="20">
        <v>1.2416041332574372E-2</v>
      </c>
      <c r="I849" s="2">
        <f ca="1"/>
        <v>842</v>
      </c>
      <c r="J849">
        <f ca="1"/>
        <v>1.4678219009272311</v>
      </c>
      <c r="K849">
        <f ca="1"/>
        <v>7.4237970257338872E-4</v>
      </c>
    </row>
    <row r="850" spans="7:11">
      <c r="G850" s="20">
        <v>1.4695672301792253</v>
      </c>
      <c r="H850" s="20">
        <v>1.2417314526917193E-2</v>
      </c>
      <c r="I850" s="2">
        <f ca="1"/>
        <v>843</v>
      </c>
      <c r="J850">
        <f ca="1"/>
        <v>1.4695672301792253</v>
      </c>
      <c r="K850">
        <f ca="1"/>
        <v>7.1490511163914893E-4</v>
      </c>
    </row>
    <row r="851" spans="7:11">
      <c r="G851" s="20">
        <v>1.4713125594312197</v>
      </c>
      <c r="H851" s="20">
        <v>1.241853682218186E-2</v>
      </c>
      <c r="I851" s="2">
        <f ca="1"/>
        <v>844</v>
      </c>
      <c r="J851">
        <f ca="1"/>
        <v>1.4713125594312197</v>
      </c>
      <c r="K851">
        <f ca="1"/>
        <v>6.8780719975494958E-4</v>
      </c>
    </row>
    <row r="852" spans="7:11">
      <c r="G852" s="20">
        <v>1.473057888683214</v>
      </c>
      <c r="H852" s="20">
        <v>1.2419715426968122E-2</v>
      </c>
      <c r="I852" s="2">
        <f ca="1"/>
        <v>845</v>
      </c>
      <c r="J852">
        <f ca="1"/>
        <v>1.473057888683214</v>
      </c>
      <c r="K852">
        <f ca="1"/>
        <v>6.6258039393003699E-4</v>
      </c>
    </row>
    <row r="853" spans="7:11">
      <c r="G853" s="20">
        <v>1.4748032179352084</v>
      </c>
      <c r="H853" s="20">
        <v>1.2420849664068508E-2</v>
      </c>
      <c r="I853" s="2">
        <f ca="1"/>
        <v>846</v>
      </c>
      <c r="J853">
        <f ca="1"/>
        <v>1.4748032179352084</v>
      </c>
      <c r="K853">
        <f ca="1"/>
        <v>6.3736750556130973E-4</v>
      </c>
    </row>
    <row r="854" spans="7:11">
      <c r="G854" s="20">
        <v>1.4765485471872031</v>
      </c>
      <c r="H854" s="20">
        <v>1.2421940259271576E-2</v>
      </c>
      <c r="I854" s="2">
        <f ca="1"/>
        <v>847</v>
      </c>
      <c r="J854">
        <f ca="1"/>
        <v>1.4765485471872031</v>
      </c>
      <c r="K854">
        <f ca="1"/>
        <v>6.1434762211239405E-4</v>
      </c>
    </row>
    <row r="855" spans="7:11">
      <c r="G855" s="20">
        <v>1.4782938764391971</v>
      </c>
      <c r="H855" s="20">
        <v>1.242299414182004E-2</v>
      </c>
      <c r="I855" s="2">
        <f ca="1"/>
        <v>848</v>
      </c>
      <c r="J855">
        <f ca="1"/>
        <v>1.4782938764391971</v>
      </c>
      <c r="K855">
        <f ca="1"/>
        <v>5.8791511537816237E-4</v>
      </c>
    </row>
    <row r="856" spans="7:11">
      <c r="G856" s="20">
        <v>1.4800392056911915</v>
      </c>
      <c r="H856" s="20">
        <v>1.2423992470168694E-2</v>
      </c>
      <c r="I856" s="2">
        <f ca="1"/>
        <v>849</v>
      </c>
      <c r="J856">
        <f ca="1"/>
        <v>1.4800392056911915</v>
      </c>
      <c r="K856">
        <f ca="1"/>
        <v>5.5578873039624716E-4</v>
      </c>
    </row>
    <row r="857" spans="7:11">
      <c r="G857" s="20">
        <v>1.4817845349431857</v>
      </c>
      <c r="H857" s="20">
        <v>1.2424934210478219E-2</v>
      </c>
      <c r="I857" s="2">
        <f ca="1"/>
        <v>850</v>
      </c>
      <c r="J857">
        <f ca="1"/>
        <v>1.4817845349431857</v>
      </c>
      <c r="K857">
        <f ca="1"/>
        <v>5.2935515182498966E-4</v>
      </c>
    </row>
    <row r="858" spans="7:11">
      <c r="G858" s="20">
        <v>1.4835298641951802</v>
      </c>
      <c r="H858" s="20">
        <v>1.2425840268231042E-2</v>
      </c>
      <c r="I858" s="2">
        <f ca="1"/>
        <v>851</v>
      </c>
      <c r="J858">
        <f ca="1"/>
        <v>1.4835298641951802</v>
      </c>
      <c r="K858">
        <f ca="1"/>
        <v>5.060592418119601E-4</v>
      </c>
    </row>
    <row r="859" spans="7:11">
      <c r="G859" s="20">
        <v>1.4852751934471744</v>
      </c>
      <c r="H859" s="20">
        <v>1.2426700690474171E-2</v>
      </c>
      <c r="I859" s="2">
        <f ca="1"/>
        <v>852</v>
      </c>
      <c r="J859">
        <f ca="1"/>
        <v>1.4852751934471744</v>
      </c>
      <c r="K859">
        <f ca="1"/>
        <v>4.783383780285982E-4</v>
      </c>
    </row>
    <row r="860" spans="7:11">
      <c r="G860" s="20">
        <v>1.4870205226991686</v>
      </c>
      <c r="H860" s="20">
        <v>1.2427509984158092E-2</v>
      </c>
      <c r="I860" s="2">
        <f ca="1"/>
        <v>853</v>
      </c>
      <c r="J860">
        <f ca="1"/>
        <v>1.4870205226991686</v>
      </c>
      <c r="K860">
        <f ca="1"/>
        <v>4.5125210040966758E-4</v>
      </c>
    </row>
    <row r="861" spans="7:11">
      <c r="G861" s="20">
        <v>1.4887658519511628</v>
      </c>
      <c r="H861" s="20">
        <v>1.2428275857455909E-2</v>
      </c>
      <c r="I861" s="2">
        <f ca="1"/>
        <v>854</v>
      </c>
      <c r="J861">
        <f ca="1"/>
        <v>1.4887658519511628</v>
      </c>
      <c r="K861">
        <f ca="1"/>
        <v>4.2665170491921778E-4</v>
      </c>
    </row>
    <row r="862" spans="7:11">
      <c r="G862" s="20">
        <v>1.4905111812031571</v>
      </c>
      <c r="H862" s="20">
        <v>1.2428999279560109E-2</v>
      </c>
      <c r="I862" s="2">
        <f ca="1"/>
        <v>855</v>
      </c>
      <c r="J862">
        <f ca="1"/>
        <v>1.4905111812031571</v>
      </c>
      <c r="K862">
        <f ca="1"/>
        <v>4.0361401224495196E-4</v>
      </c>
    </row>
    <row r="863" spans="7:11">
      <c r="G863" s="20">
        <v>1.4922565104551517</v>
      </c>
      <c r="H863" s="20">
        <v>1.2429684736140081E-2</v>
      </c>
      <c r="I863" s="2">
        <f ca="1"/>
        <v>856</v>
      </c>
      <c r="J863">
        <f ca="1"/>
        <v>1.4922565104551517</v>
      </c>
      <c r="K863">
        <f ca="1"/>
        <v>3.7734554570247714E-4</v>
      </c>
    </row>
    <row r="864" spans="7:11">
      <c r="G864" s="20">
        <v>1.4940018397071464</v>
      </c>
      <c r="H864" s="20">
        <v>1.2430316463998158E-2</v>
      </c>
      <c r="I864" s="2">
        <f ca="1"/>
        <v>857</v>
      </c>
      <c r="J864">
        <f ca="1"/>
        <v>1.4940018397071464</v>
      </c>
      <c r="K864">
        <f ca="1"/>
        <v>3.456407666172755E-4</v>
      </c>
    </row>
    <row r="865" spans="7:11">
      <c r="G865" s="20">
        <v>1.4957471689591406</v>
      </c>
      <c r="H865" s="20">
        <v>1.2430891250021399E-2</v>
      </c>
      <c r="I865" s="2">
        <f ca="1"/>
        <v>858</v>
      </c>
      <c r="J865">
        <f ca="1"/>
        <v>1.4957471689591406</v>
      </c>
      <c r="K865">
        <f ca="1"/>
        <v>3.1886160209763925E-4</v>
      </c>
    </row>
    <row r="866" spans="7:11">
      <c r="G866" s="20">
        <v>1.4974924982111348</v>
      </c>
      <c r="H866" s="20">
        <v>1.2431429500961115E-2</v>
      </c>
      <c r="I866" s="2">
        <f ca="1"/>
        <v>859</v>
      </c>
      <c r="J866">
        <f ca="1"/>
        <v>1.4974924982111348</v>
      </c>
      <c r="K866">
        <f ca="1"/>
        <v>2.9546224921503329E-4</v>
      </c>
    </row>
    <row r="867" spans="7:11">
      <c r="G867" s="20">
        <v>1.4992378274631291</v>
      </c>
      <c r="H867" s="20">
        <v>1.2431922607834229E-2</v>
      </c>
      <c r="I867" s="2">
        <f ca="1"/>
        <v>860</v>
      </c>
      <c r="J867">
        <f ca="1"/>
        <v>1.4992378274631291</v>
      </c>
      <c r="K867">
        <f ca="1"/>
        <v>2.6790331642025518E-4</v>
      </c>
    </row>
    <row r="868" spans="7:11">
      <c r="G868" s="20">
        <v>1.5009831567151233</v>
      </c>
      <c r="H868" s="20">
        <v>1.2432364659950824E-2</v>
      </c>
      <c r="I868" s="2">
        <f ca="1"/>
        <v>861</v>
      </c>
      <c r="J868">
        <f ca="1"/>
        <v>1.5009831567151233</v>
      </c>
      <c r="K868">
        <f ca="1"/>
        <v>2.4072790732505828E-4</v>
      </c>
    </row>
    <row r="869" spans="7:11">
      <c r="G869" s="20">
        <v>1.5027284859671175</v>
      </c>
      <c r="H869" s="20">
        <v>1.243276290675108E-2</v>
      </c>
      <c r="I869" s="2">
        <f ca="1"/>
        <v>862</v>
      </c>
      <c r="J869">
        <f ca="1"/>
        <v>1.5027284859671175</v>
      </c>
      <c r="K869">
        <f ca="1"/>
        <v>2.1600935050245673E-4</v>
      </c>
    </row>
    <row r="870" spans="7:11">
      <c r="G870" s="20">
        <v>1.5044738152191119</v>
      </c>
      <c r="H870" s="20">
        <v>1.2433118674827097E-2</v>
      </c>
      <c r="I870" s="2">
        <f ca="1"/>
        <v>863</v>
      </c>
      <c r="J870">
        <f ca="1"/>
        <v>1.5044738152191119</v>
      </c>
      <c r="K870">
        <f ca="1"/>
        <v>1.9297245226867067E-4</v>
      </c>
    </row>
    <row r="871" spans="7:11">
      <c r="G871" s="20">
        <v>1.5062191444711064</v>
      </c>
      <c r="H871" s="20">
        <v>1.2433436507682628E-2</v>
      </c>
      <c r="I871" s="2">
        <f ca="1"/>
        <v>864</v>
      </c>
      <c r="J871">
        <f ca="1"/>
        <v>1.5062191444711064</v>
      </c>
      <c r="K871">
        <f ca="1"/>
        <v>1.6671155751922347E-4</v>
      </c>
    </row>
    <row r="872" spans="7:11">
      <c r="G872" s="20">
        <v>1.5079644737231006</v>
      </c>
      <c r="H872" s="20">
        <v>1.2433700607943065E-2</v>
      </c>
      <c r="I872" s="2">
        <f ca="1"/>
        <v>865</v>
      </c>
      <c r="J872">
        <f ca="1"/>
        <v>1.5079644737231006</v>
      </c>
      <c r="K872">
        <f ca="1"/>
        <v>1.3500185750561064E-4</v>
      </c>
    </row>
    <row r="873" spans="7:11">
      <c r="G873" s="20">
        <v>1.509709802975095</v>
      </c>
      <c r="H873" s="20">
        <v>1.2433907753064584E-2</v>
      </c>
      <c r="I873" s="2">
        <f ca="1"/>
        <v>866</v>
      </c>
      <c r="J873">
        <f ca="1"/>
        <v>1.509709802975095</v>
      </c>
      <c r="K873">
        <f ca="1"/>
        <v>1.0819871536911247E-4</v>
      </c>
    </row>
    <row r="874" spans="7:11">
      <c r="G874" s="20">
        <v>1.5114551322270893</v>
      </c>
      <c r="H874" s="20">
        <v>1.2434078292708988E-2</v>
      </c>
      <c r="I874" s="2">
        <f ca="1"/>
        <v>867</v>
      </c>
      <c r="J874">
        <f ca="1"/>
        <v>1.5114551322270893</v>
      </c>
      <c r="K874">
        <f ca="1"/>
        <v>8.4769953465779529E-5</v>
      </c>
    </row>
    <row r="875" spans="7:11">
      <c r="G875" s="20">
        <v>1.5132004614790837</v>
      </c>
      <c r="H875" s="20">
        <v>1.2434203656023532E-2</v>
      </c>
      <c r="I875" s="2">
        <f ca="1"/>
        <v>868</v>
      </c>
      <c r="J875">
        <f ca="1"/>
        <v>1.5132004614790837</v>
      </c>
      <c r="K875">
        <f ca="1"/>
        <v>5.7196719124489394E-5</v>
      </c>
    </row>
    <row r="876" spans="7:11">
      <c r="G876" s="20">
        <v>1.5149457907310782</v>
      </c>
      <c r="H876" s="20">
        <v>1.2434277946923001E-2</v>
      </c>
      <c r="I876" s="2">
        <f ca="1"/>
        <v>869</v>
      </c>
      <c r="J876">
        <f ca="1"/>
        <v>1.5149457907310782</v>
      </c>
      <c r="K876">
        <f ca="1"/>
        <v>3.0004918978129785E-5</v>
      </c>
    </row>
    <row r="877" spans="7:11">
      <c r="G877" s="20">
        <v>1.5166911199830724</v>
      </c>
      <c r="H877" s="20">
        <v>1.2434308392949124E-2</v>
      </c>
      <c r="I877" s="2">
        <f ca="1"/>
        <v>870</v>
      </c>
      <c r="J877">
        <f ca="1"/>
        <v>1.5166911199830724</v>
      </c>
      <c r="K877">
        <f ca="1"/>
        <v>5.2668573622150232E-6</v>
      </c>
    </row>
    <row r="878" spans="7:11">
      <c r="G878" s="20">
        <v>1.5184364492350666</v>
      </c>
      <c r="H878" s="20">
        <v>1.2434296331723441E-2</v>
      </c>
      <c r="I878" s="2">
        <f ca="1"/>
        <v>871</v>
      </c>
      <c r="J878">
        <f ca="1"/>
        <v>1.5184364492350666</v>
      </c>
      <c r="K878">
        <f ca="1"/>
        <v>-1.7783318182554268E-5</v>
      </c>
    </row>
    <row r="879" spans="7:11">
      <c r="G879" s="20">
        <v>1.520181778487061</v>
      </c>
      <c r="H879" s="20">
        <v>1.2434246317458281E-2</v>
      </c>
      <c r="I879" s="2">
        <f ca="1"/>
        <v>872</v>
      </c>
      <c r="J879">
        <f ca="1"/>
        <v>1.520181778487061</v>
      </c>
      <c r="K879">
        <f ca="1"/>
        <v>-4.4057834938104524E-5</v>
      </c>
    </row>
    <row r="880" spans="7:11">
      <c r="G880" s="20">
        <v>1.5219271077390555</v>
      </c>
      <c r="H880" s="20">
        <v>1.2434142540867247E-2</v>
      </c>
      <c r="I880" s="2">
        <f ca="1"/>
        <v>873</v>
      </c>
      <c r="J880">
        <f ca="1"/>
        <v>1.5219271077390555</v>
      </c>
      <c r="K880">
        <f ca="1"/>
        <v>-7.5783105300504796E-5</v>
      </c>
    </row>
    <row r="881" spans="7:11">
      <c r="G881" s="20">
        <v>1.5236724369910499</v>
      </c>
      <c r="H881" s="20">
        <v>1.2433981784517305E-2</v>
      </c>
      <c r="I881" s="2">
        <f ca="1"/>
        <v>874</v>
      </c>
      <c r="J881">
        <f ca="1"/>
        <v>1.5236724369910499</v>
      </c>
      <c r="K881">
        <f ca="1"/>
        <v>-1.0259722514136935E-4</v>
      </c>
    </row>
    <row r="882" spans="7:11">
      <c r="G882" s="20">
        <v>1.5254177662430441</v>
      </c>
      <c r="H882" s="20">
        <v>1.2433784408990822E-2</v>
      </c>
      <c r="I882" s="2">
        <f ca="1"/>
        <v>875</v>
      </c>
      <c r="J882">
        <f ca="1"/>
        <v>1.5254177662430441</v>
      </c>
      <c r="K882">
        <f ca="1"/>
        <v>-1.2603477183564389E-4</v>
      </c>
    </row>
    <row r="883" spans="7:11">
      <c r="G883" s="20">
        <v>1.5271630954950381</v>
      </c>
      <c r="H883" s="20">
        <v>1.2433541840169199E-2</v>
      </c>
      <c r="I883" s="2">
        <f ca="1"/>
        <v>876</v>
      </c>
      <c r="J883">
        <f ca="1"/>
        <v>1.5271630954950381</v>
      </c>
      <c r="K883">
        <f ca="1"/>
        <v>-1.5361735889217606E-4</v>
      </c>
    </row>
    <row r="884" spans="7:11">
      <c r="G884" s="20">
        <v>1.5289084247470324</v>
      </c>
      <c r="H884" s="20">
        <v>1.2433248183250645E-2</v>
      </c>
      <c r="I884" s="2">
        <f ca="1"/>
        <v>877</v>
      </c>
      <c r="J884">
        <f ca="1"/>
        <v>1.5289084247470324</v>
      </c>
      <c r="K884">
        <f ca="1"/>
        <v>-1.8081653057979032E-4</v>
      </c>
    </row>
    <row r="885" spans="7:11">
      <c r="G885" s="20">
        <v>1.5306537539990268</v>
      </c>
      <c r="H885" s="20">
        <v>1.2432910671409069E-2</v>
      </c>
      <c r="I885" s="2">
        <f ca="1"/>
        <v>878</v>
      </c>
      <c r="J885">
        <f ca="1"/>
        <v>1.5306537539990268</v>
      </c>
      <c r="K885">
        <f ca="1"/>
        <v>-2.0613546672359107E-4</v>
      </c>
    </row>
    <row r="886" spans="7:11">
      <c r="G886" s="20">
        <v>1.5323990832510213</v>
      </c>
      <c r="H886" s="20">
        <v>1.2432528634730752E-2</v>
      </c>
      <c r="I886" s="2">
        <f ca="1"/>
        <v>879</v>
      </c>
      <c r="J886">
        <f ca="1"/>
        <v>1.5323990832510213</v>
      </c>
      <c r="K886">
        <f ca="1"/>
        <v>-2.3143499491800354E-4</v>
      </c>
    </row>
    <row r="887" spans="7:11">
      <c r="G887" s="20">
        <v>1.5341444125030155</v>
      </c>
      <c r="H887" s="20">
        <v>1.2432102810875938E-2</v>
      </c>
      <c r="I887" s="2">
        <f ca="1"/>
        <v>880</v>
      </c>
      <c r="J887">
        <f ca="1"/>
        <v>1.5341444125030155</v>
      </c>
      <c r="K887">
        <f ca="1"/>
        <v>-2.5453126106343037E-4</v>
      </c>
    </row>
    <row r="888" spans="7:11">
      <c r="G888" s="20">
        <v>1.5358897417550099</v>
      </c>
      <c r="H888" s="20">
        <v>1.243164015301979E-2</v>
      </c>
      <c r="I888" s="2">
        <f ca="1"/>
        <v>881</v>
      </c>
      <c r="J888">
        <f ca="1"/>
        <v>1.5358897417550099</v>
      </c>
      <c r="K888">
        <f ca="1"/>
        <v>-2.8104111071450315E-4</v>
      </c>
    </row>
    <row r="889" spans="7:11">
      <c r="G889" s="20">
        <v>1.5376350710070044</v>
      </c>
      <c r="H889" s="20">
        <v>1.2431121792332852E-2</v>
      </c>
      <c r="I889" s="2">
        <f ca="1"/>
        <v>882</v>
      </c>
      <c r="J889">
        <f ca="1"/>
        <v>1.5376350710070044</v>
      </c>
      <c r="K889">
        <f ca="1"/>
        <v>-3.132506376907413E-4</v>
      </c>
    </row>
    <row r="890" spans="7:11">
      <c r="G890" s="20">
        <v>1.5393804002589986</v>
      </c>
      <c r="H890" s="20">
        <v>1.2430546702017455E-2</v>
      </c>
      <c r="I890" s="2">
        <f ca="1"/>
        <v>883</v>
      </c>
      <c r="J890">
        <f ca="1"/>
        <v>1.5393804002589986</v>
      </c>
      <c r="K890">
        <f ca="1"/>
        <v>-3.3975111164859473E-4</v>
      </c>
    </row>
    <row r="891" spans="7:11">
      <c r="G891" s="20">
        <v>1.5411257295109928</v>
      </c>
      <c r="H891" s="20">
        <v>1.2429935837225736E-2</v>
      </c>
      <c r="I891" s="2">
        <f ca="1"/>
        <v>884</v>
      </c>
      <c r="J891">
        <f ca="1"/>
        <v>1.5411257295109928</v>
      </c>
      <c r="K891">
        <f ca="1"/>
        <v>-3.6310194465413948E-4</v>
      </c>
    </row>
    <row r="892" spans="7:11">
      <c r="G892" s="20">
        <v>1.5428710587629875</v>
      </c>
      <c r="H892" s="20">
        <v>1.2429279237126533E-2</v>
      </c>
      <c r="I892" s="2">
        <f ca="1"/>
        <v>885</v>
      </c>
      <c r="J892">
        <f ca="1"/>
        <v>1.5428710587629875</v>
      </c>
      <c r="K892">
        <f ca="1"/>
        <v>-3.9087996373817445E-4</v>
      </c>
    </row>
    <row r="893" spans="7:11">
      <c r="G893" s="20">
        <v>1.5446163880149817</v>
      </c>
      <c r="H893" s="20">
        <v>1.2428571408756275E-2</v>
      </c>
      <c r="I893" s="2">
        <f ca="1"/>
        <v>886</v>
      </c>
      <c r="J893">
        <f ca="1"/>
        <v>1.5446163880149817</v>
      </c>
      <c r="K893">
        <f ca="1"/>
        <v>-4.1801695414912321E-4</v>
      </c>
    </row>
    <row r="894" spans="7:11">
      <c r="G894" s="20">
        <v>1.5463617172669757</v>
      </c>
      <c r="H894" s="20">
        <v>1.2427820082690721E-2</v>
      </c>
      <c r="I894" s="2">
        <f ca="1"/>
        <v>887</v>
      </c>
      <c r="J894">
        <f ca="1"/>
        <v>1.5463617172669757</v>
      </c>
      <c r="K894">
        <f ca="1"/>
        <v>-4.4265832891045011E-4</v>
      </c>
    </row>
    <row r="895" spans="7:11">
      <c r="G895" s="20">
        <v>1.5481070465189699</v>
      </c>
      <c r="H895" s="20">
        <v>1.2427026239696102E-2</v>
      </c>
      <c r="I895" s="2">
        <f ca="1"/>
        <v>888</v>
      </c>
      <c r="J895">
        <f ca="1"/>
        <v>1.5481070465189699</v>
      </c>
      <c r="K895">
        <f ca="1"/>
        <v>-4.6572848689817087E-4</v>
      </c>
    </row>
    <row r="896" spans="7:11">
      <c r="G896" s="20">
        <v>1.5498523757709648</v>
      </c>
      <c r="H896" s="20">
        <v>1.242619438358738E-2</v>
      </c>
      <c r="I896" s="2">
        <f ca="1"/>
        <v>889</v>
      </c>
      <c r="J896">
        <f ca="1"/>
        <v>1.5498523757709648</v>
      </c>
      <c r="K896">
        <f ca="1"/>
        <v>-4.9202881635865357E-4</v>
      </c>
    </row>
    <row r="897" spans="7:11">
      <c r="G897" s="20">
        <v>1.551597705022959</v>
      </c>
      <c r="H897" s="20">
        <v>1.2425308735124072E-2</v>
      </c>
      <c r="I897" s="2">
        <f ca="1"/>
        <v>890</v>
      </c>
      <c r="J897">
        <f ca="1"/>
        <v>1.551597705022959</v>
      </c>
      <c r="K897">
        <f ca="1"/>
        <v>-5.2376899394512919E-4</v>
      </c>
    </row>
    <row r="898" spans="7:11">
      <c r="G898" s="20">
        <v>1.5533430342749535</v>
      </c>
      <c r="H898" s="20">
        <v>1.242436608489454E-2</v>
      </c>
      <c r="I898" s="2">
        <f ca="1"/>
        <v>891</v>
      </c>
      <c r="J898">
        <f ca="1"/>
        <v>1.5533430342749535</v>
      </c>
      <c r="K898">
        <f ca="1"/>
        <v>-5.5057035680181261E-4</v>
      </c>
    </row>
    <row r="899" spans="7:11">
      <c r="G899" s="20">
        <v>1.5550883635269477</v>
      </c>
      <c r="H899" s="20">
        <v>1.2423386882026058E-2</v>
      </c>
      <c r="I899" s="2">
        <f ca="1"/>
        <v>892</v>
      </c>
      <c r="J899">
        <f ca="1"/>
        <v>1.5550883635269477</v>
      </c>
      <c r="K899">
        <f ca="1"/>
        <v>-5.7398050683518632E-4</v>
      </c>
    </row>
    <row r="900" spans="7:11">
      <c r="G900" s="20">
        <v>1.5568336927789419</v>
      </c>
      <c r="H900" s="20">
        <v>1.2422362514957232E-2</v>
      </c>
      <c r="I900" s="2">
        <f ca="1"/>
        <v>893</v>
      </c>
      <c r="J900">
        <f ca="1"/>
        <v>1.5568336927789419</v>
      </c>
      <c r="K900">
        <f ca="1"/>
        <v>-6.0155063235870702E-4</v>
      </c>
    </row>
    <row r="901" spans="7:11">
      <c r="G901" s="20">
        <v>1.5585790220309361</v>
      </c>
      <c r="H901" s="20">
        <v>1.2421287074195635E-2</v>
      </c>
      <c r="I901" s="2">
        <f ca="1"/>
        <v>894</v>
      </c>
      <c r="J901">
        <f ca="1"/>
        <v>1.5585790220309361</v>
      </c>
      <c r="K901">
        <f ca="1"/>
        <v>-6.2873126603926277E-4</v>
      </c>
    </row>
    <row r="902" spans="7:11">
      <c r="G902" s="20">
        <v>1.5603243512829303</v>
      </c>
      <c r="H902" s="20">
        <v>1.2420167828816709E-2</v>
      </c>
      <c r="I902" s="2">
        <f ca="1"/>
        <v>895</v>
      </c>
      <c r="J902">
        <f ca="1"/>
        <v>1.5603243512829303</v>
      </c>
      <c r="K902">
        <f ca="1"/>
        <v>-6.5344593601770757E-4</v>
      </c>
    </row>
    <row r="903" spans="7:11">
      <c r="G903" s="20">
        <v>1.562069680534925</v>
      </c>
      <c r="H903" s="20">
        <v>1.2419006117582178E-2</v>
      </c>
      <c r="I903" s="2">
        <f ca="1"/>
        <v>896</v>
      </c>
      <c r="J903">
        <f ca="1"/>
        <v>1.562069680534925</v>
      </c>
      <c r="K903">
        <f ca="1"/>
        <v>-6.7647082082234659E-4</v>
      </c>
    </row>
    <row r="904" spans="7:11">
      <c r="G904" s="20">
        <v>1.5638150097869192</v>
      </c>
      <c r="H904" s="20">
        <v>1.2417806500193305E-2</v>
      </c>
      <c r="I904" s="2">
        <f ca="1"/>
        <v>897</v>
      </c>
      <c r="J904">
        <f ca="1"/>
        <v>1.5638150097869192</v>
      </c>
      <c r="K904">
        <f ca="1"/>
        <v>-7.0271828232923569E-4</v>
      </c>
    </row>
    <row r="905" spans="7:11">
      <c r="G905" s="20">
        <v>1.5655603390389135</v>
      </c>
      <c r="H905" s="20">
        <v>1.2416553168034057E-2</v>
      </c>
      <c r="I905" s="2">
        <f ca="1"/>
        <v>898</v>
      </c>
      <c r="J905">
        <f ca="1"/>
        <v>1.5655603390389135</v>
      </c>
      <c r="K905">
        <f ca="1"/>
        <v>-7.3441619050088058E-4</v>
      </c>
    </row>
    <row r="906" spans="7:11">
      <c r="G906" s="20">
        <v>1.5673056682909081</v>
      </c>
      <c r="H906" s="20">
        <v>1.2415242904072466E-2</v>
      </c>
      <c r="I906" s="2">
        <f ca="1"/>
        <v>899</v>
      </c>
      <c r="J906">
        <f ca="1"/>
        <v>1.5673056682909081</v>
      </c>
      <c r="K906">
        <f ca="1"/>
        <v>-7.6119568001858007E-4</v>
      </c>
    </row>
    <row r="907" spans="7:11">
      <c r="G907" s="20">
        <v>1.5690509975429023</v>
      </c>
      <c r="H907" s="20">
        <v>1.2413896093860401E-2</v>
      </c>
      <c r="I907" s="2">
        <f ca="1"/>
        <v>900</v>
      </c>
      <c r="J907">
        <f ca="1"/>
        <v>1.5690509975429023</v>
      </c>
      <c r="K907">
        <f ca="1"/>
        <v>-7.8459050098755878E-4</v>
      </c>
    </row>
    <row r="908" spans="7:11">
      <c r="G908" s="20">
        <v>1.5707963267948966</v>
      </c>
      <c r="H908" s="20">
        <v>1.2412504166568045E-2</v>
      </c>
      <c r="I908" s="2">
        <f ca="1"/>
        <v>901</v>
      </c>
      <c r="J908">
        <f ca="1"/>
        <v>1.5707963267948966</v>
      </c>
      <c r="K908">
        <f ca="1"/>
        <v>-8.1212883253104764E-4</v>
      </c>
    </row>
    <row r="909" spans="7:11">
      <c r="G909" s="20">
        <v>1.5725416560468908</v>
      </c>
      <c r="H909" s="20">
        <v>1.2411061229444792E-2</v>
      </c>
      <c r="I909" s="2">
        <f ca="1"/>
        <v>902</v>
      </c>
      <c r="J909">
        <f ca="1"/>
        <v>1.5725416560468908</v>
      </c>
      <c r="K909">
        <f ca="1"/>
        <v>-8.3927978635963297E-4</v>
      </c>
    </row>
    <row r="910" spans="7:11">
      <c r="G910" s="20">
        <v>1.5742869852988852</v>
      </c>
      <c r="H910" s="20">
        <v>1.2409574527444563E-2</v>
      </c>
      <c r="I910" s="2">
        <f ca="1"/>
        <v>903</v>
      </c>
      <c r="J910">
        <f ca="1"/>
        <v>1.5742869852988852</v>
      </c>
      <c r="K910">
        <f ca="1"/>
        <v>-8.6454474660155106E-4</v>
      </c>
    </row>
    <row r="911" spans="7:11">
      <c r="G911" s="20">
        <v>1.5760323145508794</v>
      </c>
      <c r="H911" s="20">
        <v>1.2408043398972989E-2</v>
      </c>
      <c r="I911" s="2">
        <f ca="1"/>
        <v>904</v>
      </c>
      <c r="J911">
        <f ca="1"/>
        <v>1.5760323145508794</v>
      </c>
      <c r="K911">
        <f ca="1"/>
        <v>-8.8978571281255912E-4</v>
      </c>
    </row>
    <row r="912" spans="7:11">
      <c r="G912" s="20">
        <v>1.5777776438028737</v>
      </c>
      <c r="H912" s="20">
        <v>1.2406468589379407E-2</v>
      </c>
      <c r="I912" s="2">
        <f ca="1"/>
        <v>905</v>
      </c>
      <c r="J912">
        <f ca="1"/>
        <v>1.5777776438028737</v>
      </c>
      <c r="K912">
        <f ca="1"/>
        <v>-9.1281786739159693E-4</v>
      </c>
    </row>
    <row r="913" spans="7:11">
      <c r="G913" s="20">
        <v>1.5795229730548681</v>
      </c>
      <c r="H913" s="20">
        <v>1.2404857063521586E-2</v>
      </c>
      <c r="I913" s="2">
        <f ca="1"/>
        <v>906</v>
      </c>
      <c r="J913">
        <f ca="1"/>
        <v>1.5795229730548681</v>
      </c>
      <c r="K913">
        <f ca="1"/>
        <v>-9.3926090044479374E-4</v>
      </c>
    </row>
    <row r="914" spans="7:11">
      <c r="G914" s="20">
        <v>1.5812683023068628</v>
      </c>
      <c r="H914" s="20">
        <v>1.2403189950329805E-2</v>
      </c>
      <c r="I914" s="2">
        <f ca="1"/>
        <v>907</v>
      </c>
      <c r="J914">
        <f ca="1"/>
        <v>1.5812683023068628</v>
      </c>
      <c r="K914">
        <f ca="1"/>
        <v>-9.7140247332922413E-4</v>
      </c>
    </row>
    <row r="915" spans="7:11">
      <c r="G915" s="20">
        <v>1.583013631558857</v>
      </c>
      <c r="H915" s="20">
        <v>1.2401466229217263E-2</v>
      </c>
      <c r="I915" s="2">
        <f ca="1"/>
        <v>908</v>
      </c>
      <c r="J915">
        <f ca="1"/>
        <v>1.583013631558857</v>
      </c>
      <c r="K915">
        <f ca="1"/>
        <v>-9.9782791710579014E-4</v>
      </c>
    </row>
    <row r="916" spans="7:11">
      <c r="G916" s="20">
        <v>1.584758960810851</v>
      </c>
      <c r="H916" s="20">
        <v>1.2399706873825442E-2</v>
      </c>
      <c r="I916" s="2">
        <f ca="1"/>
        <v>909</v>
      </c>
      <c r="J916">
        <f ca="1"/>
        <v>1.584758960810851</v>
      </c>
      <c r="K916">
        <f ca="1"/>
        <v>-1.0210973693421076E-3</v>
      </c>
    </row>
    <row r="917" spans="7:11">
      <c r="G917" s="20">
        <v>1.5865042900628457</v>
      </c>
      <c r="H917" s="20">
        <v>1.2397901927001569E-2</v>
      </c>
      <c r="I917" s="2">
        <f ca="1"/>
        <v>910</v>
      </c>
      <c r="J917">
        <f ca="1"/>
        <v>1.5865042900628457</v>
      </c>
      <c r="K917">
        <f ca="1"/>
        <v>-1.0487914109566739E-3</v>
      </c>
    </row>
    <row r="918" spans="7:11">
      <c r="G918" s="20">
        <v>1.5882496193148399</v>
      </c>
      <c r="H918" s="20">
        <v>1.2396045901167876E-2</v>
      </c>
      <c r="I918" s="2">
        <f ca="1"/>
        <v>911</v>
      </c>
      <c r="J918">
        <f ca="1"/>
        <v>1.5882496193148399</v>
      </c>
      <c r="K918">
        <f ca="1"/>
        <v>-1.0758399133230922E-3</v>
      </c>
    </row>
    <row r="919" spans="7:11">
      <c r="G919" s="20">
        <v>1.5899949485668341</v>
      </c>
      <c r="H919" s="20">
        <v>1.2394146537259197E-2</v>
      </c>
      <c r="I919" s="2">
        <f ca="1"/>
        <v>912</v>
      </c>
      <c r="J919">
        <f ca="1"/>
        <v>1.5899949485668341</v>
      </c>
      <c r="K919">
        <f ca="1"/>
        <v>-1.1003874917417749E-3</v>
      </c>
    </row>
    <row r="920" spans="7:11">
      <c r="G920" s="20">
        <v>1.5917402778188283</v>
      </c>
      <c r="H920" s="20">
        <v>1.2392204824212145E-2</v>
      </c>
      <c r="I920" s="2">
        <f ca="1"/>
        <v>913</v>
      </c>
      <c r="J920">
        <f ca="1"/>
        <v>1.5917402778188283</v>
      </c>
      <c r="K920">
        <f ca="1"/>
        <v>-1.1233588930653082E-3</v>
      </c>
    </row>
    <row r="921" spans="7:11">
      <c r="G921" s="20">
        <v>1.593485607070823</v>
      </c>
      <c r="H921" s="20">
        <v>1.2390225274986087E-2</v>
      </c>
      <c r="I921" s="2">
        <f ca="1"/>
        <v>914</v>
      </c>
      <c r="J921">
        <f ca="1"/>
        <v>1.593485607070823</v>
      </c>
      <c r="K921">
        <f ca="1"/>
        <v>-1.1495568531346705E-3</v>
      </c>
    </row>
    <row r="922" spans="7:11">
      <c r="G922" s="20">
        <v>1.5952309363228172</v>
      </c>
      <c r="H922" s="20">
        <v>1.2388192113806932E-2</v>
      </c>
      <c r="I922" s="2">
        <f ca="1"/>
        <v>915</v>
      </c>
      <c r="J922">
        <f ca="1"/>
        <v>1.5952309363228172</v>
      </c>
      <c r="K922">
        <f ca="1"/>
        <v>-1.1811917855913407E-3</v>
      </c>
    </row>
    <row r="923" spans="7:11">
      <c r="G923" s="20">
        <v>1.5969762655748114</v>
      </c>
      <c r="H923" s="20">
        <v>1.2386102137834872E-2</v>
      </c>
      <c r="I923" s="2">
        <f ca="1"/>
        <v>916</v>
      </c>
      <c r="J923">
        <f ca="1"/>
        <v>1.5969762655748114</v>
      </c>
      <c r="K923">
        <f ca="1"/>
        <v>-1.2078824046166704E-3</v>
      </c>
    </row>
    <row r="924" spans="7:11">
      <c r="G924" s="20">
        <v>1.5987215948268056</v>
      </c>
      <c r="H924" s="20">
        <v>1.2383975808819439E-2</v>
      </c>
      <c r="I924" s="2">
        <f ca="1"/>
        <v>917</v>
      </c>
      <c r="J924">
        <f ca="1"/>
        <v>1.5987215948268056</v>
      </c>
      <c r="K924">
        <f ca="1"/>
        <v>-1.2311763055526663E-3</v>
      </c>
    </row>
    <row r="925" spans="7:11">
      <c r="G925" s="20">
        <v>1.6004669240788003</v>
      </c>
      <c r="H925" s="20">
        <v>1.2381804521793984E-2</v>
      </c>
      <c r="I925" s="2">
        <f ca="1"/>
        <v>918</v>
      </c>
      <c r="J925">
        <f ca="1"/>
        <v>1.6004669240788003</v>
      </c>
      <c r="K925">
        <f ca="1"/>
        <v>-1.2586262458939876E-3</v>
      </c>
    </row>
    <row r="926" spans="7:11">
      <c r="G926" s="20">
        <v>1.6022122533307945</v>
      </c>
      <c r="H926" s="20">
        <v>1.2379582374410865E-2</v>
      </c>
      <c r="I926" s="2">
        <f ca="1"/>
        <v>919</v>
      </c>
      <c r="J926">
        <f ca="1"/>
        <v>1.6022122533307945</v>
      </c>
      <c r="K926">
        <f ca="1"/>
        <v>-1.2856823315426584E-3</v>
      </c>
    </row>
    <row r="927" spans="7:11">
      <c r="G927" s="20">
        <v>1.6039575825827888</v>
      </c>
      <c r="H927" s="20">
        <v>1.2377316643829957E-2</v>
      </c>
      <c r="I927" s="2">
        <f ca="1"/>
        <v>920</v>
      </c>
      <c r="J927">
        <f ca="1"/>
        <v>1.6039575825827888</v>
      </c>
      <c r="K927">
        <f ca="1"/>
        <v>-1.3102679133695861E-3</v>
      </c>
    </row>
    <row r="928" spans="7:11">
      <c r="G928" s="20">
        <v>1.605702911834783</v>
      </c>
      <c r="H928" s="20">
        <v>1.2375008676576559E-2</v>
      </c>
      <c r="I928" s="2">
        <f ca="1"/>
        <v>921</v>
      </c>
      <c r="J928">
        <f ca="1"/>
        <v>1.605702911834783</v>
      </c>
      <c r="K928">
        <f ca="1"/>
        <v>-1.3331591058852944E-3</v>
      </c>
    </row>
    <row r="929" spans="7:11">
      <c r="G929" s="20">
        <v>1.6074482410867776</v>
      </c>
      <c r="H929" s="20">
        <v>1.2372663040659829E-2</v>
      </c>
      <c r="I929" s="2">
        <f ca="1"/>
        <v>922</v>
      </c>
      <c r="J929">
        <f ca="1"/>
        <v>1.6074482410867776</v>
      </c>
      <c r="K929">
        <f ca="1"/>
        <v>-1.3592680329632722E-3</v>
      </c>
    </row>
    <row r="930" spans="7:11">
      <c r="G930" s="20">
        <v>1.6091935703387719</v>
      </c>
      <c r="H930" s="20">
        <v>1.2370263936058095E-2</v>
      </c>
      <c r="I930" s="2">
        <f ca="1"/>
        <v>923</v>
      </c>
      <c r="J930">
        <f ca="1"/>
        <v>1.6091935703387719</v>
      </c>
      <c r="K930">
        <f ca="1"/>
        <v>-1.3908228436071218E-3</v>
      </c>
    </row>
    <row r="931" spans="7:11">
      <c r="G931" s="20">
        <v>1.6109388995907665</v>
      </c>
      <c r="H931" s="20">
        <v>1.2367808153073249E-2</v>
      </c>
      <c r="I931" s="2">
        <f ca="1"/>
        <v>924</v>
      </c>
      <c r="J931">
        <f ca="1"/>
        <v>1.6109388995907665</v>
      </c>
      <c r="K931">
        <f ca="1"/>
        <v>-1.4174552765310183E-3</v>
      </c>
    </row>
    <row r="932" spans="7:11">
      <c r="G932" s="20">
        <v>1.6126842288427605</v>
      </c>
      <c r="H932" s="20">
        <v>1.2365316083743048E-2</v>
      </c>
      <c r="I932" s="2">
        <f ca="1"/>
        <v>925</v>
      </c>
      <c r="J932">
        <f ca="1"/>
        <v>1.6126842288427605</v>
      </c>
      <c r="K932">
        <f ca="1"/>
        <v>-1.440698535255398E-3</v>
      </c>
    </row>
    <row r="933" spans="7:11">
      <c r="G933" s="20">
        <v>1.6144295580947547</v>
      </c>
      <c r="H933" s="20">
        <v>1.2362779166479477E-2</v>
      </c>
      <c r="I933" s="2">
        <f ca="1"/>
        <v>926</v>
      </c>
      <c r="J933">
        <f ca="1"/>
        <v>1.6144295580947547</v>
      </c>
      <c r="K933">
        <f ca="1"/>
        <v>-1.4680800225184928E-3</v>
      </c>
    </row>
    <row r="934" spans="7:11">
      <c r="G934" s="20">
        <v>1.616174887346749</v>
      </c>
      <c r="H934" s="20">
        <v>1.2360191517727909E-2</v>
      </c>
      <c r="I934" s="2">
        <f ca="1"/>
        <v>927</v>
      </c>
      <c r="J934">
        <f ca="1"/>
        <v>1.616174887346749</v>
      </c>
      <c r="K934">
        <f ca="1"/>
        <v>-1.495069749520401E-3</v>
      </c>
    </row>
    <row r="935" spans="7:11">
      <c r="G935" s="20">
        <v>1.6179202165987432</v>
      </c>
      <c r="H935" s="20">
        <v>1.2357560388544258E-2</v>
      </c>
      <c r="I935" s="2">
        <f ca="1"/>
        <v>928</v>
      </c>
      <c r="J935">
        <f ca="1"/>
        <v>1.6179202165987432</v>
      </c>
      <c r="K935">
        <f ca="1"/>
        <v>-1.5201693679377255E-3</v>
      </c>
    </row>
    <row r="936" spans="7:11">
      <c r="G936" s="20">
        <v>1.6196655458507379</v>
      </c>
      <c r="H936" s="20">
        <v>1.2354885125596213E-2</v>
      </c>
      <c r="I936" s="2">
        <f ca="1"/>
        <v>929</v>
      </c>
      <c r="J936">
        <f ca="1"/>
        <v>1.6196655458507379</v>
      </c>
      <c r="K936">
        <f ca="1"/>
        <v>-1.5452404489198017E-3</v>
      </c>
    </row>
    <row r="937" spans="7:11">
      <c r="G937" s="20">
        <v>1.6214108751027321</v>
      </c>
      <c r="H937" s="20">
        <v>1.2352166481830528E-2</v>
      </c>
      <c r="I937" s="2">
        <f ca="1"/>
        <v>930</v>
      </c>
      <c r="J937">
        <f ca="1"/>
        <v>1.6214108751027321</v>
      </c>
      <c r="K937">
        <f ca="1"/>
        <v>-1.5680989955681275E-3</v>
      </c>
    </row>
    <row r="938" spans="7:11">
      <c r="G938" s="20">
        <v>1.6231562043547263</v>
      </c>
      <c r="H938" s="20">
        <v>1.2349411427502238E-2</v>
      </c>
      <c r="I938" s="2">
        <f ca="1"/>
        <v>931</v>
      </c>
      <c r="J938">
        <f ca="1"/>
        <v>1.6231562043547263</v>
      </c>
      <c r="K938">
        <f ca="1"/>
        <v>-1.5943623163108141E-3</v>
      </c>
    </row>
    <row r="939" spans="7:11">
      <c r="G939" s="20">
        <v>1.624901533606721</v>
      </c>
      <c r="H939" s="20">
        <v>1.2346601107452658E-2</v>
      </c>
      <c r="I939" s="2">
        <f ca="1"/>
        <v>932</v>
      </c>
      <c r="J939">
        <f ca="1"/>
        <v>1.624901533606721</v>
      </c>
      <c r="K939">
        <f ca="1"/>
        <v>-1.6263173880424727E-3</v>
      </c>
    </row>
    <row r="940" spans="7:11">
      <c r="G940" s="20">
        <v>1.6266468628587152</v>
      </c>
      <c r="H940" s="20">
        <v>1.2343734508881482E-2</v>
      </c>
      <c r="I940" s="2">
        <f ca="1"/>
        <v>933</v>
      </c>
      <c r="J940">
        <f ca="1"/>
        <v>1.6266468628587152</v>
      </c>
      <c r="K940">
        <f ca="1"/>
        <v>-1.6525544282806777E-3</v>
      </c>
    </row>
    <row r="941" spans="7:11">
      <c r="G941" s="20">
        <v>1.6283921921107094</v>
      </c>
      <c r="H941" s="20">
        <v>1.2340832604284277E-2</v>
      </c>
      <c r="I941" s="2">
        <f ca="1"/>
        <v>934</v>
      </c>
      <c r="J941">
        <f ca="1"/>
        <v>1.6283921921107094</v>
      </c>
      <c r="K941">
        <f ca="1"/>
        <v>-1.6756319216983504E-3</v>
      </c>
    </row>
    <row r="942" spans="7:11">
      <c r="G942" s="20">
        <v>1.6301375213627041</v>
      </c>
      <c r="H942" s="20">
        <v>1.2337885450064451E-2</v>
      </c>
      <c r="I942" s="2">
        <f ca="1"/>
        <v>935</v>
      </c>
      <c r="J942">
        <f ca="1"/>
        <v>1.6301375213627041</v>
      </c>
      <c r="K942">
        <f ca="1"/>
        <v>-1.7031269792882227E-3</v>
      </c>
    </row>
    <row r="943" spans="7:11">
      <c r="G943" s="20">
        <v>1.6318828506146983</v>
      </c>
      <c r="H943" s="20">
        <v>1.2334887569610651E-2</v>
      </c>
      <c r="I943" s="2">
        <f ca="1"/>
        <v>936</v>
      </c>
      <c r="J943">
        <f ca="1"/>
        <v>1.6318828506146983</v>
      </c>
      <c r="K943">
        <f ca="1"/>
        <v>-1.7299724532133852E-3</v>
      </c>
    </row>
    <row r="944" spans="7:11">
      <c r="G944" s="20">
        <v>1.6336281798666923</v>
      </c>
      <c r="H944" s="20">
        <v>1.2331846707008976E-2</v>
      </c>
      <c r="I944" s="2">
        <f ca="1"/>
        <v>937</v>
      </c>
      <c r="J944">
        <f ca="1"/>
        <v>1.6336281798666923</v>
      </c>
      <c r="K944">
        <f ca="1"/>
        <v>-1.7543138927323821E-3</v>
      </c>
    </row>
    <row r="945" spans="7:11">
      <c r="G945" s="20">
        <v>1.6353735091186865</v>
      </c>
      <c r="H945" s="20">
        <v>1.232876385890232E-2</v>
      </c>
      <c r="I945" s="2">
        <f ca="1"/>
        <v>938</v>
      </c>
      <c r="J945">
        <f ca="1"/>
        <v>1.6353735091186865</v>
      </c>
      <c r="K945">
        <f ca="1"/>
        <v>-1.7770755686889116E-3</v>
      </c>
    </row>
    <row r="946" spans="7:11">
      <c r="G946" s="20">
        <v>1.6371188383706814</v>
      </c>
      <c r="H946" s="20">
        <v>1.2325643543062901E-2</v>
      </c>
      <c r="I946" s="2">
        <f ca="1"/>
        <v>939</v>
      </c>
      <c r="J946">
        <f ca="1"/>
        <v>1.6371188383706814</v>
      </c>
      <c r="K946">
        <f ca="1"/>
        <v>-1.8030567092468545E-3</v>
      </c>
    </row>
    <row r="947" spans="7:11">
      <c r="G947" s="20">
        <v>1.6388641676226756</v>
      </c>
      <c r="H947" s="20">
        <v>1.2322470003667013E-2</v>
      </c>
      <c r="I947" s="2">
        <f ca="1"/>
        <v>940</v>
      </c>
      <c r="J947">
        <f ca="1"/>
        <v>1.6388641676226756</v>
      </c>
      <c r="K947">
        <f ca="1"/>
        <v>-1.8344661047004255E-3</v>
      </c>
    </row>
    <row r="948" spans="7:11">
      <c r="G948" s="20">
        <v>1.6406094968746698</v>
      </c>
      <c r="H948" s="20">
        <v>1.231924004835425E-2</v>
      </c>
      <c r="I948" s="2">
        <f ca="1"/>
        <v>941</v>
      </c>
      <c r="J948">
        <f ca="1"/>
        <v>1.6406094968746698</v>
      </c>
      <c r="K948">
        <f ca="1"/>
        <v>-1.8609305104644734E-3</v>
      </c>
    </row>
    <row r="949" spans="7:11">
      <c r="G949" s="20">
        <v>1.6423548261266641</v>
      </c>
      <c r="H949" s="20">
        <v>1.2315974130755329E-2</v>
      </c>
      <c r="I949" s="2">
        <f ca="1"/>
        <v>942</v>
      </c>
      <c r="J949">
        <f ca="1"/>
        <v>1.6423548261266641</v>
      </c>
      <c r="K949">
        <f ca="1"/>
        <v>-1.8839960314878479E-3</v>
      </c>
    </row>
    <row r="950" spans="7:11">
      <c r="G950" s="20">
        <v>1.6441001553786583</v>
      </c>
      <c r="H950" s="20">
        <v>1.2312663661585456E-2</v>
      </c>
      <c r="I950" s="2">
        <f ca="1"/>
        <v>943</v>
      </c>
      <c r="J950">
        <f ca="1"/>
        <v>1.6441001553786583</v>
      </c>
      <c r="K950">
        <f ca="1"/>
        <v>-1.9112091173506872E-3</v>
      </c>
    </row>
    <row r="951" spans="7:11">
      <c r="G951" s="20">
        <v>1.6458454846306527</v>
      </c>
      <c r="H951" s="20">
        <v>1.2309302752396948E-2</v>
      </c>
      <c r="I951" s="2">
        <f ca="1"/>
        <v>944</v>
      </c>
      <c r="J951">
        <f ca="1"/>
        <v>1.6458454846306527</v>
      </c>
      <c r="K951">
        <f ca="1"/>
        <v>-1.938024084155368E-3</v>
      </c>
    </row>
    <row r="952" spans="7:11">
      <c r="G952" s="20">
        <v>1.6475908138826469</v>
      </c>
      <c r="H952" s="20">
        <v>1.2305898681335165E-2</v>
      </c>
      <c r="I952" s="2">
        <f ca="1"/>
        <v>945</v>
      </c>
      <c r="J952">
        <f ca="1"/>
        <v>1.6475908138826469</v>
      </c>
      <c r="K952">
        <f ca="1"/>
        <v>-1.9623662130630677E-3</v>
      </c>
    </row>
    <row r="953" spans="7:11">
      <c r="G953" s="20">
        <v>1.6493361431346414</v>
      </c>
      <c r="H953" s="20">
        <v>1.2302452802087379E-2</v>
      </c>
      <c r="I953" s="2">
        <f ca="1"/>
        <v>946</v>
      </c>
      <c r="J953">
        <f ca="1"/>
        <v>1.6493361431346414</v>
      </c>
      <c r="K953">
        <f ca="1"/>
        <v>-1.9850110342457305E-3</v>
      </c>
    </row>
    <row r="954" spans="7:11">
      <c r="G954" s="20">
        <v>1.6510814723866358</v>
      </c>
      <c r="H954" s="20">
        <v>1.2298969685687963E-2</v>
      </c>
      <c r="I954" s="2">
        <f ca="1"/>
        <v>947</v>
      </c>
      <c r="J954">
        <f ca="1"/>
        <v>1.6510814723866358</v>
      </c>
      <c r="K954">
        <f ca="1"/>
        <v>-2.0108654748924471E-3</v>
      </c>
    </row>
    <row r="955" spans="7:11">
      <c r="G955" s="20">
        <v>1.65282680163863</v>
      </c>
      <c r="H955" s="20">
        <v>1.2295433557417069E-2</v>
      </c>
      <c r="I955" s="2">
        <f ca="1"/>
        <v>948</v>
      </c>
      <c r="J955">
        <f ca="1"/>
        <v>1.65282680163863</v>
      </c>
      <c r="K955">
        <f ca="1"/>
        <v>-2.0421550068785697E-3</v>
      </c>
    </row>
    <row r="956" spans="7:11">
      <c r="G956" s="20">
        <v>1.6545721308906245</v>
      </c>
      <c r="H956" s="20">
        <v>1.2291841219946739E-2</v>
      </c>
      <c r="I956" s="2">
        <f ca="1"/>
        <v>949</v>
      </c>
      <c r="J956">
        <f ca="1"/>
        <v>1.6545721308906245</v>
      </c>
      <c r="K956">
        <f ca="1"/>
        <v>-2.0685229654342401E-3</v>
      </c>
    </row>
    <row r="957" spans="7:11">
      <c r="G957" s="20">
        <v>1.6563174601426189</v>
      </c>
      <c r="H957" s="20">
        <v>1.2288213050137079E-2</v>
      </c>
      <c r="I957" s="2">
        <f ca="1"/>
        <v>950</v>
      </c>
      <c r="J957">
        <f ca="1"/>
        <v>1.6563174601426189</v>
      </c>
      <c r="K957">
        <f ca="1"/>
        <v>-2.0915007124218407E-3</v>
      </c>
    </row>
    <row r="958" spans="7:11">
      <c r="G958" s="20">
        <v>1.6580627893946132</v>
      </c>
      <c r="H958" s="20">
        <v>1.2284540505198826E-2</v>
      </c>
      <c r="I958" s="2">
        <f ca="1"/>
        <v>951</v>
      </c>
      <c r="J958">
        <f ca="1"/>
        <v>1.6580627893946132</v>
      </c>
      <c r="K958">
        <f ca="1"/>
        <v>-2.1186067049342211E-3</v>
      </c>
    </row>
    <row r="959" spans="7:11">
      <c r="G959" s="20">
        <v>1.6598081186466074</v>
      </c>
      <c r="H959" s="20">
        <v>1.2280817717625894E-2</v>
      </c>
      <c r="I959" s="2">
        <f ca="1"/>
        <v>952</v>
      </c>
      <c r="J959">
        <f ca="1"/>
        <v>1.6598081186466074</v>
      </c>
      <c r="K959">
        <f ca="1"/>
        <v>-2.1453167581733895E-3</v>
      </c>
    </row>
    <row r="960" spans="7:11">
      <c r="G960" s="20">
        <v>1.6615534478986016</v>
      </c>
      <c r="H960" s="20">
        <v>1.2277051937013159E-2</v>
      </c>
      <c r="I960" s="2">
        <f ca="1"/>
        <v>953</v>
      </c>
      <c r="J960">
        <f ca="1"/>
        <v>1.6615534478986016</v>
      </c>
      <c r="K960">
        <f ca="1"/>
        <v>-2.1701344229196041E-3</v>
      </c>
    </row>
    <row r="961" spans="7:11">
      <c r="G961" s="20">
        <v>1.6632987771505958</v>
      </c>
      <c r="H961" s="20">
        <v>1.2273242519447732E-2</v>
      </c>
      <c r="I961" s="2">
        <f ca="1"/>
        <v>954</v>
      </c>
      <c r="J961">
        <f ca="1"/>
        <v>1.6632987771505958</v>
      </c>
      <c r="K961">
        <f ca="1"/>
        <v>-2.1949188722307973E-3</v>
      </c>
    </row>
    <row r="962" spans="7:11">
      <c r="G962" s="20">
        <v>1.66504410640259</v>
      </c>
      <c r="H962" s="20">
        <v>1.2269390224786242E-2</v>
      </c>
      <c r="I962" s="2">
        <f ca="1"/>
        <v>955</v>
      </c>
      <c r="J962">
        <f ca="1"/>
        <v>1.66504410640259</v>
      </c>
      <c r="K962">
        <f ca="1"/>
        <v>-2.2174893165108249E-3</v>
      </c>
    </row>
    <row r="963" spans="7:11">
      <c r="G963" s="20">
        <v>1.6667894356545847</v>
      </c>
      <c r="H963" s="20">
        <v>1.2265502021507549E-2</v>
      </c>
      <c r="I963" s="2">
        <f ca="1"/>
        <v>956</v>
      </c>
      <c r="J963">
        <f ca="1"/>
        <v>1.6667894356545847</v>
      </c>
      <c r="K963">
        <f ca="1"/>
        <v>-2.2434541021280419E-3</v>
      </c>
    </row>
    <row r="964" spans="7:11">
      <c r="G964" s="20">
        <v>1.6685347649065794</v>
      </c>
      <c r="H964" s="20">
        <v>1.2261559092646339E-2</v>
      </c>
      <c r="I964" s="2">
        <f ca="1"/>
        <v>957</v>
      </c>
      <c r="J964">
        <f ca="1"/>
        <v>1.6685347649065794</v>
      </c>
      <c r="K964">
        <f ca="1"/>
        <v>-2.2750970216514109E-3</v>
      </c>
    </row>
    <row r="965" spans="7:11">
      <c r="G965" s="20">
        <v>1.6702800941585736</v>
      </c>
      <c r="H965" s="20">
        <v>1.2257560434741521E-2</v>
      </c>
      <c r="I965" s="2">
        <f ca="1"/>
        <v>958</v>
      </c>
      <c r="J965">
        <f ca="1"/>
        <v>1.6702800941585736</v>
      </c>
      <c r="K965">
        <f ca="1"/>
        <v>-2.3010264498023159E-3</v>
      </c>
    </row>
    <row r="966" spans="7:11">
      <c r="G966" s="20">
        <v>1.6720254234105676</v>
      </c>
      <c r="H966" s="20">
        <v>1.2253526995101434E-2</v>
      </c>
      <c r="I966" s="2">
        <f ca="1"/>
        <v>959</v>
      </c>
      <c r="J966">
        <f ca="1"/>
        <v>1.6720254234105676</v>
      </c>
      <c r="K966">
        <f ca="1"/>
        <v>-2.3237961965394032E-3</v>
      </c>
    </row>
    <row r="967" spans="7:11">
      <c r="G967" s="20">
        <v>1.673770752662562</v>
      </c>
      <c r="H967" s="20">
        <v>1.2249448855786535E-2</v>
      </c>
      <c r="I967" s="2">
        <f ca="1"/>
        <v>960</v>
      </c>
      <c r="J967">
        <f ca="1"/>
        <v>1.673770752662562</v>
      </c>
      <c r="K967">
        <f ca="1"/>
        <v>-2.3509709753354812E-3</v>
      </c>
    </row>
    <row r="968" spans="7:11">
      <c r="G968" s="20">
        <v>1.6755160819145563</v>
      </c>
      <c r="H968" s="20">
        <v>1.2245320558273749E-2</v>
      </c>
      <c r="I968" s="2">
        <f ca="1"/>
        <v>961</v>
      </c>
      <c r="J968">
        <f ca="1"/>
        <v>1.6755160819145563</v>
      </c>
      <c r="K968">
        <f ca="1"/>
        <v>-2.3774926102620936E-3</v>
      </c>
    </row>
    <row r="969" spans="7:11">
      <c r="G969" s="20">
        <v>1.6772614111665507</v>
      </c>
      <c r="H969" s="20">
        <v>1.2241149840988353E-2</v>
      </c>
      <c r="I969" s="2">
        <f ca="1"/>
        <v>962</v>
      </c>
      <c r="J969">
        <f ca="1"/>
        <v>1.6772614111665507</v>
      </c>
      <c r="K969">
        <f ca="1"/>
        <v>-2.4015098644463036E-3</v>
      </c>
    </row>
    <row r="970" spans="7:11">
      <c r="G970" s="20">
        <v>1.6790067404185449</v>
      </c>
      <c r="H970" s="20">
        <v>1.2236937707443007E-2</v>
      </c>
      <c r="I970" s="2">
        <f ca="1"/>
        <v>963</v>
      </c>
      <c r="J970">
        <f ca="1"/>
        <v>1.6790067404185449</v>
      </c>
      <c r="K970">
        <f ca="1"/>
        <v>-2.4239454297033218E-3</v>
      </c>
    </row>
    <row r="971" spans="7:11">
      <c r="G971" s="20">
        <v>1.6807520696705394</v>
      </c>
      <c r="H971" s="20">
        <v>1.2232688675260955E-2</v>
      </c>
      <c r="I971" s="2">
        <f ca="1"/>
        <v>964</v>
      </c>
      <c r="J971">
        <f ca="1"/>
        <v>1.6807520696705394</v>
      </c>
      <c r="K971">
        <f ca="1"/>
        <v>-2.449589174914535E-3</v>
      </c>
    </row>
    <row r="972" spans="7:11">
      <c r="G972" s="20">
        <v>1.6824973989225336</v>
      </c>
      <c r="H972" s="20">
        <v>1.2228387028158313E-2</v>
      </c>
      <c r="I972" s="2">
        <f ca="1"/>
        <v>965</v>
      </c>
      <c r="J972">
        <f ca="1"/>
        <v>1.6824973989225336</v>
      </c>
      <c r="K972">
        <f ca="1"/>
        <v>-2.4806456079531779E-3</v>
      </c>
    </row>
    <row r="973" spans="7:11">
      <c r="G973" s="20">
        <v>1.684242728174528</v>
      </c>
      <c r="H973" s="20">
        <v>1.2224029588574171E-2</v>
      </c>
      <c r="I973" s="2">
        <f ca="1"/>
        <v>966</v>
      </c>
      <c r="J973">
        <f ca="1"/>
        <v>1.684242728174528</v>
      </c>
      <c r="K973">
        <f ca="1"/>
        <v>-2.5067620493758546E-3</v>
      </c>
    </row>
    <row r="974" spans="7:11">
      <c r="G974" s="20">
        <v>1.6859880574265222</v>
      </c>
      <c r="H974" s="20">
        <v>1.2219636777893183E-2</v>
      </c>
      <c r="I974" s="2">
        <f ca="1"/>
        <v>967</v>
      </c>
      <c r="J974">
        <f ca="1"/>
        <v>1.6859880574265222</v>
      </c>
      <c r="K974">
        <f ca="1"/>
        <v>-2.5294812228386608E-3</v>
      </c>
    </row>
    <row r="975" spans="7:11">
      <c r="G975" s="20">
        <v>1.6877333866785167</v>
      </c>
      <c r="H975" s="20">
        <v>1.221520003343299E-2</v>
      </c>
      <c r="I975" s="2">
        <f ca="1"/>
        <v>968</v>
      </c>
      <c r="J975">
        <f ca="1"/>
        <v>1.6877333866785167</v>
      </c>
      <c r="K975">
        <f ca="1"/>
        <v>-2.556334266915334E-3</v>
      </c>
    </row>
    <row r="976" spans="7:11">
      <c r="G976" s="20">
        <v>1.6894787159305111</v>
      </c>
      <c r="H976" s="20">
        <v>1.2210713487945337E-2</v>
      </c>
      <c r="I976" s="2">
        <f ca="1"/>
        <v>969</v>
      </c>
      <c r="J976">
        <f ca="1"/>
        <v>1.6894787159305111</v>
      </c>
      <c r="K976">
        <f ca="1"/>
        <v>-2.5827851869103528E-3</v>
      </c>
    </row>
    <row r="977" spans="7:11">
      <c r="G977" s="20">
        <v>1.6912240451825049</v>
      </c>
      <c r="H977" s="20">
        <v>1.2206184412356326E-2</v>
      </c>
      <c r="I977" s="2">
        <f ca="1"/>
        <v>970</v>
      </c>
      <c r="J977">
        <f ca="1"/>
        <v>1.6912240451825049</v>
      </c>
      <c r="K977">
        <f ca="1"/>
        <v>-2.6067637302418377E-3</v>
      </c>
    </row>
    <row r="978" spans="7:11">
      <c r="G978" s="20">
        <v>1.6929693744344996</v>
      </c>
      <c r="H978" s="20">
        <v>1.2201614165962479E-2</v>
      </c>
      <c r="I978" s="2">
        <f ca="1"/>
        <v>971</v>
      </c>
      <c r="J978">
        <f ca="1"/>
        <v>1.6929693744344996</v>
      </c>
      <c r="K978">
        <f ca="1"/>
        <v>-2.6290440269665519E-3</v>
      </c>
    </row>
    <row r="979" spans="7:11">
      <c r="G979" s="20">
        <v>1.6947147036864942</v>
      </c>
      <c r="H979" s="20">
        <v>1.2197007317466233E-2</v>
      </c>
      <c r="I979" s="2">
        <f ca="1"/>
        <v>972</v>
      </c>
      <c r="J979">
        <f ca="1"/>
        <v>1.6947147036864942</v>
      </c>
      <c r="K979">
        <f ca="1"/>
        <v>-2.6545210581396571E-3</v>
      </c>
    </row>
    <row r="980" spans="7:11">
      <c r="G980" s="20">
        <v>1.6964600329384885</v>
      </c>
      <c r="H980" s="20">
        <v>1.2192348139456867E-2</v>
      </c>
      <c r="I980" s="2">
        <f ca="1"/>
        <v>973</v>
      </c>
      <c r="J980">
        <f ca="1"/>
        <v>1.6964600329384885</v>
      </c>
      <c r="K980">
        <f ca="1"/>
        <v>-2.6854149512286008E-3</v>
      </c>
    </row>
    <row r="981" spans="7:11">
      <c r="G981" s="20">
        <v>1.6982053621904827</v>
      </c>
      <c r="H981" s="20">
        <v>1.2187633450929989E-2</v>
      </c>
      <c r="I981" s="2">
        <f ca="1"/>
        <v>974</v>
      </c>
      <c r="J981">
        <f ca="1"/>
        <v>1.6982053621904827</v>
      </c>
      <c r="K981">
        <f ca="1"/>
        <v>-2.7113944864950021E-3</v>
      </c>
    </row>
    <row r="982" spans="7:11">
      <c r="G982" s="20">
        <v>1.6999506914424769</v>
      </c>
      <c r="H982" s="20">
        <v>1.2182883587234915E-2</v>
      </c>
      <c r="I982" s="2">
        <f ca="1"/>
        <v>975</v>
      </c>
      <c r="J982">
        <f ca="1"/>
        <v>1.6999506914424769</v>
      </c>
      <c r="K982">
        <f ca="1"/>
        <v>-2.7339868927493956E-3</v>
      </c>
    </row>
    <row r="983" spans="7:11">
      <c r="G983" s="20">
        <v>1.7016960206944711</v>
      </c>
      <c r="H983" s="20">
        <v>1.2178090036333021E-2</v>
      </c>
      <c r="I983" s="2">
        <f ca="1"/>
        <v>976</v>
      </c>
      <c r="J983">
        <f ca="1"/>
        <v>1.7016960206944711</v>
      </c>
      <c r="K983">
        <f ca="1"/>
        <v>-2.7606917886997665E-3</v>
      </c>
    </row>
    <row r="984" spans="7:11">
      <c r="G984" s="20">
        <v>1.7034413499464653</v>
      </c>
      <c r="H984" s="20">
        <v>1.21732469549658E-2</v>
      </c>
      <c r="I984" s="2">
        <f ca="1"/>
        <v>977</v>
      </c>
      <c r="J984">
        <f ca="1"/>
        <v>1.7034413499464653</v>
      </c>
      <c r="K984">
        <f ca="1"/>
        <v>-2.7869967846704024E-3</v>
      </c>
    </row>
    <row r="985" spans="7:11">
      <c r="G985" s="20">
        <v>1.7051866791984598</v>
      </c>
      <c r="H985" s="20">
        <v>1.2168361582306022E-2</v>
      </c>
      <c r="I985" s="2">
        <f ca="1"/>
        <v>978</v>
      </c>
      <c r="J985">
        <f ca="1"/>
        <v>1.7051866791984598</v>
      </c>
      <c r="K985">
        <f ca="1"/>
        <v>-2.8114092723246593E-3</v>
      </c>
    </row>
    <row r="986" spans="7:11">
      <c r="G986" s="20">
        <v>1.7069320084504542</v>
      </c>
      <c r="H986" s="20">
        <v>1.2163433285281166E-2</v>
      </c>
      <c r="I986" s="2">
        <f ca="1"/>
        <v>979</v>
      </c>
      <c r="J986">
        <f ca="1"/>
        <v>1.7069320084504542</v>
      </c>
      <c r="K986">
        <f ca="1"/>
        <v>-2.83578359735594E-3</v>
      </c>
    </row>
    <row r="987" spans="7:11">
      <c r="G987" s="20">
        <v>1.7086773377024485</v>
      </c>
      <c r="H987" s="20">
        <v>1.215846283017644E-2</v>
      </c>
      <c r="I987" s="2">
        <f ca="1"/>
        <v>980</v>
      </c>
      <c r="J987">
        <f ca="1"/>
        <v>1.7086773377024485</v>
      </c>
      <c r="K987">
        <f ca="1"/>
        <v>-2.8579452468926207E-3</v>
      </c>
    </row>
    <row r="988" spans="7:11">
      <c r="G988" s="20">
        <v>1.7104226669544429</v>
      </c>
      <c r="H988" s="20">
        <v>1.2153457174401167E-2</v>
      </c>
      <c r="I988" s="2">
        <f ca="1"/>
        <v>981</v>
      </c>
      <c r="J988">
        <f ca="1"/>
        <v>1.7104226669544429</v>
      </c>
      <c r="K988">
        <f ca="1"/>
        <v>-2.8834859398876923E-3</v>
      </c>
    </row>
    <row r="989" spans="7:11">
      <c r="G989" s="20">
        <v>1.7121679962064373</v>
      </c>
      <c r="H989" s="20">
        <v>1.2148397565459238E-2</v>
      </c>
      <c r="I989" s="2">
        <f ca="1"/>
        <v>982</v>
      </c>
      <c r="J989">
        <f ca="1"/>
        <v>1.7121679962064373</v>
      </c>
      <c r="K989">
        <f ca="1"/>
        <v>-2.9146830067092819E-3</v>
      </c>
    </row>
    <row r="990" spans="7:11">
      <c r="G990" s="20">
        <v>1.7139133254584316</v>
      </c>
      <c r="H990" s="20">
        <v>1.2143283011377366E-2</v>
      </c>
      <c r="I990" s="2">
        <f ca="1"/>
        <v>983</v>
      </c>
      <c r="J990">
        <f ca="1"/>
        <v>1.7139133254584316</v>
      </c>
      <c r="K990">
        <f ca="1"/>
        <v>-2.9401785184423527E-3</v>
      </c>
    </row>
    <row r="991" spans="7:11">
      <c r="G991" s="20">
        <v>1.715658654710426</v>
      </c>
      <c r="H991" s="20">
        <v>1.2138134406310593E-2</v>
      </c>
      <c r="I991" s="2">
        <f ca="1"/>
        <v>984</v>
      </c>
      <c r="J991">
        <f ca="1"/>
        <v>1.715658654710426</v>
      </c>
      <c r="K991">
        <f ca="1"/>
        <v>-2.9625182405259806E-3</v>
      </c>
    </row>
    <row r="992" spans="7:11">
      <c r="G992" s="20">
        <v>1.7174039839624204</v>
      </c>
      <c r="H992" s="20">
        <v>1.2132941871887851E-2</v>
      </c>
      <c r="I992" s="2">
        <f ca="1"/>
        <v>985</v>
      </c>
      <c r="J992">
        <f ca="1"/>
        <v>1.7174039839624204</v>
      </c>
      <c r="K992">
        <f ca="1"/>
        <v>-2.9892442120923427E-3</v>
      </c>
    </row>
    <row r="993" spans="7:11">
      <c r="G993" s="20">
        <v>1.7191493132144144</v>
      </c>
      <c r="H993" s="20">
        <v>1.2127699975581155E-2</v>
      </c>
      <c r="I993" s="2">
        <f ca="1"/>
        <v>986</v>
      </c>
      <c r="J993">
        <f ca="1"/>
        <v>1.7191493132144144</v>
      </c>
      <c r="K993">
        <f ca="1"/>
        <v>-3.0153139851399609E-3</v>
      </c>
    </row>
    <row r="994" spans="7:11">
      <c r="G994" s="20">
        <v>1.7208946424664087</v>
      </c>
      <c r="H994" s="20">
        <v>1.2122416440483428E-2</v>
      </c>
      <c r="I994" s="2">
        <f ca="1"/>
        <v>987</v>
      </c>
      <c r="J994">
        <f ca="1"/>
        <v>1.7208946424664087</v>
      </c>
      <c r="K994">
        <f ca="1"/>
        <v>-3.0388822400513496E-3</v>
      </c>
    </row>
    <row r="995" spans="7:11">
      <c r="G995" s="20">
        <v>1.7226399717184029</v>
      </c>
      <c r="H995" s="20">
        <v>1.21170922754473E-2</v>
      </c>
      <c r="I995" s="2">
        <f ca="1"/>
        <v>988</v>
      </c>
      <c r="J995">
        <f ca="1"/>
        <v>1.7226399717184029</v>
      </c>
      <c r="K995">
        <f ca="1"/>
        <v>-3.0608690030034269E-3</v>
      </c>
    </row>
    <row r="996" spans="7:11">
      <c r="G996" s="20">
        <v>1.7243853009703978</v>
      </c>
      <c r="H996" s="20">
        <v>1.2111731992068497E-2</v>
      </c>
      <c r="I996" s="2">
        <f ca="1"/>
        <v>989</v>
      </c>
      <c r="J996">
        <f ca="1"/>
        <v>1.7243853009703978</v>
      </c>
      <c r="K996">
        <f ca="1"/>
        <v>-3.0860474169805744E-3</v>
      </c>
    </row>
    <row r="997" spans="7:11">
      <c r="G997" s="20">
        <v>1.726130630222392</v>
      </c>
      <c r="H997" s="20">
        <v>1.2106319937787503E-2</v>
      </c>
      <c r="I997" s="2">
        <f ca="1"/>
        <v>990</v>
      </c>
      <c r="J997">
        <f ca="1"/>
        <v>1.726130630222392</v>
      </c>
      <c r="K997">
        <f ca="1"/>
        <v>-3.1166147496252635E-3</v>
      </c>
    </row>
    <row r="998" spans="7:11">
      <c r="G998" s="20">
        <v>1.7278759594743864</v>
      </c>
      <c r="H998" s="20">
        <v>1.2100852954289061E-2</v>
      </c>
      <c r="I998" s="2">
        <f ca="1"/>
        <v>991</v>
      </c>
      <c r="J998">
        <f ca="1"/>
        <v>1.7278759594743864</v>
      </c>
      <c r="K998">
        <f ca="1"/>
        <v>-3.1422542288299478E-3</v>
      </c>
    </row>
    <row r="999" spans="7:11">
      <c r="G999" s="20">
        <v>1.7296212887263802</v>
      </c>
      <c r="H999" s="20">
        <v>1.2095351401341945E-2</v>
      </c>
      <c r="I999" s="2">
        <f ca="1"/>
        <v>992</v>
      </c>
      <c r="J999">
        <f ca="1"/>
        <v>1.7296212887263802</v>
      </c>
      <c r="K999">
        <f ca="1"/>
        <v>-3.1645025625097337E-3</v>
      </c>
    </row>
    <row r="1000" spans="7:11">
      <c r="G1000" s="20">
        <v>1.7313666179783749</v>
      </c>
      <c r="H1000" s="20">
        <v>1.2089806756508344E-2</v>
      </c>
      <c r="I1000" s="2">
        <f ca="1"/>
        <v>993</v>
      </c>
      <c r="J1000">
        <f ca="1"/>
        <v>1.7313666179783749</v>
      </c>
      <c r="K1000">
        <f ca="1"/>
        <v>-3.19086453486713E-3</v>
      </c>
    </row>
    <row r="1001" spans="7:11">
      <c r="G1001" s="20">
        <v>1.7331119472303691</v>
      </c>
      <c r="H1001" s="20">
        <v>1.2084213182918234E-2</v>
      </c>
      <c r="I1001" s="2">
        <f ca="1"/>
        <v>994</v>
      </c>
      <c r="J1001">
        <f ca="1"/>
        <v>1.7331119472303691</v>
      </c>
      <c r="K1001">
        <f ca="1"/>
        <v>-3.2168207113243454E-3</v>
      </c>
    </row>
    <row r="1002" spans="7:11">
      <c r="G1002" s="20">
        <v>1.7348572764823633</v>
      </c>
      <c r="H1002" s="20">
        <v>1.2078577933936553E-2</v>
      </c>
      <c r="I1002" s="2">
        <f ca="1"/>
        <v>995</v>
      </c>
      <c r="J1002">
        <f ca="1"/>
        <v>1.7348572764823633</v>
      </c>
      <c r="K1002">
        <f ca="1"/>
        <v>-3.2403083618497055E-3</v>
      </c>
    </row>
    <row r="1003" spans="7:11">
      <c r="G1003" s="20">
        <v>1.736602605734358</v>
      </c>
      <c r="H1003" s="20">
        <v>1.2072902372979397E-2</v>
      </c>
      <c r="I1003" s="2">
        <f ca="1"/>
        <v>996</v>
      </c>
      <c r="J1003">
        <f ca="1"/>
        <v>1.736602605734358</v>
      </c>
      <c r="K1003">
        <f ca="1"/>
        <v>-3.2620991166422242E-3</v>
      </c>
    </row>
    <row r="1004" spans="7:11">
      <c r="G1004" s="20">
        <v>1.7383479349863522</v>
      </c>
      <c r="H1004" s="20">
        <v>1.2067191059914191E-2</v>
      </c>
      <c r="I1004" s="2">
        <f ca="1"/>
        <v>997</v>
      </c>
      <c r="J1004">
        <f ca="1"/>
        <v>1.7383479349863522</v>
      </c>
      <c r="K1004">
        <f ca="1"/>
        <v>-3.2870685028491228E-3</v>
      </c>
    </row>
    <row r="1005" spans="7:11">
      <c r="G1005" s="20">
        <v>1.7400932642383464</v>
      </c>
      <c r="H1005" s="20">
        <v>1.2061428339356734E-2</v>
      </c>
      <c r="I1005" s="2">
        <f ca="1"/>
        <v>998</v>
      </c>
      <c r="J1005">
        <f ca="1"/>
        <v>1.7400932642383464</v>
      </c>
      <c r="K1005">
        <f ca="1"/>
        <v>-3.3174278959729694E-3</v>
      </c>
    </row>
    <row r="1006" spans="7:11">
      <c r="G1006" s="20">
        <v>1.7418385934903411</v>
      </c>
      <c r="H1006" s="20">
        <v>1.2055611052017743E-2</v>
      </c>
      <c r="I1006" s="2">
        <f ca="1"/>
        <v>999</v>
      </c>
      <c r="J1006">
        <f ca="1"/>
        <v>1.7418385934903411</v>
      </c>
      <c r="K1006">
        <f ca="1"/>
        <v>-3.3428873165322484E-3</v>
      </c>
    </row>
    <row r="1007" spans="7:11">
      <c r="G1007" s="20">
        <v>1.7435839227423353</v>
      </c>
      <c r="H1007" s="20">
        <v>1.2049759461317405E-2</v>
      </c>
      <c r="I1007" s="2">
        <f ca="1"/>
        <v>1000</v>
      </c>
      <c r="J1007">
        <f ca="1"/>
        <v>1.7435839227423353</v>
      </c>
      <c r="K1007">
        <f ca="1"/>
        <v>-3.3649674999470442E-3</v>
      </c>
    </row>
    <row r="1008" spans="7:11">
      <c r="G1008" s="20">
        <v>1.7453292519943295</v>
      </c>
      <c r="H1008" s="20">
        <v>1.2043865099598408E-2</v>
      </c>
      <c r="I1008" s="2">
        <f ca="1"/>
        <v>1001</v>
      </c>
      <c r="J1008">
        <f ca="1"/>
        <v>1.7453292519943295</v>
      </c>
      <c r="K1008">
        <f ca="1"/>
        <v>-3.3911377416413883E-3</v>
      </c>
    </row>
    <row r="1009" spans="7:11">
      <c r="G1009" s="20">
        <v>1.7470745812463238</v>
      </c>
      <c r="H1009" s="20">
        <v>1.2037922157521348E-2</v>
      </c>
      <c r="I1009" s="2">
        <f ca="1"/>
        <v>1002</v>
      </c>
      <c r="J1009">
        <f ca="1"/>
        <v>1.7470745812463238</v>
      </c>
      <c r="K1009">
        <f ca="1"/>
        <v>-3.4169043885562745E-3</v>
      </c>
    </row>
    <row r="1010" spans="7:11">
      <c r="G1010" s="20">
        <v>1.7488199104983182</v>
      </c>
      <c r="H1010" s="20">
        <v>1.2031937853237178E-2</v>
      </c>
      <c r="I1010" s="2">
        <f ca="1"/>
        <v>1003</v>
      </c>
      <c r="J1010">
        <f ca="1"/>
        <v>1.7488199104983182</v>
      </c>
      <c r="K1010">
        <f ca="1"/>
        <v>-3.4407810253723648E-3</v>
      </c>
    </row>
    <row r="1011" spans="7:11">
      <c r="G1011" s="20">
        <v>1.7505652397503124</v>
      </c>
      <c r="H1011" s="20">
        <v>1.2025911565974769E-2</v>
      </c>
      <c r="I1011" s="2">
        <f ca="1"/>
        <v>1004</v>
      </c>
      <c r="J1011">
        <f ca="1"/>
        <v>1.7505652397503124</v>
      </c>
      <c r="K1011">
        <f ca="1"/>
        <v>-3.4646143160136111E-3</v>
      </c>
    </row>
    <row r="1012" spans="7:11">
      <c r="G1012" s="20">
        <v>1.7523105690023066</v>
      </c>
      <c r="H1012" s="20">
        <v>1.2019844067811945E-2</v>
      </c>
      <c r="I1012" s="2">
        <f ca="1"/>
        <v>1005</v>
      </c>
      <c r="J1012">
        <f ca="1"/>
        <v>1.7523105690023066</v>
      </c>
      <c r="K1012">
        <f ca="1"/>
        <v>-3.4862395894607896E-3</v>
      </c>
    </row>
    <row r="1013" spans="7:11">
      <c r="G1013" s="20">
        <v>1.7540558982543013</v>
      </c>
      <c r="H1013" s="20">
        <v>1.2013742294104875E-2</v>
      </c>
      <c r="I1013" s="2">
        <f ca="1"/>
        <v>1006</v>
      </c>
      <c r="J1013">
        <f ca="1"/>
        <v>1.7540558982543013</v>
      </c>
      <c r="K1013">
        <f ca="1"/>
        <v>-3.5112226895911707E-3</v>
      </c>
    </row>
    <row r="1014" spans="7:11">
      <c r="G1014" s="20">
        <v>1.7558012275062957</v>
      </c>
      <c r="H1014" s="20">
        <v>1.2007587588471124E-2</v>
      </c>
      <c r="I1014" s="2">
        <f ca="1"/>
        <v>1007</v>
      </c>
      <c r="J1014">
        <f ca="1"/>
        <v>1.7558012275062957</v>
      </c>
      <c r="K1014">
        <f ca="1"/>
        <v>-3.5418305648953767E-3</v>
      </c>
    </row>
    <row r="1015" spans="7:11">
      <c r="G1015" s="20">
        <v>1.7575465567582897</v>
      </c>
      <c r="H1015" s="20">
        <v>1.2001378973123837E-2</v>
      </c>
      <c r="I1015" s="2">
        <f ca="1"/>
        <v>1008</v>
      </c>
      <c r="J1015">
        <f ca="1"/>
        <v>1.7575465567582897</v>
      </c>
      <c r="K1015">
        <f ca="1"/>
        <v>-3.5667579246156924E-3</v>
      </c>
    </row>
    <row r="1016" spans="7:11">
      <c r="G1016" s="20">
        <v>1.759291886010284</v>
      </c>
      <c r="H1016" s="20">
        <v>1.1995137254589897E-2</v>
      </c>
      <c r="I1016" s="2">
        <f ca="1"/>
        <v>1009</v>
      </c>
      <c r="J1016">
        <f ca="1"/>
        <v>1.759291886010284</v>
      </c>
      <c r="K1016">
        <f ca="1"/>
        <v>-3.5885383976572349E-3</v>
      </c>
    </row>
    <row r="1017" spans="7:11">
      <c r="G1017" s="20">
        <v>1.7610372152622786</v>
      </c>
      <c r="H1017" s="20">
        <v>1.1988852611049164E-2</v>
      </c>
      <c r="I1017" s="2">
        <f ca="1"/>
        <v>1010</v>
      </c>
      <c r="J1017">
        <f ca="1"/>
        <v>1.7610372152622786</v>
      </c>
      <c r="K1017">
        <f ca="1"/>
        <v>-3.6146785557143275E-3</v>
      </c>
    </row>
    <row r="1018" spans="7:11">
      <c r="G1018" s="20">
        <v>1.7627825445142729</v>
      </c>
      <c r="H1018" s="20">
        <v>1.1982519646150207E-2</v>
      </c>
      <c r="I1018" s="2">
        <f ca="1"/>
        <v>1011</v>
      </c>
      <c r="J1018">
        <f ca="1"/>
        <v>1.7627825445142729</v>
      </c>
      <c r="K1018">
        <f ca="1"/>
        <v>-3.6401601565544694E-3</v>
      </c>
    </row>
    <row r="1019" spans="7:11">
      <c r="G1019" s="20">
        <v>1.7645278737662671</v>
      </c>
      <c r="H1019" s="20">
        <v>1.1976146055042807E-2</v>
      </c>
      <c r="I1019" s="2">
        <f ca="1"/>
        <v>1012</v>
      </c>
      <c r="J1019">
        <f ca="1"/>
        <v>1.7645278737662671</v>
      </c>
      <c r="K1019">
        <f ca="1"/>
        <v>-3.6631468573967403E-3</v>
      </c>
    </row>
    <row r="1020" spans="7:11">
      <c r="G1020" s="20">
        <v>1.7662732030182613</v>
      </c>
      <c r="H1020" s="20">
        <v>1.1969732851421076E-2</v>
      </c>
      <c r="I1020" s="2">
        <f ca="1"/>
        <v>1013</v>
      </c>
      <c r="J1020">
        <f ca="1"/>
        <v>1.7662732030182613</v>
      </c>
      <c r="K1020">
        <f ca="1"/>
        <v>-3.6845547992164578E-3</v>
      </c>
    </row>
    <row r="1021" spans="7:11">
      <c r="G1021" s="20">
        <v>1.768018532270256</v>
      </c>
      <c r="H1021" s="20">
        <v>1.1963284532499509E-2</v>
      </c>
      <c r="I1021" s="2">
        <f ca="1"/>
        <v>1014</v>
      </c>
      <c r="J1021">
        <f ca="1"/>
        <v>1.768018532270256</v>
      </c>
      <c r="K1021">
        <f ca="1"/>
        <v>-3.709132362788001E-3</v>
      </c>
    </row>
    <row r="1022" spans="7:11">
      <c r="G1022" s="20">
        <v>1.7697638615222502</v>
      </c>
      <c r="H1022" s="20">
        <v>1.195678553699649E-2</v>
      </c>
      <c r="I1022" s="2">
        <f ca="1"/>
        <v>1015</v>
      </c>
      <c r="J1022">
        <f ca="1"/>
        <v>1.7697638615222502</v>
      </c>
      <c r="K1022">
        <f ca="1"/>
        <v>-3.7390649336385751E-3</v>
      </c>
    </row>
    <row r="1023" spans="7:11">
      <c r="G1023" s="20">
        <v>1.7715091907742444</v>
      </c>
      <c r="H1023" s="20">
        <v>1.1950232733691939E-2</v>
      </c>
      <c r="I1023" s="2">
        <f ca="1"/>
        <v>1016</v>
      </c>
      <c r="J1023">
        <f ca="1"/>
        <v>1.7715091907742444</v>
      </c>
      <c r="K1023">
        <f ca="1"/>
        <v>-3.7640897467483029E-3</v>
      </c>
    </row>
    <row r="1024" spans="7:11">
      <c r="G1024" s="20">
        <v>1.7732545200262386</v>
      </c>
      <c r="H1024" s="20">
        <v>1.1943646385112227E-2</v>
      </c>
      <c r="I1024" s="2">
        <f ca="1"/>
        <v>1017</v>
      </c>
      <c r="J1024">
        <f ca="1"/>
        <v>1.7732545200262386</v>
      </c>
      <c r="K1024">
        <f ca="1"/>
        <v>-3.7857354622311467E-3</v>
      </c>
    </row>
    <row r="1025" spans="7:11">
      <c r="G1025" s="20">
        <v>1.7749998492782333</v>
      </c>
      <c r="H1025" s="20">
        <v>1.1937018024006849E-2</v>
      </c>
      <c r="I1025" s="2">
        <f ca="1"/>
        <v>1018</v>
      </c>
      <c r="J1025">
        <f ca="1"/>
        <v>1.7749998492782333</v>
      </c>
      <c r="K1025">
        <f ca="1"/>
        <v>-3.8114669962499505E-3</v>
      </c>
    </row>
    <row r="1026" spans="7:11">
      <c r="G1026" s="20">
        <v>1.7767451785302275</v>
      </c>
      <c r="H1026" s="20">
        <v>1.1930341855429094E-2</v>
      </c>
      <c r="I1026" s="2">
        <f ca="1"/>
        <v>1019</v>
      </c>
      <c r="J1026">
        <f ca="1"/>
        <v>1.7767451785302275</v>
      </c>
      <c r="K1026">
        <f ca="1"/>
        <v>-3.8367891840146951E-3</v>
      </c>
    </row>
    <row r="1027" spans="7:11">
      <c r="G1027" s="20">
        <v>1.7784905077822215</v>
      </c>
      <c r="H1027" s="20">
        <v>1.1923625103213658E-2</v>
      </c>
      <c r="I1027" s="2">
        <f ca="1"/>
        <v>1020</v>
      </c>
      <c r="J1027">
        <f ca="1"/>
        <v>1.7784905077822215</v>
      </c>
      <c r="K1027">
        <f ca="1"/>
        <v>-3.8596506802637681E-3</v>
      </c>
    </row>
    <row r="1028" spans="7:11">
      <c r="G1028" s="20">
        <v>1.780235837034216</v>
      </c>
      <c r="H1028" s="20">
        <v>1.1916869132959607E-2</v>
      </c>
      <c r="I1028" s="2">
        <f ca="1"/>
        <v>1021</v>
      </c>
      <c r="J1028">
        <f ca="1"/>
        <v>1.780235837034216</v>
      </c>
      <c r="K1028">
        <f ca="1"/>
        <v>-3.8808195796143159E-3</v>
      </c>
    </row>
    <row r="1029" spans="7:11">
      <c r="G1029" s="20">
        <v>1.7819811662862106</v>
      </c>
      <c r="H1029" s="20">
        <v>1.191007848734563E-2</v>
      </c>
      <c r="I1029" s="2">
        <f ca="1"/>
        <v>1022</v>
      </c>
      <c r="J1029">
        <f ca="1"/>
        <v>1.7819811662862106</v>
      </c>
      <c r="K1029">
        <f ca="1"/>
        <v>-3.9051429357942215E-3</v>
      </c>
    </row>
    <row r="1030" spans="7:11">
      <c r="G1030" s="20">
        <v>1.7837264955382048</v>
      </c>
      <c r="H1030" s="20">
        <v>1.1903237612561485E-2</v>
      </c>
      <c r="I1030" s="2">
        <f ca="1"/>
        <v>1023</v>
      </c>
      <c r="J1030">
        <f ca="1"/>
        <v>1.7837264955382048</v>
      </c>
      <c r="K1030">
        <f ca="1"/>
        <v>-3.9348189586116801E-3</v>
      </c>
    </row>
    <row r="1031" spans="7:11">
      <c r="G1031" s="20">
        <v>1.7854718247901991</v>
      </c>
      <c r="H1031" s="20">
        <v>1.1896343378086097E-2</v>
      </c>
      <c r="I1031" s="2">
        <f ca="1"/>
        <v>1024</v>
      </c>
      <c r="J1031">
        <f ca="1"/>
        <v>1.7854718247901991</v>
      </c>
      <c r="K1031">
        <f ca="1"/>
        <v>-3.9596179638856765E-3</v>
      </c>
    </row>
    <row r="1032" spans="7:11">
      <c r="G1032" s="20">
        <v>1.7872171540421935</v>
      </c>
      <c r="H1032" s="20">
        <v>1.1889415938443301E-2</v>
      </c>
      <c r="I1032" s="2">
        <f ca="1"/>
        <v>1025</v>
      </c>
      <c r="J1032">
        <f ca="1"/>
        <v>1.7872171540421935</v>
      </c>
      <c r="K1032">
        <f ca="1"/>
        <v>-3.9810515411395969E-3</v>
      </c>
    </row>
    <row r="1033" spans="7:11">
      <c r="G1033" s="20">
        <v>1.7889624832941877</v>
      </c>
      <c r="H1033" s="20">
        <v>1.1882446886669201E-2</v>
      </c>
      <c r="I1033" s="2">
        <f ca="1"/>
        <v>1026</v>
      </c>
      <c r="J1033">
        <f ca="1"/>
        <v>1.7889624832941877</v>
      </c>
      <c r="K1033">
        <f ca="1"/>
        <v>-4.0065448008672656E-3</v>
      </c>
    </row>
    <row r="1034" spans="7:11">
      <c r="G1034" s="20">
        <v>1.7907078125461819</v>
      </c>
      <c r="H1034" s="20">
        <v>1.1875430458762543E-2</v>
      </c>
      <c r="I1034" s="2">
        <f ca="1"/>
        <v>1027</v>
      </c>
      <c r="J1034">
        <f ca="1"/>
        <v>1.7907078125461819</v>
      </c>
      <c r="K1034">
        <f ca="1"/>
        <v>-4.0316311091464887E-3</v>
      </c>
    </row>
    <row r="1035" spans="7:11">
      <c r="G1035" s="20">
        <v>1.7924531417981762</v>
      </c>
      <c r="H1035" s="20">
        <v>1.1868373839253115E-2</v>
      </c>
      <c r="I1035" s="2">
        <f ca="1"/>
        <v>1028</v>
      </c>
      <c r="J1035">
        <f ca="1"/>
        <v>1.7924531417981762</v>
      </c>
      <c r="K1035">
        <f ca="1"/>
        <v>-4.0548329618339592E-3</v>
      </c>
    </row>
    <row r="1036" spans="7:11">
      <c r="G1036" s="20">
        <v>1.7941984710501708</v>
      </c>
      <c r="H1036" s="20">
        <v>1.1861276421602063E-2</v>
      </c>
      <c r="I1036" s="2">
        <f ca="1"/>
        <v>1029</v>
      </c>
      <c r="J1036">
        <f ca="1"/>
        <v>1.7941984710501708</v>
      </c>
      <c r="K1036">
        <f ca="1"/>
        <v>-4.0779859466664034E-3</v>
      </c>
    </row>
    <row r="1037" spans="7:11">
      <c r="G1037" s="20">
        <v>1.795943800302165</v>
      </c>
      <c r="H1037" s="20">
        <v>1.1854138982929236E-2</v>
      </c>
      <c r="I1037" s="2">
        <f ca="1"/>
        <v>1030</v>
      </c>
      <c r="J1037">
        <f ca="1"/>
        <v>1.795943800302165</v>
      </c>
      <c r="K1037">
        <f ca="1"/>
        <v>-4.0989395973295749E-3</v>
      </c>
    </row>
    <row r="1038" spans="7:11">
      <c r="G1038" s="20">
        <v>1.7976891295541593</v>
      </c>
      <c r="H1038" s="20">
        <v>1.1846968423239309E-2</v>
      </c>
      <c r="I1038" s="2">
        <f ca="1"/>
        <v>1031</v>
      </c>
      <c r="J1038">
        <f ca="1"/>
        <v>1.7976891295541593</v>
      </c>
      <c r="K1038">
        <f ca="1"/>
        <v>-4.1232232036479523E-3</v>
      </c>
    </row>
    <row r="1039" spans="7:11">
      <c r="G1039" s="20">
        <v>1.7994344588061539</v>
      </c>
      <c r="H1039" s="20">
        <v>1.1839746218789578E-2</v>
      </c>
      <c r="I1039" s="2">
        <f ca="1"/>
        <v>1032</v>
      </c>
      <c r="J1039">
        <f ca="1"/>
        <v>1.7994344588061539</v>
      </c>
      <c r="K1039">
        <f ca="1"/>
        <v>-4.153088545906629E-3</v>
      </c>
    </row>
    <row r="1040" spans="7:11">
      <c r="G1040" s="20">
        <v>1.8011797880581482</v>
      </c>
      <c r="H1040" s="20">
        <v>1.1832471409388721E-2</v>
      </c>
      <c r="I1040" s="2">
        <f ca="1"/>
        <v>1033</v>
      </c>
      <c r="J1040">
        <f ca="1"/>
        <v>1.8011797880581482</v>
      </c>
      <c r="K1040">
        <f ca="1"/>
        <v>-4.1773048120195312E-3</v>
      </c>
    </row>
    <row r="1041" spans="7:11">
      <c r="G1041" s="20">
        <v>1.8029251173101424</v>
      </c>
      <c r="H1041" s="20">
        <v>1.1825164674223751E-2</v>
      </c>
      <c r="I1041" s="2">
        <f ca="1"/>
        <v>1034</v>
      </c>
      <c r="J1041">
        <f ca="1"/>
        <v>1.8029251173101424</v>
      </c>
      <c r="K1041">
        <f ca="1"/>
        <v>-4.1983888508268325E-3</v>
      </c>
    </row>
    <row r="1042" spans="7:11">
      <c r="G1042" s="20">
        <v>1.804670446562137</v>
      </c>
      <c r="H1042" s="20">
        <v>1.1817816267643531E-2</v>
      </c>
      <c r="I1042" s="2">
        <f ca="1"/>
        <v>1035</v>
      </c>
      <c r="J1042">
        <f ca="1"/>
        <v>1.804670446562137</v>
      </c>
      <c r="K1042">
        <f ca="1"/>
        <v>-4.2237972762717768E-3</v>
      </c>
    </row>
    <row r="1043" spans="7:11">
      <c r="G1043" s="20">
        <v>1.8064157758141308</v>
      </c>
      <c r="H1043" s="20">
        <v>1.1810420840342209E-2</v>
      </c>
      <c r="I1043" s="2">
        <f ca="1"/>
        <v>1036</v>
      </c>
      <c r="J1043">
        <f ca="1"/>
        <v>1.8064157758141308</v>
      </c>
      <c r="K1043">
        <f ca="1"/>
        <v>-4.2485456114299425E-3</v>
      </c>
    </row>
    <row r="1044" spans="7:11">
      <c r="G1044" s="20">
        <v>1.8081611050661253</v>
      </c>
      <c r="H1044" s="20">
        <v>1.1802986045775411E-2</v>
      </c>
      <c r="I1044" s="2">
        <f ca="1"/>
        <v>1037</v>
      </c>
      <c r="J1044">
        <f ca="1"/>
        <v>1.8081611050661253</v>
      </c>
      <c r="K1044">
        <f ca="1"/>
        <v>-4.2708100538406063E-3</v>
      </c>
    </row>
    <row r="1045" spans="7:11">
      <c r="G1045" s="20">
        <v>1.8099064343181195</v>
      </c>
      <c r="H1045" s="20">
        <v>1.179551290090885E-2</v>
      </c>
      <c r="I1045" s="2">
        <f ca="1"/>
        <v>1038</v>
      </c>
      <c r="J1045">
        <f ca="1"/>
        <v>1.8099064343181195</v>
      </c>
      <c r="K1045">
        <f ca="1"/>
        <v>-4.2915015346637452E-3</v>
      </c>
    </row>
    <row r="1046" spans="7:11">
      <c r="G1046" s="20">
        <v>1.8116517635701144</v>
      </c>
      <c r="H1046" s="20">
        <v>1.1788005879448555E-2</v>
      </c>
      <c r="I1046" s="2">
        <f ca="1"/>
        <v>1039</v>
      </c>
      <c r="J1046">
        <f ca="1"/>
        <v>1.8116517635701144</v>
      </c>
      <c r="K1046">
        <f ca="1"/>
        <v>-4.3153337009434033E-3</v>
      </c>
    </row>
    <row r="1047" spans="7:11">
      <c r="G1047" s="20">
        <v>1.8133970928221086</v>
      </c>
      <c r="H1047" s="20">
        <v>1.1780449544628101E-2</v>
      </c>
      <c r="I1047" s="2">
        <f ca="1"/>
        <v>1040</v>
      </c>
      <c r="J1047">
        <f ca="1"/>
        <v>1.8133970928221086</v>
      </c>
      <c r="K1047">
        <f ca="1"/>
        <v>-4.3444755044758331E-3</v>
      </c>
    </row>
    <row r="1048" spans="7:11">
      <c r="G1048" s="20">
        <v>1.8151424220741028</v>
      </c>
      <c r="H1048" s="20">
        <v>1.1772840799083487E-2</v>
      </c>
      <c r="I1048" s="2">
        <f ca="1"/>
        <v>1041</v>
      </c>
      <c r="J1048">
        <f ca="1"/>
        <v>1.8151424220741028</v>
      </c>
      <c r="K1048">
        <f ca="1"/>
        <v>-4.3687393909768064E-3</v>
      </c>
    </row>
    <row r="1049" spans="7:11">
      <c r="G1049" s="20">
        <v>1.8168877513260968</v>
      </c>
      <c r="H1049" s="20">
        <v>1.176519976732128E-2</v>
      </c>
      <c r="I1049" s="2">
        <f ca="1"/>
        <v>1042</v>
      </c>
      <c r="J1049">
        <f ca="1"/>
        <v>1.8168877513260968</v>
      </c>
      <c r="K1049">
        <f ca="1"/>
        <v>-4.389642673542556E-3</v>
      </c>
    </row>
    <row r="1050" spans="7:11">
      <c r="G1050" s="20">
        <v>1.8186330805780915</v>
      </c>
      <c r="H1050" s="20">
        <v>1.1757518055555614E-2</v>
      </c>
      <c r="I1050" s="2">
        <f ca="1"/>
        <v>1043</v>
      </c>
      <c r="J1050">
        <f ca="1"/>
        <v>1.8186330805780915</v>
      </c>
      <c r="K1050">
        <f ca="1"/>
        <v>-4.4145951418064037E-3</v>
      </c>
    </row>
    <row r="1051" spans="7:11">
      <c r="G1051" s="20">
        <v>1.8203784098300857</v>
      </c>
      <c r="H1051" s="20">
        <v>1.1749789923247865E-2</v>
      </c>
      <c r="I1051" s="2">
        <f ca="1"/>
        <v>1044</v>
      </c>
      <c r="J1051">
        <f ca="1"/>
        <v>1.8203784098300857</v>
      </c>
      <c r="K1051">
        <f ca="1"/>
        <v>-4.4391351664872965E-3</v>
      </c>
    </row>
    <row r="1052" spans="7:11">
      <c r="G1052" s="20">
        <v>1.8221237390820799</v>
      </c>
      <c r="H1052" s="20">
        <v>1.1742022550636361E-2</v>
      </c>
      <c r="I1052" s="2">
        <f ca="1"/>
        <v>1045</v>
      </c>
      <c r="J1052">
        <f ca="1"/>
        <v>1.8221237390820799</v>
      </c>
      <c r="K1052">
        <f ca="1"/>
        <v>-4.4612270055056904E-3</v>
      </c>
    </row>
    <row r="1053" spans="7:11">
      <c r="G1053" s="20">
        <v>1.8238690683340744</v>
      </c>
      <c r="H1053" s="20">
        <v>1.1734217303262873E-2</v>
      </c>
      <c r="I1053" s="2">
        <f ca="1"/>
        <v>1046</v>
      </c>
      <c r="J1053">
        <f ca="1"/>
        <v>1.8238690683340744</v>
      </c>
      <c r="K1053">
        <f ca="1"/>
        <v>-4.4816339540136359E-3</v>
      </c>
    </row>
    <row r="1054" spans="7:11">
      <c r="G1054" s="20">
        <v>1.8256143975860688</v>
      </c>
      <c r="H1054" s="20">
        <v>1.1726378696963018E-2</v>
      </c>
      <c r="I1054" s="2">
        <f ca="1"/>
        <v>1047</v>
      </c>
      <c r="J1054">
        <f ca="1"/>
        <v>1.8256143975860688</v>
      </c>
      <c r="K1054">
        <f ca="1"/>
        <v>-4.5051640118314142E-3</v>
      </c>
    </row>
    <row r="1055" spans="7:11">
      <c r="G1055" s="20">
        <v>1.827359726838063</v>
      </c>
      <c r="H1055" s="20">
        <v>1.171849131419311E-2</v>
      </c>
      <c r="I1055" s="2">
        <f ca="1"/>
        <v>1048</v>
      </c>
      <c r="J1055">
        <f ca="1"/>
        <v>1.827359726838063</v>
      </c>
      <c r="K1055">
        <f ca="1"/>
        <v>-4.5339971987385401E-3</v>
      </c>
    </row>
    <row r="1056" spans="7:11">
      <c r="G1056" s="20">
        <v>1.8291050560900575</v>
      </c>
      <c r="H1056" s="20">
        <v>1.171055206108418E-2</v>
      </c>
      <c r="I1056" s="2">
        <f ca="1"/>
        <v>1049</v>
      </c>
      <c r="J1056">
        <f ca="1"/>
        <v>1.8291050560900575</v>
      </c>
      <c r="K1056">
        <f ca="1"/>
        <v>-4.5579864834133258E-3</v>
      </c>
    </row>
    <row r="1057" spans="7:11">
      <c r="G1057" s="20">
        <v>1.8308503853420519</v>
      </c>
      <c r="H1057" s="20">
        <v>1.1702580939913717E-2</v>
      </c>
      <c r="I1057" s="2">
        <f ca="1"/>
        <v>1050</v>
      </c>
      <c r="J1057">
        <f ca="1"/>
        <v>1.8308503853420519</v>
      </c>
      <c r="K1057">
        <f ca="1"/>
        <v>-4.578631143211327E-3</v>
      </c>
    </row>
    <row r="1058" spans="7:11">
      <c r="G1058" s="20">
        <v>1.8325957145940461</v>
      </c>
      <c r="H1058" s="20">
        <v>1.1694569623347502E-2</v>
      </c>
      <c r="I1058" s="2">
        <f ca="1"/>
        <v>1051</v>
      </c>
      <c r="J1058">
        <f ca="1"/>
        <v>1.8325957145940461</v>
      </c>
      <c r="K1058">
        <f ca="1"/>
        <v>-4.6032958308220295E-3</v>
      </c>
    </row>
    <row r="1059" spans="7:11">
      <c r="G1059" s="20">
        <v>1.8343410438460404</v>
      </c>
      <c r="H1059" s="20">
        <v>1.1686512406175483E-2</v>
      </c>
      <c r="I1059" s="2">
        <f ca="1"/>
        <v>1052</v>
      </c>
      <c r="J1059">
        <f ca="1"/>
        <v>1.8343410438460404</v>
      </c>
      <c r="K1059">
        <f ca="1"/>
        <v>-4.6275506305150692E-3</v>
      </c>
    </row>
    <row r="1060" spans="7:11">
      <c r="G1060" s="20">
        <v>1.8360863730980344</v>
      </c>
      <c r="H1060" s="20">
        <v>1.1678416424386459E-2</v>
      </c>
      <c r="I1060" s="2">
        <f ca="1"/>
        <v>1053</v>
      </c>
      <c r="J1060">
        <f ca="1"/>
        <v>1.8360863730980344</v>
      </c>
      <c r="K1060">
        <f ca="1"/>
        <v>-4.6499302173588775E-3</v>
      </c>
    </row>
    <row r="1061" spans="7:11">
      <c r="G1061" s="20">
        <v>1.8378317023500288</v>
      </c>
      <c r="H1061" s="20">
        <v>1.1670281087719307E-2</v>
      </c>
      <c r="I1061" s="2">
        <f ca="1"/>
        <v>1054</v>
      </c>
      <c r="J1061">
        <f ca="1"/>
        <v>1.8378317023500288</v>
      </c>
      <c r="K1061">
        <f ca="1"/>
        <v>-4.6722550453510963E-3</v>
      </c>
    </row>
    <row r="1062" spans="7:11">
      <c r="G1062" s="20">
        <v>1.839577031602023</v>
      </c>
      <c r="H1062" s="20">
        <v>1.16621071775796E-2</v>
      </c>
      <c r="I1062" s="2">
        <f ca="1"/>
        <v>1055</v>
      </c>
      <c r="J1062">
        <f ca="1"/>
        <v>1.839577031602023</v>
      </c>
      <c r="K1062">
        <f ca="1"/>
        <v>-4.6923939839059303E-3</v>
      </c>
    </row>
    <row r="1063" spans="7:11">
      <c r="G1063" s="20">
        <v>1.8413223608540177</v>
      </c>
      <c r="H1063" s="20">
        <v>1.1653901542755319E-2</v>
      </c>
      <c r="I1063" s="2">
        <f ca="1"/>
        <v>1056</v>
      </c>
      <c r="J1063">
        <f ca="1"/>
        <v>1.8413223608540177</v>
      </c>
      <c r="K1063">
        <f ca="1"/>
        <v>-4.7158272629508006E-3</v>
      </c>
    </row>
    <row r="1064" spans="7:11">
      <c r="G1064" s="20">
        <v>1.8430676901060119</v>
      </c>
      <c r="H1064" s="20">
        <v>1.1645645835040838E-2</v>
      </c>
      <c r="I1064" s="2">
        <f ca="1"/>
        <v>1057</v>
      </c>
      <c r="J1064">
        <f ca="1"/>
        <v>1.8430676901060119</v>
      </c>
      <c r="K1064">
        <f ca="1"/>
        <v>-4.7447857430870819E-3</v>
      </c>
    </row>
    <row r="1065" spans="7:11">
      <c r="G1065" s="20">
        <v>1.8448130193580061</v>
      </c>
      <c r="H1065" s="20">
        <v>1.1637339116051609E-2</v>
      </c>
      <c r="I1065" s="2">
        <f ca="1"/>
        <v>1058</v>
      </c>
      <c r="J1065">
        <f ca="1"/>
        <v>1.8448130193580061</v>
      </c>
      <c r="K1065">
        <f ca="1"/>
        <v>-4.7681389118092313E-3</v>
      </c>
    </row>
    <row r="1066" spans="7:11">
      <c r="G1066" s="20">
        <v>1.8465583486100006</v>
      </c>
      <c r="H1066" s="20">
        <v>1.1629001890400132E-2</v>
      </c>
      <c r="I1066" s="2">
        <f ca="1"/>
        <v>1059</v>
      </c>
      <c r="J1066">
        <f ca="1"/>
        <v>1.8465583486100006</v>
      </c>
      <c r="K1066">
        <f ca="1"/>
        <v>-4.7883815492936318E-3</v>
      </c>
    </row>
    <row r="1067" spans="7:11">
      <c r="G1067" s="20">
        <v>1.848303677861995</v>
      </c>
      <c r="H1067" s="20">
        <v>1.1620624511276224E-2</v>
      </c>
      <c r="I1067" s="2">
        <f ca="1"/>
        <v>1060</v>
      </c>
      <c r="J1067">
        <f ca="1"/>
        <v>1.848303677861995</v>
      </c>
      <c r="K1067">
        <f ca="1"/>
        <v>-4.8129028045296521E-3</v>
      </c>
    </row>
    <row r="1068" spans="7:11">
      <c r="G1068" s="20">
        <v>1.8500490071139892</v>
      </c>
      <c r="H1068" s="20">
        <v>1.161220169029663E-2</v>
      </c>
      <c r="I1068" s="2">
        <f ca="1"/>
        <v>1061</v>
      </c>
      <c r="J1068">
        <f ca="1"/>
        <v>1.8500490071139892</v>
      </c>
      <c r="K1068">
        <f ca="1"/>
        <v>-4.8367634064774385E-3</v>
      </c>
    </row>
    <row r="1069" spans="7:11">
      <c r="G1069" s="20">
        <v>1.8517943363659837</v>
      </c>
      <c r="H1069" s="20">
        <v>1.1603741021959622E-2</v>
      </c>
      <c r="I1069" s="2">
        <f ca="1"/>
        <v>1062</v>
      </c>
      <c r="J1069">
        <f ca="1"/>
        <v>1.8517943363659837</v>
      </c>
      <c r="K1069">
        <f ca="1"/>
        <v>-4.8581567627887061E-3</v>
      </c>
    </row>
    <row r="1070" spans="7:11">
      <c r="G1070" s="20">
        <v>1.8535396656179779</v>
      </c>
      <c r="H1070" s="20">
        <v>1.1595243524078891E-2</v>
      </c>
      <c r="I1070" s="2">
        <f ca="1"/>
        <v>1063</v>
      </c>
      <c r="J1070">
        <f ca="1"/>
        <v>1.8535396656179779</v>
      </c>
      <c r="K1070">
        <f ca="1"/>
        <v>-4.8779863263906419E-3</v>
      </c>
    </row>
    <row r="1071" spans="7:11">
      <c r="G1071" s="20">
        <v>1.8552849948699723</v>
      </c>
      <c r="H1071" s="20">
        <v>1.1586713637507066E-2</v>
      </c>
      <c r="I1071" s="2">
        <f ca="1"/>
        <v>1064</v>
      </c>
      <c r="J1071">
        <f ca="1"/>
        <v>1.8552849948699723</v>
      </c>
      <c r="K1071">
        <f ca="1"/>
        <v>-4.9009193861770158E-3</v>
      </c>
    </row>
    <row r="1072" spans="7:11">
      <c r="G1072" s="20">
        <v>1.8570303241219668</v>
      </c>
      <c r="H1072" s="20">
        <v>1.1578136088146168E-2</v>
      </c>
      <c r="I1072" s="2">
        <f ca="1"/>
        <v>1065</v>
      </c>
      <c r="J1072">
        <f ca="1"/>
        <v>1.8570303241219668</v>
      </c>
      <c r="K1072">
        <f ca="1"/>
        <v>-4.9291035524208285E-3</v>
      </c>
    </row>
    <row r="1073" spans="7:11">
      <c r="G1073" s="20">
        <v>1.858775653373961</v>
      </c>
      <c r="H1073" s="20">
        <v>1.1569507820274768E-2</v>
      </c>
      <c r="I1073" s="2">
        <f ca="1"/>
        <v>1066</v>
      </c>
      <c r="J1073">
        <f ca="1"/>
        <v>1.858775653373961</v>
      </c>
      <c r="K1073">
        <f ca="1"/>
        <v>-4.9524511206758114E-3</v>
      </c>
    </row>
    <row r="1074" spans="7:11">
      <c r="G1074" s="20">
        <v>1.8605209826259552</v>
      </c>
      <c r="H1074" s="20">
        <v>1.1560848772526194E-2</v>
      </c>
      <c r="I1074" s="2">
        <f ca="1"/>
        <v>1067</v>
      </c>
      <c r="J1074">
        <f ca="1"/>
        <v>1.8605209826259552</v>
      </c>
      <c r="K1074">
        <f ca="1"/>
        <v>-4.9724641603250729E-3</v>
      </c>
    </row>
    <row r="1075" spans="7:11">
      <c r="G1075" s="20">
        <v>1.8622663118779497</v>
      </c>
      <c r="H1075" s="20">
        <v>1.155215064596775E-2</v>
      </c>
      <c r="I1075" s="2">
        <f ca="1"/>
        <v>1068</v>
      </c>
      <c r="J1075">
        <f ca="1"/>
        <v>1.8622663118779497</v>
      </c>
      <c r="K1075">
        <f ca="1"/>
        <v>-4.9964794316936676E-3</v>
      </c>
    </row>
    <row r="1076" spans="7:11">
      <c r="G1076" s="20">
        <v>1.8640116411299437</v>
      </c>
      <c r="H1076" s="20">
        <v>1.154340776910795E-2</v>
      </c>
      <c r="I1076" s="2">
        <f ca="1"/>
        <v>1069</v>
      </c>
      <c r="J1076">
        <f ca="1"/>
        <v>1.8640116411299437</v>
      </c>
      <c r="K1076">
        <f ca="1"/>
        <v>-5.0200798892938332E-3</v>
      </c>
    </row>
    <row r="1077" spans="7:11">
      <c r="G1077" s="20">
        <v>1.8657569703819379</v>
      </c>
      <c r="H1077" s="20">
        <v>1.1534627261411487E-2</v>
      </c>
      <c r="I1077" s="2">
        <f ca="1"/>
        <v>1070</v>
      </c>
      <c r="J1077">
        <f ca="1"/>
        <v>1.8657569703819379</v>
      </c>
      <c r="K1077">
        <f ca="1"/>
        <v>-5.0412503529025767E-3</v>
      </c>
    </row>
    <row r="1078" spans="7:11">
      <c r="G1078" s="20">
        <v>1.8675022996339325</v>
      </c>
      <c r="H1078" s="20">
        <v>1.1525810485692853E-2</v>
      </c>
      <c r="I1078" s="2">
        <f ca="1"/>
        <v>1071</v>
      </c>
      <c r="J1078">
        <f ca="1"/>
        <v>1.8675022996339325</v>
      </c>
      <c r="K1078">
        <f ca="1"/>
        <v>-5.0607473222625699E-3</v>
      </c>
    </row>
    <row r="1079" spans="7:11">
      <c r="G1079" s="20">
        <v>1.8692476288859272</v>
      </c>
      <c r="H1079" s="20">
        <v>1.151696192073449E-2</v>
      </c>
      <c r="I1079" s="2">
        <f ca="1"/>
        <v>1072</v>
      </c>
      <c r="J1079">
        <f ca="1"/>
        <v>1.8692476288859272</v>
      </c>
      <c r="K1079">
        <f ca="1"/>
        <v>-5.0833275772089407E-3</v>
      </c>
    </row>
    <row r="1080" spans="7:11">
      <c r="G1080" s="20">
        <v>1.8709929581379214</v>
      </c>
      <c r="H1080" s="20">
        <v>1.1508066325056908E-2</v>
      </c>
      <c r="I1080" s="2">
        <f ca="1"/>
        <v>1073</v>
      </c>
      <c r="J1080">
        <f ca="1"/>
        <v>1.8709929581379214</v>
      </c>
      <c r="K1080">
        <f ca="1"/>
        <v>-5.1111477081326913E-3</v>
      </c>
    </row>
    <row r="1081" spans="7:11">
      <c r="G1081" s="20">
        <v>1.8727382873899157</v>
      </c>
      <c r="H1081" s="20">
        <v>1.1499120649521955E-2</v>
      </c>
      <c r="I1081" s="2">
        <f ca="1"/>
        <v>1074</v>
      </c>
      <c r="J1081">
        <f ca="1"/>
        <v>1.8727382873899157</v>
      </c>
      <c r="K1081">
        <f ca="1"/>
        <v>-5.1341689818498485E-3</v>
      </c>
    </row>
    <row r="1082" spans="7:11">
      <c r="G1082" s="20">
        <v>1.8744836166419099</v>
      </c>
      <c r="H1082" s="20">
        <v>1.14901446944395E-2</v>
      </c>
      <c r="I1082" s="2">
        <f ca="1"/>
        <v>1075</v>
      </c>
      <c r="J1082">
        <f ca="1"/>
        <v>1.8744836166419099</v>
      </c>
      <c r="K1082">
        <f ca="1"/>
        <v>-5.1538743388319106E-3</v>
      </c>
    </row>
    <row r="1083" spans="7:11">
      <c r="G1083" s="20">
        <v>1.8762289458939041</v>
      </c>
      <c r="H1083" s="20">
        <v>1.1481130234232624E-2</v>
      </c>
      <c r="I1083" s="2">
        <f ca="1"/>
        <v>1076</v>
      </c>
      <c r="J1083">
        <f ca="1"/>
        <v>1.8762289458939041</v>
      </c>
      <c r="K1083">
        <f ca="1"/>
        <v>-5.1775493735861031E-3</v>
      </c>
    </row>
    <row r="1084" spans="7:11">
      <c r="G1084" s="20">
        <v>1.8779742751458985</v>
      </c>
      <c r="H1084" s="20">
        <v>1.147207163768877E-2</v>
      </c>
      <c r="I1084" s="2">
        <f ca="1"/>
        <v>1077</v>
      </c>
      <c r="J1084">
        <f ca="1"/>
        <v>1.8779742751458985</v>
      </c>
      <c r="K1084">
        <f ca="1"/>
        <v>-5.2008122749826616E-3</v>
      </c>
    </row>
    <row r="1085" spans="7:11">
      <c r="G1085" s="20">
        <v>1.8797196043978928</v>
      </c>
      <c r="H1085" s="20">
        <v>1.1462975974637307E-2</v>
      </c>
      <c r="I1085" s="2">
        <f ca="1"/>
        <v>1078</v>
      </c>
      <c r="J1085">
        <f ca="1"/>
        <v>1.8797196043978928</v>
      </c>
      <c r="K1085">
        <f ca="1"/>
        <v>-5.2222135871736637E-3</v>
      </c>
    </row>
    <row r="1086" spans="7:11">
      <c r="G1086" s="20">
        <v>1.8814649336498872</v>
      </c>
      <c r="H1086" s="20">
        <v>1.1453842673421057E-2</v>
      </c>
      <c r="I1086" s="2">
        <f ca="1"/>
        <v>1079</v>
      </c>
      <c r="J1086">
        <f ca="1"/>
        <v>1.8814649336498872</v>
      </c>
      <c r="K1086">
        <f ca="1"/>
        <v>-5.2435542839872852E-3</v>
      </c>
    </row>
    <row r="1087" spans="7:11">
      <c r="G1087" s="20">
        <v>1.8832102629018814</v>
      </c>
      <c r="H1087" s="20">
        <v>1.144467251728478E-2</v>
      </c>
      <c r="I1087" s="2">
        <f ca="1"/>
        <v>1080</v>
      </c>
      <c r="J1087">
        <f ca="1"/>
        <v>1.8832102629018814</v>
      </c>
      <c r="K1087">
        <f ca="1"/>
        <v>-5.2627277705350516E-3</v>
      </c>
    </row>
    <row r="1088" spans="7:11">
      <c r="G1088" s="20">
        <v>1.8849555921538759</v>
      </c>
      <c r="H1088" s="20">
        <v>1.1435472287974662E-2</v>
      </c>
      <c r="I1088" s="2">
        <f ca="1"/>
        <v>1081</v>
      </c>
      <c r="J1088">
        <f ca="1"/>
        <v>1.8849555921538759</v>
      </c>
      <c r="K1088">
        <f ca="1"/>
        <v>-5.2851500617636668E-3</v>
      </c>
    </row>
    <row r="1089" spans="7:11">
      <c r="G1089" s="20">
        <v>1.8867009214058703</v>
      </c>
      <c r="H1089" s="20">
        <v>1.1426223863276828E-2</v>
      </c>
      <c r="I1089" s="2">
        <f ca="1"/>
        <v>1082</v>
      </c>
      <c r="J1089">
        <f ca="1"/>
        <v>1.8867009214058703</v>
      </c>
      <c r="K1089">
        <f ca="1"/>
        <v>-5.3130262301912482E-3</v>
      </c>
    </row>
    <row r="1090" spans="7:11">
      <c r="G1090" s="20">
        <v>1.8884462506578645</v>
      </c>
      <c r="H1090" s="20">
        <v>1.141692632778233E-2</v>
      </c>
      <c r="I1090" s="2">
        <f ca="1"/>
        <v>1083</v>
      </c>
      <c r="J1090">
        <f ca="1"/>
        <v>1.8884462506578645</v>
      </c>
      <c r="K1090">
        <f ca="1"/>
        <v>-5.33535577721747E-3</v>
      </c>
    </row>
    <row r="1091" spans="7:11">
      <c r="G1091" s="20">
        <v>1.890191579909859</v>
      </c>
      <c r="H1091" s="20">
        <v>1.1407599958261279E-2</v>
      </c>
      <c r="I1091" s="2">
        <f ca="1"/>
        <v>1084</v>
      </c>
      <c r="J1091">
        <f ca="1"/>
        <v>1.890191579909859</v>
      </c>
      <c r="K1091">
        <f ca="1"/>
        <v>-5.354603929552529E-3</v>
      </c>
    </row>
    <row r="1092" spans="7:11">
      <c r="G1092" s="20">
        <v>1.8919369091618532</v>
      </c>
      <c r="H1092" s="20">
        <v>1.1398235234040146E-2</v>
      </c>
      <c r="I1092" s="2">
        <f ca="1"/>
        <v>1085</v>
      </c>
      <c r="J1092">
        <f ca="1"/>
        <v>1.8919369091618532</v>
      </c>
      <c r="K1092">
        <f ca="1"/>
        <v>-5.3780730798227592E-3</v>
      </c>
    </row>
    <row r="1093" spans="7:11">
      <c r="G1093" s="20">
        <v>1.8936822384138474</v>
      </c>
      <c r="H1093" s="20">
        <v>1.1388826941730124E-2</v>
      </c>
      <c r="I1093" s="2">
        <f ca="1"/>
        <v>1086</v>
      </c>
      <c r="J1093">
        <f ca="1"/>
        <v>1.8936822384138474</v>
      </c>
      <c r="K1093">
        <f ca="1"/>
        <v>-5.40088253045975E-3</v>
      </c>
    </row>
    <row r="1094" spans="7:11">
      <c r="G1094" s="20">
        <v>1.8954275676658416</v>
      </c>
      <c r="H1094" s="20">
        <v>1.1379382597506154E-2</v>
      </c>
      <c r="I1094" s="2">
        <f ca="1"/>
        <v>1087</v>
      </c>
      <c r="J1094">
        <f ca="1"/>
        <v>1.8954275676658416</v>
      </c>
      <c r="K1094">
        <f ca="1"/>
        <v>-5.4212472046294086E-3</v>
      </c>
    </row>
    <row r="1095" spans="7:11">
      <c r="G1095" s="20">
        <v>1.8971728969178359</v>
      </c>
      <c r="H1095" s="20">
        <v>1.1369903219073061E-2</v>
      </c>
      <c r="I1095" s="2">
        <f ca="1"/>
        <v>1088</v>
      </c>
      <c r="J1095">
        <f ca="1"/>
        <v>1.8971728969178359</v>
      </c>
      <c r="K1095">
        <f ca="1"/>
        <v>-5.440061320722612E-3</v>
      </c>
    </row>
    <row r="1096" spans="7:11">
      <c r="G1096" s="20">
        <v>1.8989182261698307</v>
      </c>
      <c r="H1096" s="20">
        <v>1.1360393201194752E-2</v>
      </c>
      <c r="I1096" s="2">
        <f ca="1"/>
        <v>1089</v>
      </c>
      <c r="J1096">
        <f ca="1"/>
        <v>1.8989182261698307</v>
      </c>
      <c r="K1096">
        <f ca="1"/>
        <v>-5.4619333151229585E-3</v>
      </c>
    </row>
    <row r="1097" spans="7:11">
      <c r="G1097" s="20">
        <v>1.9006635554218252</v>
      </c>
      <c r="H1097" s="20">
        <v>1.1350837475098404E-2</v>
      </c>
      <c r="I1097" s="2">
        <f ca="1"/>
        <v>1090</v>
      </c>
      <c r="J1097">
        <f ca="1"/>
        <v>1.9006635554218252</v>
      </c>
      <c r="K1097">
        <f ca="1"/>
        <v>-5.4889825823845649E-3</v>
      </c>
    </row>
    <row r="1098" spans="7:11">
      <c r="G1098" s="20">
        <v>1.902408884673819</v>
      </c>
      <c r="H1098" s="20">
        <v>1.1341233037465308E-2</v>
      </c>
      <c r="I1098" s="2">
        <f ca="1"/>
        <v>1091</v>
      </c>
      <c r="J1098">
        <f ca="1"/>
        <v>1.902408884673819</v>
      </c>
      <c r="K1098">
        <f ca="1"/>
        <v>-5.5112491339973594E-3</v>
      </c>
    </row>
    <row r="1099" spans="7:11">
      <c r="G1099" s="20">
        <v>1.9041542139258132</v>
      </c>
      <c r="H1099" s="20">
        <v>1.133159958644122E-2</v>
      </c>
      <c r="I1099" s="2">
        <f ca="1"/>
        <v>1092</v>
      </c>
      <c r="J1099">
        <f ca="1"/>
        <v>1.9041542139258132</v>
      </c>
      <c r="K1099">
        <f ca="1"/>
        <v>-5.5302162616942671E-3</v>
      </c>
    </row>
    <row r="1100" spans="7:11">
      <c r="G1100" s="20">
        <v>1.9058995431778079</v>
      </c>
      <c r="H1100" s="20">
        <v>1.1321928941042527E-2</v>
      </c>
      <c r="I1100" s="2">
        <f ca="1"/>
        <v>1093</v>
      </c>
      <c r="J1100">
        <f ca="1"/>
        <v>1.9058995431778079</v>
      </c>
      <c r="K1100">
        <f ca="1"/>
        <v>-5.5531273217546782E-3</v>
      </c>
    </row>
    <row r="1101" spans="7:11">
      <c r="G1101" s="20">
        <v>1.9076448724298021</v>
      </c>
      <c r="H1101" s="20">
        <v>1.1312215515331804E-2</v>
      </c>
      <c r="I1101" s="2">
        <f ca="1"/>
        <v>1094</v>
      </c>
      <c r="J1101">
        <f ca="1"/>
        <v>1.9076448724298021</v>
      </c>
      <c r="K1101">
        <f ca="1"/>
        <v>-5.575621616417269E-3</v>
      </c>
    </row>
    <row r="1102" spans="7:11">
      <c r="G1102" s="20">
        <v>1.9093902016817963</v>
      </c>
      <c r="H1102" s="20">
        <v>1.1302466350032158E-2</v>
      </c>
      <c r="I1102" s="2">
        <f ca="1"/>
        <v>1095</v>
      </c>
      <c r="J1102">
        <f ca="1"/>
        <v>1.9093902016817963</v>
      </c>
      <c r="K1102">
        <f ca="1"/>
        <v>-5.5957100440734084E-3</v>
      </c>
    </row>
    <row r="1103" spans="7:11">
      <c r="G1103" s="20">
        <v>1.911135530933791</v>
      </c>
      <c r="H1103" s="20">
        <v>1.1292682802480603E-2</v>
      </c>
      <c r="I1103" s="2">
        <f ca="1"/>
        <v>1096</v>
      </c>
      <c r="J1103">
        <f ca="1"/>
        <v>1.911135530933791</v>
      </c>
      <c r="K1103">
        <f ca="1"/>
        <v>-5.61414127497237E-3</v>
      </c>
    </row>
    <row r="1104" spans="7:11">
      <c r="G1104" s="20">
        <v>1.9128808601857852</v>
      </c>
      <c r="H1104" s="20">
        <v>1.1282869300048081E-2</v>
      </c>
      <c r="I1104" s="2">
        <f ca="1"/>
        <v>1097</v>
      </c>
      <c r="J1104">
        <f ca="1"/>
        <v>1.9128808601857852</v>
      </c>
      <c r="K1104">
        <f ca="1"/>
        <v>-5.635607269938162E-3</v>
      </c>
    </row>
    <row r="1105" spans="7:11">
      <c r="G1105" s="20">
        <v>1.9146261894377794</v>
      </c>
      <c r="H1105" s="20">
        <v>1.1273010822038654E-2</v>
      </c>
      <c r="I1105" s="2">
        <f ca="1"/>
        <v>1098</v>
      </c>
      <c r="J1105">
        <f ca="1"/>
        <v>1.9146261894377794</v>
      </c>
      <c r="K1105">
        <f ca="1"/>
        <v>-5.6622338660330318E-3</v>
      </c>
    </row>
    <row r="1106" spans="7:11">
      <c r="G1106" s="20">
        <v>1.9163715186897741</v>
      </c>
      <c r="H1106" s="20">
        <v>1.1263104375252039E-2</v>
      </c>
      <c r="I1106" s="2">
        <f ca="1"/>
        <v>1099</v>
      </c>
      <c r="J1106">
        <f ca="1"/>
        <v>1.9163715186897741</v>
      </c>
      <c r="K1106">
        <f ca="1"/>
        <v>-5.6841196170349315E-3</v>
      </c>
    </row>
    <row r="1107" spans="7:11">
      <c r="G1107" s="20">
        <v>1.9181168479417683</v>
      </c>
      <c r="H1107" s="20">
        <v>1.1253169501559761E-2</v>
      </c>
      <c r="I1107" s="2">
        <f ca="1"/>
        <v>1100</v>
      </c>
      <c r="J1107">
        <f ca="1"/>
        <v>1.9181168479417683</v>
      </c>
      <c r="K1107">
        <f ca="1"/>
        <v>-5.702727543343819E-3</v>
      </c>
    </row>
    <row r="1108" spans="7:11">
      <c r="G1108" s="20">
        <v>1.9198621771937625</v>
      </c>
      <c r="H1108" s="20">
        <v>1.1243198100856937E-2</v>
      </c>
      <c r="I1108" s="2">
        <f ca="1"/>
        <v>1101</v>
      </c>
      <c r="J1108">
        <f ca="1"/>
        <v>1.9198621771937625</v>
      </c>
      <c r="K1108">
        <f ca="1"/>
        <v>-5.725243112232048E-3</v>
      </c>
    </row>
    <row r="1109" spans="7:11">
      <c r="G1109" s="20">
        <v>1.9216075064457567</v>
      </c>
      <c r="H1109" s="20">
        <v>1.1233184633002647E-2</v>
      </c>
      <c r="I1109" s="2">
        <f ca="1"/>
        <v>1102</v>
      </c>
      <c r="J1109">
        <f ca="1"/>
        <v>1.9216075064457567</v>
      </c>
      <c r="K1109">
        <f ca="1"/>
        <v>-5.7473447799731171E-3</v>
      </c>
    </row>
    <row r="1110" spans="7:11">
      <c r="G1110" s="20">
        <v>1.9233528356977507</v>
      </c>
      <c r="H1110" s="20">
        <v>1.1223136082925371E-2</v>
      </c>
      <c r="I1110" s="2">
        <f ca="1"/>
        <v>1103</v>
      </c>
      <c r="J1110">
        <f ca="1"/>
        <v>1.9233528356977507</v>
      </c>
      <c r="K1110">
        <f ca="1"/>
        <v>-5.7676032602805207E-3</v>
      </c>
    </row>
    <row r="1111" spans="7:11">
      <c r="G1111" s="20">
        <v>1.9250981649497454</v>
      </c>
      <c r="H1111" s="20">
        <v>1.1213051899634516E-2</v>
      </c>
      <c r="I1111" s="2">
        <f ca="1"/>
        <v>1104</v>
      </c>
      <c r="J1111">
        <f ca="1"/>
        <v>1.9250981649497454</v>
      </c>
      <c r="K1111">
        <f ca="1"/>
        <v>-5.7877950733558206E-3</v>
      </c>
    </row>
    <row r="1112" spans="7:11">
      <c r="G1112" s="20">
        <v>1.9268434942017396</v>
      </c>
      <c r="H1112" s="20">
        <v>1.1202932866833217E-2</v>
      </c>
      <c r="I1112" s="2">
        <f ca="1"/>
        <v>1105</v>
      </c>
      <c r="J1112">
        <f ca="1"/>
        <v>1.9268434942017396</v>
      </c>
      <c r="K1112">
        <f ca="1"/>
        <v>-5.8058446632447882E-3</v>
      </c>
    </row>
    <row r="1113" spans="7:11">
      <c r="G1113" s="20">
        <v>1.9285888234537343</v>
      </c>
      <c r="H1113" s="20">
        <v>1.1192785678587922E-2</v>
      </c>
      <c r="I1113" s="2">
        <f ca="1"/>
        <v>1106</v>
      </c>
      <c r="J1113">
        <f ca="1"/>
        <v>1.9285888234537343</v>
      </c>
      <c r="K1113">
        <f ca="1"/>
        <v>-5.8270876916463763E-3</v>
      </c>
    </row>
    <row r="1114" spans="7:11">
      <c r="G1114" s="20">
        <v>1.9303341527057285</v>
      </c>
      <c r="H1114" s="20">
        <v>1.1182592493628882E-2</v>
      </c>
      <c r="I1114" s="2">
        <f ca="1"/>
        <v>1107</v>
      </c>
      <c r="J1114">
        <f ca="1"/>
        <v>1.9303341527057285</v>
      </c>
      <c r="K1114">
        <f ca="1"/>
        <v>-5.8536960386199426E-3</v>
      </c>
    </row>
    <row r="1115" spans="7:11">
      <c r="G1115" s="20">
        <v>1.9320794819577227</v>
      </c>
      <c r="H1115" s="20">
        <v>1.117235242473095E-2</v>
      </c>
      <c r="I1115" s="2">
        <f ca="1"/>
        <v>1108</v>
      </c>
      <c r="J1115">
        <f ca="1"/>
        <v>1.9320794819577227</v>
      </c>
      <c r="K1115">
        <f ca="1"/>
        <v>-5.8748324266971021E-3</v>
      </c>
    </row>
    <row r="1116" spans="7:11">
      <c r="G1116" s="20">
        <v>1.9338248112097169</v>
      </c>
      <c r="H1116" s="20">
        <v>1.1162085459859125E-2</v>
      </c>
      <c r="I1116" s="2">
        <f ca="1"/>
        <v>1109</v>
      </c>
      <c r="J1116">
        <f ca="1"/>
        <v>1.9338248112097169</v>
      </c>
      <c r="K1116">
        <f ca="1"/>
        <v>-5.892925700889627E-3</v>
      </c>
    </row>
    <row r="1117" spans="7:11">
      <c r="G1117" s="20">
        <v>1.9355701404617116</v>
      </c>
      <c r="H1117" s="20">
        <v>1.1151782233519765E-2</v>
      </c>
      <c r="I1117" s="2">
        <f ca="1"/>
        <v>1110</v>
      </c>
      <c r="J1117">
        <f ca="1"/>
        <v>1.9355701404617116</v>
      </c>
      <c r="K1117">
        <f ca="1"/>
        <v>-5.9151691316988485E-3</v>
      </c>
    </row>
    <row r="1118" spans="7:11">
      <c r="G1118" s="20">
        <v>1.9373154697137058</v>
      </c>
      <c r="H1118" s="20">
        <v>1.1141437624427028E-2</v>
      </c>
      <c r="I1118" s="2">
        <f ca="1"/>
        <v>1111</v>
      </c>
      <c r="J1118">
        <f ca="1"/>
        <v>1.9373154697137058</v>
      </c>
      <c r="K1118">
        <f ca="1"/>
        <v>-5.9367552133634833E-3</v>
      </c>
    </row>
    <row r="1119" spans="7:11">
      <c r="G1119" s="20">
        <v>1.9390607989657</v>
      </c>
      <c r="H1119" s="20">
        <v>1.113105904844814E-2</v>
      </c>
      <c r="I1119" s="2">
        <f ca="1"/>
        <v>1112</v>
      </c>
      <c r="J1119">
        <f ca="1"/>
        <v>1.9390607989657</v>
      </c>
      <c r="K1119">
        <f ca="1"/>
        <v>-5.9559262624255841E-3</v>
      </c>
    </row>
    <row r="1120" spans="7:11">
      <c r="G1120" s="20">
        <v>1.9408061282176943</v>
      </c>
      <c r="H1120" s="20">
        <v>1.1120647519769964E-2</v>
      </c>
      <c r="I1120" s="2">
        <f ca="1"/>
        <v>1113</v>
      </c>
      <c r="J1120">
        <f ca="1"/>
        <v>1.9408061282176943</v>
      </c>
      <c r="K1120">
        <f ca="1"/>
        <v>-5.9735645593547897E-3</v>
      </c>
    </row>
    <row r="1121" spans="7:11">
      <c r="G1121" s="20">
        <v>1.9425514574696889</v>
      </c>
      <c r="H1121" s="20">
        <v>1.1110207374519902E-2</v>
      </c>
      <c r="I1121" s="2">
        <f ca="1"/>
        <v>1114</v>
      </c>
      <c r="J1121">
        <f ca="1"/>
        <v>1.9425514574696889</v>
      </c>
      <c r="K1121">
        <f ca="1"/>
        <v>-5.9942046100929297E-3</v>
      </c>
    </row>
    <row r="1122" spans="7:11">
      <c r="G1122" s="20">
        <v>1.9442967867216832</v>
      </c>
      <c r="H1122" s="20">
        <v>1.1099723798473094E-2</v>
      </c>
      <c r="I1122" s="2">
        <f ca="1"/>
        <v>1115</v>
      </c>
      <c r="J1122">
        <f ca="1"/>
        <v>1.9442967867216832</v>
      </c>
      <c r="K1122">
        <f ca="1"/>
        <v>-6.0199312937651199E-3</v>
      </c>
    </row>
    <row r="1123" spans="7:11">
      <c r="G1123" s="20">
        <v>1.9460421159736774</v>
      </c>
      <c r="H1123" s="20">
        <v>1.1089193850155894E-2</v>
      </c>
      <c r="I1123" s="2">
        <f ca="1"/>
        <v>1116</v>
      </c>
      <c r="J1123">
        <f ca="1"/>
        <v>1.9460421159736774</v>
      </c>
      <c r="K1123">
        <f ca="1"/>
        <v>-6.0409441531233433E-3</v>
      </c>
    </row>
    <row r="1124" spans="7:11">
      <c r="G1124" s="20">
        <v>1.9477874452256716</v>
      </c>
      <c r="H1124" s="20">
        <v>1.1078636925392875E-2</v>
      </c>
      <c r="I1124" s="2">
        <f ca="1"/>
        <v>1117</v>
      </c>
      <c r="J1124">
        <f ca="1"/>
        <v>1.9477874452256716</v>
      </c>
      <c r="K1124">
        <f ca="1"/>
        <v>-6.0587026138961934E-3</v>
      </c>
    </row>
    <row r="1125" spans="7:11">
      <c r="G1125" s="20">
        <v>1.9495327744776663</v>
      </c>
      <c r="H1125" s="20">
        <v>1.1068044988353558E-2</v>
      </c>
      <c r="I1125" s="2">
        <f ca="1"/>
        <v>1118</v>
      </c>
      <c r="J1125">
        <f ca="1"/>
        <v>1.9495327744776663</v>
      </c>
      <c r="K1125">
        <f ca="1"/>
        <v>-6.0803335173568503E-3</v>
      </c>
    </row>
    <row r="1126" spans="7:11">
      <c r="G1126" s="20">
        <v>1.9512781037296603</v>
      </c>
      <c r="H1126" s="20">
        <v>1.1057412557493426E-2</v>
      </c>
      <c r="I1126" s="2">
        <f ca="1"/>
        <v>1119</v>
      </c>
      <c r="J1126">
        <f ca="1"/>
        <v>1.9512781037296603</v>
      </c>
      <c r="K1126">
        <f ca="1"/>
        <v>-6.1015467641389919E-3</v>
      </c>
    </row>
    <row r="1127" spans="7:11">
      <c r="G1127" s="20">
        <v>1.9530234329816545</v>
      </c>
      <c r="H1127" s="20">
        <v>1.1046746572253834E-2</v>
      </c>
      <c r="I1127" s="2">
        <f ca="1"/>
        <v>1120</v>
      </c>
      <c r="J1127">
        <f ca="1"/>
        <v>1.9530234329816545</v>
      </c>
      <c r="K1127">
        <f ca="1"/>
        <v>-6.1203860150395384E-3</v>
      </c>
    </row>
    <row r="1128" spans="7:11">
      <c r="G1128" s="20">
        <v>1.9547687622336491</v>
      </c>
      <c r="H1128" s="20">
        <v>1.1036048380002333E-2</v>
      </c>
      <c r="I1128" s="2">
        <f ca="1"/>
        <v>1121</v>
      </c>
      <c r="J1128">
        <f ca="1"/>
        <v>1.9547687622336491</v>
      </c>
      <c r="K1128">
        <f ca="1"/>
        <v>-6.1375891431591093E-3</v>
      </c>
    </row>
    <row r="1129" spans="7:11">
      <c r="G1129" s="20">
        <v>1.9565140914856436</v>
      </c>
      <c r="H1129" s="20">
        <v>1.1025322344517275E-2</v>
      </c>
      <c r="I1129" s="2">
        <f ca="1"/>
        <v>1122</v>
      </c>
      <c r="J1129">
        <f ca="1"/>
        <v>1.9565140914856436</v>
      </c>
      <c r="K1129">
        <f ca="1"/>
        <v>-6.1577673440782518E-3</v>
      </c>
    </row>
    <row r="1130" spans="7:11">
      <c r="G1130" s="20">
        <v>1.9582594207376378</v>
      </c>
      <c r="H1130" s="20">
        <v>1.1014553717057143E-2</v>
      </c>
      <c r="I1130" s="2">
        <f ca="1"/>
        <v>1123</v>
      </c>
      <c r="J1130">
        <f ca="1"/>
        <v>1.9582594207376378</v>
      </c>
      <c r="K1130">
        <f ca="1"/>
        <v>-6.1830096463910255E-3</v>
      </c>
    </row>
    <row r="1131" spans="7:11">
      <c r="G1131" s="20">
        <v>1.9600047499896323</v>
      </c>
      <c r="H1131" s="20">
        <v>1.1003739569314856E-2</v>
      </c>
      <c r="I1131" s="2">
        <f ca="1"/>
        <v>1124</v>
      </c>
      <c r="J1131">
        <f ca="1"/>
        <v>1.9600047499896323</v>
      </c>
      <c r="K1131">
        <f ca="1"/>
        <v>-6.2035848879658127E-3</v>
      </c>
    </row>
    <row r="1132" spans="7:11">
      <c r="G1132" s="20">
        <v>1.9617500792416265</v>
      </c>
      <c r="H1132" s="20">
        <v>1.0992899120712749E-2</v>
      </c>
      <c r="I1132" s="2">
        <f ca="1"/>
        <v>1125</v>
      </c>
      <c r="J1132">
        <f ca="1"/>
        <v>1.9617500792416265</v>
      </c>
      <c r="K1132">
        <f ca="1"/>
        <v>-6.2209305325575271E-3</v>
      </c>
    </row>
    <row r="1133" spans="7:11">
      <c r="G1133" s="20">
        <v>1.9634954084936207</v>
      </c>
      <c r="H1133" s="20">
        <v>1.0982024425248663E-2</v>
      </c>
      <c r="I1133" s="2">
        <f ca="1"/>
        <v>1126</v>
      </c>
      <c r="J1133">
        <f ca="1"/>
        <v>1.9634954084936207</v>
      </c>
      <c r="K1133">
        <f ca="1"/>
        <v>-6.2421081165733947E-3</v>
      </c>
    </row>
    <row r="1134" spans="7:11">
      <c r="G1134" s="20">
        <v>1.9652407377456149</v>
      </c>
      <c r="H1134" s="20">
        <v>1.0971110052932817E-2</v>
      </c>
      <c r="I1134" s="2">
        <f ca="1"/>
        <v>1127</v>
      </c>
      <c r="J1134">
        <f ca="1"/>
        <v>1.9652407377456149</v>
      </c>
      <c r="K1134">
        <f ca="1"/>
        <v>-6.2628712315139414E-3</v>
      </c>
    </row>
    <row r="1135" spans="7:11">
      <c r="G1135" s="20">
        <v>1.9669860669976091</v>
      </c>
      <c r="H1135" s="20">
        <v>1.0960162880524994E-2</v>
      </c>
      <c r="I1135" s="2">
        <f ca="1"/>
        <v>1128</v>
      </c>
      <c r="J1135">
        <f ca="1"/>
        <v>1.9669860669976091</v>
      </c>
      <c r="K1135">
        <f ca="1"/>
        <v>-6.2818153467379288E-3</v>
      </c>
    </row>
    <row r="1136" spans="7:11">
      <c r="G1136" s="20">
        <v>1.9687313962496038</v>
      </c>
      <c r="H1136" s="20">
        <v>1.0949182380772238E-2</v>
      </c>
      <c r="I1136" s="2">
        <f ca="1"/>
        <v>1129</v>
      </c>
      <c r="J1136">
        <f ca="1"/>
        <v>1.9687313962496038</v>
      </c>
      <c r="K1136">
        <f ca="1"/>
        <v>-6.3006862389678592E-3</v>
      </c>
    </row>
    <row r="1137" spans="7:11">
      <c r="G1137" s="20">
        <v>1.9704767255015978</v>
      </c>
      <c r="H1137" s="20">
        <v>1.0938169336523976E-2</v>
      </c>
      <c r="I1137" s="2">
        <f ca="1"/>
        <v>1130</v>
      </c>
      <c r="J1137">
        <f ca="1"/>
        <v>1.9704767255015978</v>
      </c>
      <c r="K1137">
        <f ca="1"/>
        <v>-6.3174468989574085E-3</v>
      </c>
    </row>
    <row r="1138" spans="7:11">
      <c r="G1138" s="20">
        <v>1.9722220547535922</v>
      </c>
      <c r="H1138" s="20">
        <v>1.0927130331030897E-2</v>
      </c>
      <c r="I1138" s="2">
        <f ca="1"/>
        <v>1131</v>
      </c>
      <c r="J1138">
        <f ca="1"/>
        <v>1.9722220547535922</v>
      </c>
      <c r="K1138">
        <f ca="1"/>
        <v>-6.3373346913367361E-3</v>
      </c>
    </row>
    <row r="1139" spans="7:11">
      <c r="G1139" s="20">
        <v>1.9739673840055869</v>
      </c>
      <c r="H1139" s="20">
        <v>1.0916047865291037E-2</v>
      </c>
      <c r="I1139" s="2">
        <f ca="1"/>
        <v>1132</v>
      </c>
      <c r="J1139">
        <f ca="1"/>
        <v>1.9739673840055869</v>
      </c>
      <c r="K1139">
        <f ca="1"/>
        <v>-6.3624801131109705E-3</v>
      </c>
    </row>
    <row r="1140" spans="7:11">
      <c r="G1140" s="20">
        <v>1.9757127132575811</v>
      </c>
      <c r="H1140" s="20">
        <v>1.0904921085717606E-2</v>
      </c>
      <c r="I1140" s="2">
        <f ca="1"/>
        <v>1133</v>
      </c>
      <c r="J1140">
        <f ca="1"/>
        <v>1.9757127132575811</v>
      </c>
      <c r="K1140">
        <f ca="1"/>
        <v>-6.3822462364804796E-3</v>
      </c>
    </row>
    <row r="1141" spans="7:11">
      <c r="G1141" s="20">
        <v>1.9774580425095754</v>
      </c>
      <c r="H1141" s="20">
        <v>1.0893769623191118E-2</v>
      </c>
      <c r="I1141" s="2">
        <f ca="1"/>
        <v>1134</v>
      </c>
      <c r="J1141">
        <f ca="1"/>
        <v>1.9774580425095754</v>
      </c>
      <c r="K1141">
        <f ca="1"/>
        <v>-6.3990178479115534E-3</v>
      </c>
    </row>
    <row r="1142" spans="7:11">
      <c r="G1142" s="20">
        <v>1.9792033717615696</v>
      </c>
      <c r="H1142" s="20">
        <v>1.088258429964962E-2</v>
      </c>
      <c r="I1142" s="2">
        <f ca="1"/>
        <v>1135</v>
      </c>
      <c r="J1142">
        <f ca="1"/>
        <v>1.9792033717615696</v>
      </c>
      <c r="K1142">
        <f ca="1"/>
        <v>-6.4198541136263991E-3</v>
      </c>
    </row>
    <row r="1143" spans="7:11">
      <c r="G1143" s="20">
        <v>1.9809487010135638</v>
      </c>
      <c r="H1143" s="20">
        <v>1.0871360104835023E-2</v>
      </c>
      <c r="I1143" s="2">
        <f ca="1"/>
        <v>1136</v>
      </c>
      <c r="J1143">
        <f ca="1"/>
        <v>1.9809487010135638</v>
      </c>
      <c r="K1143">
        <f ca="1"/>
        <v>-6.4400370286556543E-3</v>
      </c>
    </row>
    <row r="1144" spans="7:11">
      <c r="G1144" s="20">
        <v>1.9826940302655582</v>
      </c>
      <c r="H1144" s="20">
        <v>1.0860104329629541E-2</v>
      </c>
      <c r="I1144" s="2">
        <f ca="1"/>
        <v>1137</v>
      </c>
      <c r="J1144">
        <f ca="1"/>
        <v>1.9826940302655582</v>
      </c>
      <c r="K1144">
        <f ca="1"/>
        <v>-6.4578425911337315E-3</v>
      </c>
    </row>
    <row r="1145" spans="7:11">
      <c r="G1145" s="20">
        <v>1.9844393595175525</v>
      </c>
      <c r="H1145" s="20">
        <v>1.0848817981676862E-2</v>
      </c>
      <c r="I1145" s="2">
        <f ca="1"/>
        <v>1138</v>
      </c>
      <c r="J1145">
        <f ca="1"/>
        <v>1.9844393595175525</v>
      </c>
      <c r="K1145">
        <f ca="1"/>
        <v>-6.474138420517239E-3</v>
      </c>
    </row>
    <row r="1146" spans="7:11">
      <c r="G1146" s="20">
        <v>1.9861846887695473</v>
      </c>
      <c r="H1146" s="20">
        <v>1.083750532329596E-2</v>
      </c>
      <c r="I1146" s="2">
        <f ca="1"/>
        <v>1139</v>
      </c>
      <c r="J1146">
        <f ca="1"/>
        <v>1.9861846887695473</v>
      </c>
      <c r="K1146">
        <f ca="1"/>
        <v>-6.4933688063050698E-3</v>
      </c>
    </row>
    <row r="1147" spans="7:11">
      <c r="G1147" s="20">
        <v>1.9879300180215413</v>
      </c>
      <c r="H1147" s="20">
        <v>1.0826151848633597E-2</v>
      </c>
      <c r="I1147" s="2">
        <f ca="1"/>
        <v>1140</v>
      </c>
      <c r="J1147">
        <f ca="1"/>
        <v>1.9879300180215413</v>
      </c>
      <c r="K1147">
        <f ca="1"/>
        <v>-6.5175765551760186E-3</v>
      </c>
    </row>
    <row r="1148" spans="7:11">
      <c r="G1148" s="20">
        <v>1.9896753472735356</v>
      </c>
      <c r="H1148" s="20">
        <v>1.0814754689268241E-2</v>
      </c>
      <c r="I1148" s="2">
        <f ca="1"/>
        <v>1141</v>
      </c>
      <c r="J1148">
        <f ca="1"/>
        <v>1.9896753472735356</v>
      </c>
      <c r="K1148">
        <f ca="1"/>
        <v>-6.5371557145160256E-3</v>
      </c>
    </row>
    <row r="1149" spans="7:11">
      <c r="G1149" s="20">
        <v>1.9914206765255298</v>
      </c>
      <c r="H1149" s="20">
        <v>1.0803332870446825E-2</v>
      </c>
      <c r="I1149" s="2">
        <f ca="1"/>
        <v>1142</v>
      </c>
      <c r="J1149">
        <f ca="1"/>
        <v>1.9914206765255298</v>
      </c>
      <c r="K1149">
        <f ca="1"/>
        <v>-6.5535366342405381E-3</v>
      </c>
    </row>
    <row r="1150" spans="7:11">
      <c r="G1150" s="20">
        <v>1.9931660057775245</v>
      </c>
      <c r="H1150" s="20">
        <v>1.0791878530884726E-2</v>
      </c>
      <c r="I1150" s="2">
        <f ca="1"/>
        <v>1143</v>
      </c>
      <c r="J1150">
        <f ca="1"/>
        <v>1.9931660057775245</v>
      </c>
      <c r="K1150">
        <f ca="1"/>
        <v>-6.5737043301798822E-3</v>
      </c>
    </row>
    <row r="1151" spans="7:11">
      <c r="G1151" s="20">
        <v>1.9949113350295187</v>
      </c>
      <c r="H1151" s="20">
        <v>1.0780386313523974E-2</v>
      </c>
      <c r="I1151" s="2">
        <f ca="1"/>
        <v>1144</v>
      </c>
      <c r="J1151">
        <f ca="1"/>
        <v>1.9949113350295187</v>
      </c>
      <c r="K1151">
        <f ca="1"/>
        <v>-6.5934544843372044E-3</v>
      </c>
    </row>
    <row r="1152" spans="7:11">
      <c r="G1152" s="20">
        <v>1.9966566642815129</v>
      </c>
      <c r="H1152" s="20">
        <v>1.0768863032918314E-2</v>
      </c>
      <c r="I1152" s="2">
        <f ca="1"/>
        <v>1145</v>
      </c>
      <c r="J1152">
        <f ca="1"/>
        <v>1.9966566642815129</v>
      </c>
      <c r="K1152">
        <f ca="1"/>
        <v>-6.6108703727782193E-3</v>
      </c>
    </row>
    <row r="1153" spans="7:11">
      <c r="G1153" s="20">
        <v>1.9984019935335071</v>
      </c>
      <c r="H1153" s="20">
        <v>1.075731002263847E-2</v>
      </c>
      <c r="I1153" s="2">
        <f ca="1"/>
        <v>1146</v>
      </c>
      <c r="J1153">
        <f ca="1"/>
        <v>1.9984019935335071</v>
      </c>
      <c r="K1153">
        <f ca="1"/>
        <v>-6.6266770114902229E-3</v>
      </c>
    </row>
    <row r="1154" spans="7:11">
      <c r="G1154" s="20">
        <v>2.0001473227855016</v>
      </c>
      <c r="H1154" s="20">
        <v>1.0745731566454969E-2</v>
      </c>
      <c r="I1154" s="2">
        <f ca="1"/>
        <v>1147</v>
      </c>
      <c r="J1154">
        <f ca="1"/>
        <v>2.0001473227855016</v>
      </c>
      <c r="K1154">
        <f ca="1"/>
        <v>-6.6453881114787337E-3</v>
      </c>
    </row>
    <row r="1155" spans="7:11">
      <c r="G1155" s="20">
        <v>2.0018926520374958</v>
      </c>
      <c r="H1155" s="20">
        <v>1.0734113242114832E-2</v>
      </c>
      <c r="I1155" s="2">
        <f ca="1"/>
        <v>1148</v>
      </c>
      <c r="J1155">
        <f ca="1"/>
        <v>2.0018926520374958</v>
      </c>
      <c r="K1155">
        <f ca="1"/>
        <v>-6.6690476185586366E-3</v>
      </c>
    </row>
    <row r="1156" spans="7:11">
      <c r="G1156" s="20">
        <v>2.0036379812894904</v>
      </c>
      <c r="H1156" s="20">
        <v>1.0722452198671741E-2</v>
      </c>
      <c r="I1156" s="2">
        <f ca="1"/>
        <v>1149</v>
      </c>
      <c r="J1156">
        <f ca="1"/>
        <v>2.0036379812894904</v>
      </c>
      <c r="K1156">
        <f ca="1"/>
        <v>-6.6881302206107688E-3</v>
      </c>
    </row>
    <row r="1157" spans="7:11">
      <c r="G1157" s="20">
        <v>2.0053833105414847</v>
      </c>
      <c r="H1157" s="20">
        <v>1.0710767263484472E-2</v>
      </c>
      <c r="I1157" s="2">
        <f ca="1"/>
        <v>1150</v>
      </c>
      <c r="J1157">
        <f ca="1"/>
        <v>2.0053833105414847</v>
      </c>
      <c r="K1157">
        <f ca="1"/>
        <v>-6.7040430269216409E-3</v>
      </c>
    </row>
    <row r="1158" spans="7:11">
      <c r="G1158" s="20">
        <v>2.0071286397934789</v>
      </c>
      <c r="H1158" s="20">
        <v>1.0699050673868712E-2</v>
      </c>
      <c r="I1158" s="2">
        <f ca="1"/>
        <v>1151</v>
      </c>
      <c r="J1158">
        <f ca="1"/>
        <v>2.0071286397934789</v>
      </c>
      <c r="K1158">
        <f ca="1"/>
        <v>-6.723697699015662E-3</v>
      </c>
    </row>
    <row r="1159" spans="7:11">
      <c r="G1159" s="20">
        <v>2.0088739690454731</v>
      </c>
      <c r="H1159" s="20">
        <v>1.0687297130933155E-2</v>
      </c>
      <c r="I1159" s="2">
        <f ca="1"/>
        <v>1152</v>
      </c>
      <c r="J1159">
        <f ca="1"/>
        <v>2.0088739690454731</v>
      </c>
      <c r="K1159">
        <f ca="1"/>
        <v>-6.7429382943314294E-3</v>
      </c>
    </row>
    <row r="1160" spans="7:11">
      <c r="G1160" s="20">
        <v>2.0106192982974673</v>
      </c>
      <c r="H1160" s="20">
        <v>1.0675513378969735E-2</v>
      </c>
      <c r="I1160" s="2">
        <f ca="1"/>
        <v>1153</v>
      </c>
      <c r="J1160">
        <f ca="1"/>
        <v>2.0106192982974673</v>
      </c>
      <c r="K1160">
        <f ca="1"/>
        <v>-6.7603903395999738E-3</v>
      </c>
    </row>
    <row r="1161" spans="7:11">
      <c r="G1161" s="20">
        <v>2.012364627549462</v>
      </c>
      <c r="H1161" s="20">
        <v>1.0663698916903946E-2</v>
      </c>
      <c r="I1161" s="2">
        <f ca="1"/>
        <v>1154</v>
      </c>
      <c r="J1161">
        <f ca="1"/>
        <v>2.012364627549462</v>
      </c>
      <c r="K1161">
        <f ca="1"/>
        <v>-6.7777626323717822E-3</v>
      </c>
    </row>
    <row r="1162" spans="7:11">
      <c r="G1162" s="20">
        <v>2.0141099568014562</v>
      </c>
      <c r="H1162" s="20">
        <v>1.0651854524199028E-2</v>
      </c>
      <c r="I1162" s="2">
        <f ca="1"/>
        <v>1155</v>
      </c>
      <c r="J1162">
        <f ca="1"/>
        <v>2.0141099568014562</v>
      </c>
      <c r="K1162">
        <f ca="1"/>
        <v>-6.7930643721854705E-3</v>
      </c>
    </row>
    <row r="1163" spans="7:11">
      <c r="G1163" s="20">
        <v>2.0158552860534509</v>
      </c>
      <c r="H1163" s="20">
        <v>1.0639986648985033E-2</v>
      </c>
      <c r="I1163" s="2">
        <f ca="1"/>
        <v>1156</v>
      </c>
      <c r="J1163">
        <f ca="1"/>
        <v>2.0158552860534509</v>
      </c>
      <c r="K1163">
        <f ca="1"/>
        <v>-6.8114144668835423E-3</v>
      </c>
    </row>
    <row r="1164" spans="7:11">
      <c r="G1164" s="20">
        <v>2.0176006153054451</v>
      </c>
      <c r="H1164" s="20">
        <v>1.0628078202366009E-2</v>
      </c>
      <c r="I1164" s="2">
        <f ca="1"/>
        <v>1157</v>
      </c>
      <c r="J1164">
        <f ca="1"/>
        <v>2.0176006153054451</v>
      </c>
      <c r="K1164">
        <f ca="1"/>
        <v>-6.834894035140174E-3</v>
      </c>
    </row>
    <row r="1165" spans="7:11">
      <c r="G1165" s="20">
        <v>2.0193459445574393</v>
      </c>
      <c r="H1165" s="20">
        <v>1.0616128367997411E-2</v>
      </c>
      <c r="I1165" s="2">
        <f ca="1"/>
        <v>1158</v>
      </c>
      <c r="J1165">
        <f ca="1"/>
        <v>2.0193459445574393</v>
      </c>
      <c r="K1165">
        <f ca="1"/>
        <v>-6.853107153102978E-3</v>
      </c>
    </row>
    <row r="1166" spans="7:11">
      <c r="G1166" s="20">
        <v>2.0210912738094335</v>
      </c>
      <c r="H1166" s="20">
        <v>1.0604156345603286E-2</v>
      </c>
      <c r="I1166" s="2">
        <f ca="1"/>
        <v>1159</v>
      </c>
      <c r="J1166">
        <f ca="1"/>
        <v>2.0210912738094335</v>
      </c>
      <c r="K1166">
        <f ca="1"/>
        <v>-6.868385310875991E-3</v>
      </c>
    </row>
    <row r="1167" spans="7:11">
      <c r="G1167" s="20">
        <v>2.0228366030614282</v>
      </c>
      <c r="H1167" s="20">
        <v>1.0592153180403329E-2</v>
      </c>
      <c r="I1167" s="2">
        <f ca="1"/>
        <v>1160</v>
      </c>
      <c r="J1167">
        <f ca="1"/>
        <v>2.0228366030614282</v>
      </c>
      <c r="K1167">
        <f ca="1"/>
        <v>-6.8876266760087386E-3</v>
      </c>
    </row>
    <row r="1168" spans="7:11">
      <c r="G1168" s="20">
        <v>2.0245819323134224</v>
      </c>
      <c r="H1168" s="20">
        <v>1.0580113992974375E-2</v>
      </c>
      <c r="I1168" s="2">
        <f ca="1"/>
        <v>1161</v>
      </c>
      <c r="J1168">
        <f ca="1"/>
        <v>2.0245819323134224</v>
      </c>
      <c r="K1168">
        <f ca="1"/>
        <v>-6.9062207406693143E-3</v>
      </c>
    </row>
    <row r="1169" spans="7:11">
      <c r="G1169" s="20">
        <v>2.0263272615654166</v>
      </c>
      <c r="H1169" s="20">
        <v>1.0568045922244491E-2</v>
      </c>
      <c r="I1169" s="2">
        <f ca="1"/>
        <v>1162</v>
      </c>
      <c r="J1169">
        <f ca="1"/>
        <v>2.0263272615654166</v>
      </c>
      <c r="K1169">
        <f ca="1"/>
        <v>-6.922483645145896E-3</v>
      </c>
    </row>
    <row r="1170" spans="7:11">
      <c r="G1170" s="20">
        <v>2.0280725908174109</v>
      </c>
      <c r="H1170" s="20">
        <v>1.0555949966569726E-2</v>
      </c>
      <c r="I1170" s="2">
        <f ca="1"/>
        <v>1163</v>
      </c>
      <c r="J1170">
        <f ca="1"/>
        <v>2.0280725908174109</v>
      </c>
      <c r="K1170">
        <f ca="1"/>
        <v>-6.9372656609052018E-3</v>
      </c>
    </row>
    <row r="1171" spans="7:11">
      <c r="G1171" s="20">
        <v>2.0298179200694055</v>
      </c>
      <c r="H1171" s="20">
        <v>1.0543830296870822E-2</v>
      </c>
      <c r="I1171" s="2">
        <f ca="1"/>
        <v>1164</v>
      </c>
      <c r="J1171">
        <f ca="1"/>
        <v>2.0298179200694055</v>
      </c>
      <c r="K1171">
        <f ca="1"/>
        <v>-6.9549036361200708E-3</v>
      </c>
    </row>
    <row r="1172" spans="7:11">
      <c r="G1172" s="20">
        <v>2.0315632493213998</v>
      </c>
      <c r="H1172" s="20">
        <v>1.053167277304788E-2</v>
      </c>
      <c r="I1172" s="2">
        <f ca="1"/>
        <v>1165</v>
      </c>
      <c r="J1172">
        <f ca="1"/>
        <v>2.0315632493213998</v>
      </c>
      <c r="K1172">
        <f ca="1"/>
        <v>-6.9773893413192199E-3</v>
      </c>
    </row>
    <row r="1173" spans="7:11">
      <c r="G1173" s="20">
        <v>2.033308578573394</v>
      </c>
      <c r="H1173" s="20">
        <v>1.0519474613430908E-2</v>
      </c>
      <c r="I1173" s="2">
        <f ca="1"/>
        <v>1166</v>
      </c>
      <c r="J1173">
        <f ca="1"/>
        <v>2.033308578573394</v>
      </c>
      <c r="K1173">
        <f ca="1"/>
        <v>-6.9953491480959041E-3</v>
      </c>
    </row>
    <row r="1174" spans="7:11">
      <c r="G1174" s="20">
        <v>2.0350539078253882</v>
      </c>
      <c r="H1174" s="20">
        <v>1.0507254398055711E-2</v>
      </c>
      <c r="I1174" s="2">
        <f ca="1"/>
        <v>1167</v>
      </c>
      <c r="J1174">
        <f ca="1"/>
        <v>2.0350539078253882</v>
      </c>
      <c r="K1174">
        <f ca="1"/>
        <v>-7.0101793488872924E-3</v>
      </c>
    </row>
    <row r="1175" spans="7:11">
      <c r="G1175" s="20">
        <v>2.0367992370773824</v>
      </c>
      <c r="H1175" s="20">
        <v>1.049500447127223E-2</v>
      </c>
      <c r="I1175" s="2">
        <f ca="1"/>
        <v>1168</v>
      </c>
      <c r="J1175">
        <f ca="1"/>
        <v>2.0367992370773824</v>
      </c>
      <c r="K1175">
        <f ca="1"/>
        <v>-7.0286954140672733E-3</v>
      </c>
    </row>
    <row r="1176" spans="7:11">
      <c r="G1176" s="20">
        <v>2.0385445663293766</v>
      </c>
      <c r="H1176" s="20">
        <v>1.0482719622636652E-2</v>
      </c>
      <c r="I1176" s="2">
        <f ca="1"/>
        <v>1169</v>
      </c>
      <c r="J1176">
        <f ca="1"/>
        <v>2.0385445663293766</v>
      </c>
      <c r="K1176">
        <f ca="1"/>
        <v>-7.0467951110706846E-3</v>
      </c>
    </row>
    <row r="1177" spans="7:11">
      <c r="G1177" s="20">
        <v>2.0402898955813709</v>
      </c>
      <c r="H1177" s="20">
        <v>1.0470406515991907E-2</v>
      </c>
      <c r="I1177" s="2">
        <f ca="1"/>
        <v>1170</v>
      </c>
      <c r="J1177">
        <f ca="1"/>
        <v>2.0402898955813709</v>
      </c>
      <c r="K1177">
        <f ca="1"/>
        <v>-7.0626090556688819E-3</v>
      </c>
    </row>
    <row r="1178" spans="7:11">
      <c r="G1178" s="20">
        <v>2.0420352248333655</v>
      </c>
      <c r="H1178" s="20">
        <v>1.0458066466276133E-2</v>
      </c>
      <c r="I1178" s="2">
        <f ca="1"/>
        <v>1171</v>
      </c>
      <c r="J1178">
        <f ca="1"/>
        <v>2.0420352248333655</v>
      </c>
      <c r="K1178">
        <f ca="1"/>
        <v>-7.0768471350373839E-3</v>
      </c>
    </row>
    <row r="1179" spans="7:11">
      <c r="G1179" s="20">
        <v>2.0437805540853602</v>
      </c>
      <c r="H1179" s="20">
        <v>1.0445703659358556E-2</v>
      </c>
      <c r="I1179" s="2">
        <f ca="1"/>
        <v>1172</v>
      </c>
      <c r="J1179">
        <f ca="1"/>
        <v>2.0437805540853602</v>
      </c>
      <c r="K1179">
        <f ca="1"/>
        <v>-7.0939070359571582E-3</v>
      </c>
    </row>
    <row r="1180" spans="7:11">
      <c r="G1180" s="20">
        <v>2.0455258833373544</v>
      </c>
      <c r="H1180" s="20">
        <v>1.0433304059354562E-2</v>
      </c>
      <c r="I1180" s="2">
        <f ca="1"/>
        <v>1173</v>
      </c>
      <c r="J1180">
        <f ca="1"/>
        <v>2.0455258833373544</v>
      </c>
      <c r="K1180">
        <f ca="1"/>
        <v>-7.1157786741739065E-3</v>
      </c>
    </row>
    <row r="1181" spans="7:11">
      <c r="G1181" s="20">
        <v>2.0472712125893486</v>
      </c>
      <c r="H1181" s="20">
        <v>1.0420864906017051E-2</v>
      </c>
      <c r="I1181" s="2">
        <f ca="1"/>
        <v>1174</v>
      </c>
      <c r="J1181">
        <f ca="1"/>
        <v>2.0472712125893486</v>
      </c>
      <c r="K1181">
        <f ca="1"/>
        <v>-7.1331818220419091E-3</v>
      </c>
    </row>
    <row r="1182" spans="7:11">
      <c r="G1182" s="20">
        <v>2.0490165418413429</v>
      </c>
      <c r="H1182" s="20">
        <v>1.0408404557566956E-2</v>
      </c>
      <c r="I1182" s="2">
        <f ca="1"/>
        <v>1175</v>
      </c>
      <c r="J1182">
        <f ca="1"/>
        <v>2.0490165418413429</v>
      </c>
      <c r="K1182">
        <f ca="1"/>
        <v>-7.147487835805091E-3</v>
      </c>
    </row>
    <row r="1183" spans="7:11">
      <c r="G1183" s="20">
        <v>2.0507618710933371</v>
      </c>
      <c r="H1183" s="20">
        <v>1.0395915466820844E-2</v>
      </c>
      <c r="I1183" s="2">
        <f ca="1"/>
        <v>1176</v>
      </c>
      <c r="J1183">
        <f ca="1"/>
        <v>2.0507618710933371</v>
      </c>
      <c r="K1183">
        <f ca="1"/>
        <v>-7.1654298711102404E-3</v>
      </c>
    </row>
    <row r="1184" spans="7:11">
      <c r="G1184" s="20">
        <v>2.0525072003453313</v>
      </c>
      <c r="H1184" s="20">
        <v>1.0383392488852632E-2</v>
      </c>
      <c r="I1184" s="2">
        <f ca="1"/>
        <v>1177</v>
      </c>
      <c r="J1184">
        <f ca="1"/>
        <v>2.0525072003453313</v>
      </c>
      <c r="K1184">
        <f ca="1"/>
        <v>-7.1829593446496327E-3</v>
      </c>
    </row>
    <row r="1185" spans="7:11">
      <c r="G1185" s="20">
        <v>2.0542525295973255</v>
      </c>
      <c r="H1185" s="20">
        <v>1.037084220870064E-2</v>
      </c>
      <c r="I1185" s="2">
        <f ca="1"/>
        <v>1178</v>
      </c>
      <c r="J1185">
        <f ca="1"/>
        <v>2.0542525295973255</v>
      </c>
      <c r="K1185">
        <f ca="1"/>
        <v>-7.1987377364539683E-3</v>
      </c>
    </row>
    <row r="1186" spans="7:11">
      <c r="G1186" s="20">
        <v>2.0559978588493202</v>
      </c>
      <c r="H1186" s="20">
        <v>1.0358264153754893E-2</v>
      </c>
      <c r="I1186" s="2">
        <f ca="1"/>
        <v>1179</v>
      </c>
      <c r="J1186">
        <f ca="1"/>
        <v>2.0559978588493202</v>
      </c>
      <c r="K1186">
        <f ca="1"/>
        <v>-7.2144302221412125E-3</v>
      </c>
    </row>
    <row r="1187" spans="7:11">
      <c r="G1187" s="20">
        <v>2.0577431881013144</v>
      </c>
      <c r="H1187" s="20">
        <v>1.0345659096494288E-2</v>
      </c>
      <c r="I1187" s="2">
        <f ca="1"/>
        <v>1180</v>
      </c>
      <c r="J1187">
        <f ca="1"/>
        <v>2.0577431881013144</v>
      </c>
      <c r="K1187">
        <f ca="1"/>
        <v>-7.2281000756351374E-3</v>
      </c>
    </row>
    <row r="1188" spans="7:11">
      <c r="G1188" s="20">
        <v>2.0594885173533086</v>
      </c>
      <c r="H1188" s="20">
        <v>1.0333033324758198E-2</v>
      </c>
      <c r="I1188" s="2">
        <f ca="1"/>
        <v>1181</v>
      </c>
      <c r="J1188">
        <f ca="1"/>
        <v>2.0594885173533086</v>
      </c>
      <c r="K1188">
        <f ca="1"/>
        <v>-7.2447257466274262E-3</v>
      </c>
    </row>
    <row r="1189" spans="7:11">
      <c r="G1189" s="20">
        <v>2.0612338466053033</v>
      </c>
      <c r="H1189" s="20">
        <v>1.0320370232957756E-2</v>
      </c>
      <c r="I1189" s="2">
        <f ca="1"/>
        <v>1182</v>
      </c>
      <c r="J1189">
        <f ca="1"/>
        <v>2.0612338466053033</v>
      </c>
      <c r="K1189">
        <f ca="1"/>
        <v>-7.2663309096037193E-3</v>
      </c>
    </row>
    <row r="1190" spans="7:11">
      <c r="G1190" s="20">
        <v>2.0629791758572975</v>
      </c>
      <c r="H1190" s="20">
        <v>1.0307669044975792E-2</v>
      </c>
      <c r="I1190" s="2">
        <f ca="1"/>
        <v>1183</v>
      </c>
      <c r="J1190">
        <f ca="1"/>
        <v>2.0629791758572975</v>
      </c>
      <c r="K1190">
        <f ca="1"/>
        <v>-7.2828046588843953E-3</v>
      </c>
    </row>
    <row r="1191" spans="7:11">
      <c r="G1191" s="20">
        <v>2.0647245051092917</v>
      </c>
      <c r="H1191" s="20">
        <v>1.0294948448942335E-2</v>
      </c>
      <c r="I1191" s="2">
        <f ca="1"/>
        <v>1184</v>
      </c>
      <c r="J1191">
        <f ca="1"/>
        <v>2.0647245051092917</v>
      </c>
      <c r="K1191">
        <f ca="1"/>
        <v>-7.2964148161852949E-3</v>
      </c>
    </row>
    <row r="1192" spans="7:11">
      <c r="G1192" s="20">
        <v>2.066469834361286</v>
      </c>
      <c r="H1192" s="20">
        <v>1.0282199752549048E-2</v>
      </c>
      <c r="I1192" s="2">
        <f ca="1"/>
        <v>1185</v>
      </c>
      <c r="J1192">
        <f ca="1"/>
        <v>2.066469834361286</v>
      </c>
      <c r="K1192">
        <f ca="1"/>
        <v>-7.3138695205281837E-3</v>
      </c>
    </row>
    <row r="1193" spans="7:11">
      <c r="G1193" s="20">
        <v>2.0682151636132806</v>
      </c>
      <c r="H1193" s="20">
        <v>1.0269418228103438E-2</v>
      </c>
      <c r="I1193" s="2">
        <f ca="1"/>
        <v>1186</v>
      </c>
      <c r="J1193">
        <f ca="1"/>
        <v>2.0682151636132806</v>
      </c>
      <c r="K1193">
        <f ca="1"/>
        <v>-7.3306855975722842E-3</v>
      </c>
    </row>
    <row r="1194" spans="7:11">
      <c r="G1194" s="20">
        <v>2.0699604928652748</v>
      </c>
      <c r="H1194" s="20">
        <v>1.0256610832527813E-2</v>
      </c>
      <c r="I1194" s="2">
        <f ca="1"/>
        <v>1187</v>
      </c>
      <c r="J1194">
        <f ca="1"/>
        <v>2.0699604928652748</v>
      </c>
      <c r="K1194">
        <f ca="1"/>
        <v>-7.3452266290836938E-3</v>
      </c>
    </row>
    <row r="1195" spans="7:11">
      <c r="G1195" s="20">
        <v>2.0717058221172691</v>
      </c>
      <c r="H1195" s="20">
        <v>1.0243778550306904E-2</v>
      </c>
      <c r="I1195" s="2">
        <f ca="1"/>
        <v>1188</v>
      </c>
      <c r="J1195">
        <f ca="1"/>
        <v>2.0717058221172691</v>
      </c>
      <c r="K1195">
        <f ca="1"/>
        <v>-7.3583214399546744E-3</v>
      </c>
    </row>
    <row r="1196" spans="7:11">
      <c r="G1196" s="20">
        <v>2.0734511513692637</v>
      </c>
      <c r="H1196" s="20">
        <v>1.0230925445218352E-2</v>
      </c>
      <c r="I1196" s="2">
        <f ca="1"/>
        <v>1189</v>
      </c>
      <c r="J1196">
        <f ca="1"/>
        <v>2.0734511513692637</v>
      </c>
      <c r="K1196">
        <f ca="1"/>
        <v>-7.3741800586218428E-3</v>
      </c>
    </row>
    <row r="1197" spans="7:11">
      <c r="G1197" s="20">
        <v>2.0751964806212579</v>
      </c>
      <c r="H1197" s="20">
        <v>1.0218037805975331E-2</v>
      </c>
      <c r="I1197" s="2">
        <f ca="1"/>
        <v>1190</v>
      </c>
      <c r="J1197">
        <f ca="1"/>
        <v>2.0751964806212579</v>
      </c>
      <c r="K1197">
        <f ca="1"/>
        <v>-7.3947358003271435E-3</v>
      </c>
    </row>
    <row r="1198" spans="7:11">
      <c r="G1198" s="20">
        <v>2.0769418098732522</v>
      </c>
      <c r="H1198" s="20">
        <v>1.0205112947812192E-2</v>
      </c>
      <c r="I1198" s="2">
        <f ca="1"/>
        <v>1191</v>
      </c>
      <c r="J1198">
        <f ca="1"/>
        <v>2.0769418098732522</v>
      </c>
      <c r="K1198">
        <f ca="1"/>
        <v>-7.4108882137499353E-3</v>
      </c>
    </row>
    <row r="1199" spans="7:11">
      <c r="G1199" s="20">
        <v>2.0786871391252464</v>
      </c>
      <c r="H1199" s="20">
        <v>1.0192168926009897E-2</v>
      </c>
      <c r="I1199" s="2">
        <f ca="1"/>
        <v>1192</v>
      </c>
      <c r="J1199">
        <f ca="1"/>
        <v>2.0786871391252464</v>
      </c>
      <c r="K1199">
        <f ca="1"/>
        <v>-7.4239924462731815E-3</v>
      </c>
    </row>
    <row r="1200" spans="7:11">
      <c r="G1200" s="20">
        <v>2.0804324683772411</v>
      </c>
      <c r="H1200" s="20">
        <v>1.0179198325446059E-2</v>
      </c>
      <c r="I1200" s="2">
        <f ca="1"/>
        <v>1193</v>
      </c>
      <c r="J1200">
        <f ca="1"/>
        <v>2.0804324683772411</v>
      </c>
      <c r="K1200">
        <f ca="1"/>
        <v>-7.440665158240144E-3</v>
      </c>
    </row>
    <row r="1201" spans="7:11">
      <c r="G1201" s="20">
        <v>2.0821777976292353</v>
      </c>
      <c r="H1201" s="20">
        <v>1.0166196104899952E-2</v>
      </c>
      <c r="I1201" s="2">
        <f ca="1"/>
        <v>1194</v>
      </c>
      <c r="J1201">
        <f ca="1"/>
        <v>2.0821777976292353</v>
      </c>
      <c r="K1201">
        <f ca="1"/>
        <v>-7.4569244844589792E-3</v>
      </c>
    </row>
    <row r="1202" spans="7:11">
      <c r="G1202" s="20">
        <v>2.0839231268812295</v>
      </c>
      <c r="H1202" s="20">
        <v>1.0153168748580783E-2</v>
      </c>
      <c r="I1202" s="2">
        <f ca="1"/>
        <v>1195</v>
      </c>
      <c r="J1202">
        <f ca="1"/>
        <v>2.0839231268812295</v>
      </c>
      <c r="K1202">
        <f ca="1"/>
        <v>-7.4709563379315794E-3</v>
      </c>
    </row>
    <row r="1203" spans="7:11">
      <c r="G1203" s="20">
        <v>2.0856684561332237</v>
      </c>
      <c r="H1203" s="20">
        <v>1.0140117547626025E-2</v>
      </c>
      <c r="I1203" s="2">
        <f ca="1"/>
        <v>1196</v>
      </c>
      <c r="J1203">
        <f ca="1"/>
        <v>2.0856684561332237</v>
      </c>
      <c r="K1203">
        <f ca="1"/>
        <v>-7.4834522024250661E-3</v>
      </c>
    </row>
    <row r="1204" spans="7:11">
      <c r="G1204" s="20">
        <v>2.0874137853852184</v>
      </c>
      <c r="H1204" s="20">
        <v>1.0127046572511194E-2</v>
      </c>
      <c r="I1204" s="2">
        <f ca="1"/>
        <v>1197</v>
      </c>
      <c r="J1204">
        <f ca="1"/>
        <v>2.0874137853852184</v>
      </c>
      <c r="K1204">
        <f ca="1"/>
        <v>-7.4986740715597003E-3</v>
      </c>
    </row>
    <row r="1205" spans="7:11">
      <c r="G1205" s="20">
        <v>2.0891591146372126</v>
      </c>
      <c r="H1205" s="20">
        <v>1.0113942237209494E-2</v>
      </c>
      <c r="I1205" s="2">
        <f ca="1"/>
        <v>1198</v>
      </c>
      <c r="J1205">
        <f ca="1"/>
        <v>2.0891591146372126</v>
      </c>
      <c r="K1205">
        <f ca="1"/>
        <v>-7.518549491042326E-3</v>
      </c>
    </row>
    <row r="1206" spans="7:11">
      <c r="G1206" s="20">
        <v>2.0909044438892073</v>
      </c>
      <c r="H1206" s="20">
        <v>1.0100801883792625E-2</v>
      </c>
      <c r="I1206" s="2">
        <f ca="1"/>
        <v>1199</v>
      </c>
      <c r="J1206">
        <f ca="1"/>
        <v>2.0909044438892073</v>
      </c>
      <c r="K1206">
        <f ca="1"/>
        <v>-7.5340846679317411E-3</v>
      </c>
    </row>
    <row r="1207" spans="7:11">
      <c r="G1207" s="20">
        <v>2.0926497731412015</v>
      </c>
      <c r="H1207" s="20">
        <v>1.0087643320493606E-2</v>
      </c>
      <c r="I1207" s="2">
        <f ca="1"/>
        <v>1200</v>
      </c>
      <c r="J1207">
        <f ca="1"/>
        <v>2.0926497731412015</v>
      </c>
      <c r="K1207">
        <f ca="1"/>
        <v>-7.5466085216323205E-3</v>
      </c>
    </row>
    <row r="1208" spans="7:11">
      <c r="G1208" s="20">
        <v>2.0943951023931953</v>
      </c>
      <c r="H1208" s="20">
        <v>1.0074459250580321E-2</v>
      </c>
      <c r="I1208" s="2">
        <f ca="1"/>
        <v>1201</v>
      </c>
      <c r="J1208">
        <f ca="1"/>
        <v>2.0943951023931953</v>
      </c>
      <c r="K1208">
        <f ca="1"/>
        <v>-7.5626459580456209E-3</v>
      </c>
    </row>
    <row r="1209" spans="7:11">
      <c r="G1209" s="20">
        <v>2.0961404316451895</v>
      </c>
      <c r="H1209" s="20">
        <v>1.0061244706067504E-2</v>
      </c>
      <c r="I1209" s="2">
        <f ca="1"/>
        <v>1202</v>
      </c>
      <c r="J1209">
        <f ca="1"/>
        <v>2.0961404316451895</v>
      </c>
      <c r="K1209">
        <f ca="1"/>
        <v>-7.5782741237070484E-3</v>
      </c>
    </row>
    <row r="1210" spans="7:11">
      <c r="G1210" s="20">
        <v>2.0978857608971837</v>
      </c>
      <c r="H1210" s="20">
        <v>1.0048006083564848E-2</v>
      </c>
      <c r="I1210" s="2">
        <f ca="1"/>
        <v>1203</v>
      </c>
      <c r="J1210">
        <f ca="1"/>
        <v>2.0978857608971837</v>
      </c>
      <c r="K1210">
        <f ca="1"/>
        <v>-7.5917004963769567E-3</v>
      </c>
    </row>
    <row r="1211" spans="7:11">
      <c r="G1211" s="20">
        <v>2.0996310901491784</v>
      </c>
      <c r="H1211" s="20">
        <v>1.0034744672170089E-2</v>
      </c>
      <c r="I1211" s="2">
        <f ca="1"/>
        <v>1204</v>
      </c>
      <c r="J1211">
        <f ca="1"/>
        <v>2.0996310901491784</v>
      </c>
      <c r="K1211">
        <f ca="1"/>
        <v>-7.6036017281013229E-3</v>
      </c>
    </row>
    <row r="1212" spans="7:11">
      <c r="G1212" s="20">
        <v>2.1013764194011726</v>
      </c>
      <c r="H1212" s="20">
        <v>1.0021464506531706E-2</v>
      </c>
      <c r="I1212" s="2">
        <f ca="1"/>
        <v>1205</v>
      </c>
      <c r="J1212">
        <f ca="1"/>
        <v>2.1013764194011726</v>
      </c>
      <c r="K1212">
        <f ca="1"/>
        <v>-7.6181960165801199E-3</v>
      </c>
    </row>
    <row r="1213" spans="7:11">
      <c r="G1213" s="20">
        <v>2.1031217486531673</v>
      </c>
      <c r="H1213" s="20">
        <v>1.0008152151459759E-2</v>
      </c>
      <c r="I1213" s="2">
        <f ca="1"/>
        <v>1206</v>
      </c>
      <c r="J1213">
        <f ca="1"/>
        <v>2.1031217486531673</v>
      </c>
      <c r="K1213">
        <f ca="1"/>
        <v>-7.637389221302639E-3</v>
      </c>
    </row>
    <row r="1214" spans="7:11">
      <c r="G1214" s="20">
        <v>2.1048670779051615</v>
      </c>
      <c r="H1214" s="20">
        <v>9.9948049888980931E-3</v>
      </c>
      <c r="I1214" s="2">
        <f ca="1"/>
        <v>1207</v>
      </c>
      <c r="J1214">
        <f ca="1"/>
        <v>2.1048670779051615</v>
      </c>
      <c r="K1214">
        <f ca="1"/>
        <v>-7.6522862321279101E-3</v>
      </c>
    </row>
    <row r="1215" spans="7:11">
      <c r="G1215" s="20">
        <v>2.1066124071571557</v>
      </c>
      <c r="H1215" s="20">
        <v>9.981440633448628E-3</v>
      </c>
      <c r="I1215" s="2">
        <f ca="1"/>
        <v>1208</v>
      </c>
      <c r="J1215">
        <f ca="1"/>
        <v>2.1066124071571557</v>
      </c>
      <c r="K1215">
        <f ca="1"/>
        <v>-7.664202945566463E-3</v>
      </c>
    </row>
    <row r="1216" spans="7:11">
      <c r="G1216" s="20">
        <v>2.1083577364091499</v>
      </c>
      <c r="H1216" s="20">
        <v>9.9680518737098583E-3</v>
      </c>
      <c r="I1216" s="2">
        <f ca="1"/>
        <v>1209</v>
      </c>
      <c r="J1216">
        <f ca="1"/>
        <v>2.1083577364091499</v>
      </c>
      <c r="K1216">
        <f ca="1"/>
        <v>-7.6795908803829879E-3</v>
      </c>
    </row>
    <row r="1217" spans="7:11">
      <c r="G1217" s="20">
        <v>2.1101030656611446</v>
      </c>
      <c r="H1217" s="20">
        <v>9.9546338042348637E-3</v>
      </c>
      <c r="I1217" s="2">
        <f ca="1"/>
        <v>1210</v>
      </c>
      <c r="J1217">
        <f ca="1"/>
        <v>2.1101030656611446</v>
      </c>
      <c r="K1217">
        <f ca="1"/>
        <v>-7.6945704882573152E-3</v>
      </c>
    </row>
    <row r="1218" spans="7:11">
      <c r="G1218" s="20">
        <v>2.1118483949131388</v>
      </c>
      <c r="H1218" s="20">
        <v>9.941192755800481E-3</v>
      </c>
      <c r="I1218" s="2">
        <f ca="1"/>
        <v>1211</v>
      </c>
      <c r="J1218">
        <f ca="1"/>
        <v>2.1118483949131388</v>
      </c>
      <c r="K1218">
        <f ca="1"/>
        <v>-7.7078599482070338E-3</v>
      </c>
    </row>
    <row r="1219" spans="7:11">
      <c r="G1219" s="20">
        <v>2.113593724165133</v>
      </c>
      <c r="H1219" s="20">
        <v>9.9277282973591029E-3</v>
      </c>
      <c r="I1219" s="2">
        <f ca="1"/>
        <v>1212</v>
      </c>
      <c r="J1219">
        <f ca="1"/>
        <v>2.113593724165133</v>
      </c>
      <c r="K1219">
        <f ca="1"/>
        <v>-7.7210552507038736E-3</v>
      </c>
    </row>
    <row r="1220" spans="7:11">
      <c r="G1220" s="20">
        <v>2.1153390534171268</v>
      </c>
      <c r="H1220" s="20">
        <v>9.9142411886298503E-3</v>
      </c>
      <c r="I1220" s="2">
        <f ca="1"/>
        <v>1213</v>
      </c>
      <c r="J1220">
        <f ca="1"/>
        <v>2.1153390534171268</v>
      </c>
      <c r="K1220">
        <f ca="1"/>
        <v>-7.732305116198491E-3</v>
      </c>
    </row>
    <row r="1221" spans="7:11">
      <c r="G1221" s="20">
        <v>2.1170843826691219</v>
      </c>
      <c r="H1221" s="20">
        <v>9.9007374607498078E-3</v>
      </c>
      <c r="I1221" s="2">
        <f ca="1"/>
        <v>1214</v>
      </c>
      <c r="J1221">
        <f ca="1"/>
        <v>2.1170843826691219</v>
      </c>
      <c r="K1221">
        <f ca="1"/>
        <v>-7.7463683926945895E-3</v>
      </c>
    </row>
    <row r="1222" spans="7:11">
      <c r="G1222" s="20">
        <v>2.1188297119211161</v>
      </c>
      <c r="H1222" s="20">
        <v>9.8872012619248568E-3</v>
      </c>
      <c r="I1222" s="2">
        <f ca="1"/>
        <v>1215</v>
      </c>
      <c r="J1222">
        <f ca="1"/>
        <v>2.1188297119211161</v>
      </c>
      <c r="K1222">
        <f ca="1"/>
        <v>-7.7651774631151234E-3</v>
      </c>
    </row>
    <row r="1223" spans="7:11">
      <c r="G1223" s="20">
        <v>2.1205750411731104</v>
      </c>
      <c r="H1223" s="20">
        <v>9.8736318780032056E-3</v>
      </c>
      <c r="I1223" s="2">
        <f ca="1"/>
        <v>1216</v>
      </c>
      <c r="J1223">
        <f ca="1"/>
        <v>2.1205750411731104</v>
      </c>
      <c r="K1223">
        <f ca="1"/>
        <v>-7.7790681674060136E-3</v>
      </c>
    </row>
    <row r="1224" spans="7:11">
      <c r="G1224" s="20">
        <v>2.1223203704251046</v>
      </c>
      <c r="H1224" s="20">
        <v>9.8600471914731952E-3</v>
      </c>
      <c r="I1224" s="2">
        <f ca="1"/>
        <v>1217</v>
      </c>
      <c r="J1224">
        <f ca="1"/>
        <v>2.1223203704251046</v>
      </c>
      <c r="K1224">
        <f ca="1"/>
        <v>-7.7902095394334469E-3</v>
      </c>
    </row>
    <row r="1225" spans="7:11">
      <c r="G1225" s="20">
        <v>2.1240656996770988</v>
      </c>
      <c r="H1225" s="20">
        <v>9.8464389168265304E-3</v>
      </c>
      <c r="I1225" s="2">
        <f ca="1"/>
        <v>1218</v>
      </c>
      <c r="J1225">
        <f ca="1"/>
        <v>2.1240656996770988</v>
      </c>
      <c r="K1225">
        <f ca="1"/>
        <v>-7.8050116410434932E-3</v>
      </c>
    </row>
    <row r="1226" spans="7:11">
      <c r="G1226" s="20">
        <v>2.125811028929093</v>
      </c>
      <c r="H1226" s="20">
        <v>9.8328025612146579E-3</v>
      </c>
      <c r="I1226" s="2">
        <f ca="1"/>
        <v>1219</v>
      </c>
      <c r="J1226">
        <f ca="1"/>
        <v>2.125811028929093</v>
      </c>
      <c r="K1226">
        <f ca="1"/>
        <v>-7.819190239244175E-3</v>
      </c>
    </row>
    <row r="1227" spans="7:11">
      <c r="G1227" s="20">
        <v>2.1275563581810877</v>
      </c>
      <c r="H1227" s="20">
        <v>9.8191447939236058E-3</v>
      </c>
      <c r="I1227" s="2">
        <f ca="1"/>
        <v>1220</v>
      </c>
      <c r="J1227">
        <f ca="1"/>
        <v>2.1275563581810877</v>
      </c>
      <c r="K1227">
        <f ca="1"/>
        <v>-7.8311831302045557E-3</v>
      </c>
    </row>
    <row r="1228" spans="7:11">
      <c r="G1228" s="20">
        <v>2.1293016874330819</v>
      </c>
      <c r="H1228" s="20">
        <v>9.8054665752249151E-3</v>
      </c>
      <c r="I1228" s="2">
        <f ca="1"/>
        <v>1221</v>
      </c>
      <c r="J1228">
        <f ca="1"/>
        <v>2.1293016874330819</v>
      </c>
      <c r="K1228">
        <f ca="1"/>
        <v>-7.8417860415621668E-3</v>
      </c>
    </row>
    <row r="1229" spans="7:11">
      <c r="G1229" s="20">
        <v>2.1310470166850766</v>
      </c>
      <c r="H1229" s="20">
        <v>9.7917717967911655E-3</v>
      </c>
      <c r="I1229" s="2">
        <f ca="1"/>
        <v>1222</v>
      </c>
      <c r="J1229">
        <f ca="1"/>
        <v>2.1310470166850766</v>
      </c>
      <c r="K1229">
        <f ca="1"/>
        <v>-7.8550117789567293E-3</v>
      </c>
    </row>
    <row r="1230" spans="7:11">
      <c r="G1230" s="20">
        <v>2.1327923459370703</v>
      </c>
      <c r="H1230" s="20">
        <v>9.7780474115597704E-3</v>
      </c>
      <c r="I1230" s="2">
        <f ca="1"/>
        <v>1223</v>
      </c>
      <c r="J1230">
        <f ca="1"/>
        <v>2.1327923459370703</v>
      </c>
      <c r="K1230">
        <f ca="1"/>
        <v>-7.8727012318576227E-3</v>
      </c>
    </row>
    <row r="1231" spans="7:11">
      <c r="G1231" s="20">
        <v>2.134537675189065</v>
      </c>
      <c r="H1231" s="20">
        <v>9.7642908852868214E-3</v>
      </c>
      <c r="I1231" s="2">
        <f ca="1"/>
        <v>1224</v>
      </c>
      <c r="J1231">
        <f ca="1"/>
        <v>2.134537675189065</v>
      </c>
      <c r="K1231">
        <f ca="1"/>
        <v>-7.8861797108715163E-3</v>
      </c>
    </row>
    <row r="1232" spans="7:11">
      <c r="G1232" s="20">
        <v>2.1362830044410592</v>
      </c>
      <c r="H1232" s="20">
        <v>9.7505194512880321E-3</v>
      </c>
      <c r="I1232" s="2">
        <f ca="1"/>
        <v>1225</v>
      </c>
      <c r="J1232">
        <f ca="1"/>
        <v>2.1362830044410592</v>
      </c>
      <c r="K1232">
        <f ca="1"/>
        <v>-7.8967394615325915E-3</v>
      </c>
    </row>
    <row r="1233" spans="7:11">
      <c r="G1233" s="20">
        <v>2.1380283336930535</v>
      </c>
      <c r="H1233" s="20">
        <v>9.7367260645316416E-3</v>
      </c>
      <c r="I1233" s="2">
        <f ca="1"/>
        <v>1226</v>
      </c>
      <c r="J1233">
        <f ca="1"/>
        <v>2.1380283336930535</v>
      </c>
      <c r="K1233">
        <f ca="1"/>
        <v>-7.9106868303436551E-3</v>
      </c>
    </row>
    <row r="1234" spans="7:11">
      <c r="G1234" s="20">
        <v>2.1397736629450481</v>
      </c>
      <c r="H1234" s="20">
        <v>9.7229059450313002E-3</v>
      </c>
      <c r="I1234" s="2">
        <f ca="1"/>
        <v>1227</v>
      </c>
      <c r="J1234">
        <f ca="1"/>
        <v>2.1397736629450481</v>
      </c>
      <c r="K1234">
        <f ca="1"/>
        <v>-7.9242269473299813E-3</v>
      </c>
    </row>
    <row r="1235" spans="7:11">
      <c r="G1235" s="20">
        <v>2.1415189921970423</v>
      </c>
      <c r="H1235" s="20">
        <v>9.7090652943504063E-3</v>
      </c>
      <c r="I1235" s="2">
        <f ca="1"/>
        <v>1228</v>
      </c>
      <c r="J1235">
        <f ca="1"/>
        <v>2.1415189921970423</v>
      </c>
      <c r="K1235">
        <f ca="1"/>
        <v>-7.9356322061050373E-3</v>
      </c>
    </row>
    <row r="1236" spans="7:11">
      <c r="G1236" s="20">
        <v>2.1432643214490366</v>
      </c>
      <c r="H1236" s="20">
        <v>9.6952053629865351E-3</v>
      </c>
      <c r="I1236" s="2">
        <f ca="1"/>
        <v>1229</v>
      </c>
      <c r="J1236">
        <f ca="1"/>
        <v>2.1432643214490366</v>
      </c>
      <c r="K1236">
        <f ca="1"/>
        <v>-7.9455653133516466E-3</v>
      </c>
    </row>
    <row r="1237" spans="7:11">
      <c r="G1237" s="20">
        <v>2.1450096507010308</v>
      </c>
      <c r="H1237" s="20">
        <v>9.6813300392203597E-3</v>
      </c>
      <c r="I1237" s="2">
        <f ca="1"/>
        <v>1230</v>
      </c>
      <c r="J1237">
        <f ca="1"/>
        <v>2.1450096507010308</v>
      </c>
      <c r="K1237">
        <f ca="1"/>
        <v>-7.9580779349298792E-3</v>
      </c>
    </row>
    <row r="1238" spans="7:11">
      <c r="G1238" s="20">
        <v>2.1467549799530254</v>
      </c>
      <c r="H1238" s="20">
        <v>9.6674264305675658E-3</v>
      </c>
      <c r="I1238" s="2">
        <f ca="1"/>
        <v>1231</v>
      </c>
      <c r="J1238">
        <f ca="1"/>
        <v>2.1467549799530254</v>
      </c>
      <c r="K1238">
        <f ca="1"/>
        <v>-7.9750006719939964E-3</v>
      </c>
    </row>
    <row r="1239" spans="7:11">
      <c r="G1239" s="20">
        <v>2.1485003092050197</v>
      </c>
      <c r="H1239" s="20">
        <v>9.6534920353053468E-3</v>
      </c>
      <c r="I1239" s="2">
        <f ca="1"/>
        <v>1232</v>
      </c>
      <c r="J1239">
        <f ca="1"/>
        <v>2.1485003092050197</v>
      </c>
      <c r="K1239">
        <f ca="1"/>
        <v>-7.9877835817919463E-3</v>
      </c>
    </row>
    <row r="1240" spans="7:11">
      <c r="G1240" s="20">
        <v>2.1502456384570143</v>
      </c>
      <c r="H1240" s="20">
        <v>9.6395438058797609E-3</v>
      </c>
      <c r="I1240" s="2">
        <f ca="1"/>
        <v>1233</v>
      </c>
      <c r="J1240">
        <f ca="1"/>
        <v>2.1502456384570143</v>
      </c>
      <c r="K1240">
        <f ca="1"/>
        <v>-7.997690275578527E-3</v>
      </c>
    </row>
    <row r="1241" spans="7:11">
      <c r="G1241" s="20">
        <v>2.1519909677090086</v>
      </c>
      <c r="H1241" s="20">
        <v>9.6255748297326294E-3</v>
      </c>
      <c r="I1241" s="2">
        <f ca="1"/>
        <v>1234</v>
      </c>
      <c r="J1241">
        <f ca="1"/>
        <v>2.1519909677090086</v>
      </c>
      <c r="K1241">
        <f ca="1"/>
        <v>-8.0109230398202752E-3</v>
      </c>
    </row>
    <row r="1242" spans="7:11">
      <c r="G1242" s="20">
        <v>2.1537362969610028</v>
      </c>
      <c r="H1242" s="20">
        <v>9.6115804092460153E-3</v>
      </c>
      <c r="I1242" s="2">
        <f ca="1"/>
        <v>1235</v>
      </c>
      <c r="J1242">
        <f ca="1"/>
        <v>2.1537362969610028</v>
      </c>
      <c r="K1242">
        <f ca="1"/>
        <v>-8.023753479729983E-3</v>
      </c>
    </row>
    <row r="1243" spans="7:11">
      <c r="G1243" s="20">
        <v>2.155481626212997</v>
      </c>
      <c r="H1243" s="20">
        <v>9.5975666464147031E-3</v>
      </c>
      <c r="I1243" s="2">
        <f ca="1"/>
        <v>1236</v>
      </c>
      <c r="J1243">
        <f ca="1"/>
        <v>2.155481626212997</v>
      </c>
      <c r="K1243">
        <f ca="1"/>
        <v>-8.0349490738705221E-3</v>
      </c>
    </row>
    <row r="1244" spans="7:11">
      <c r="G1244" s="20">
        <v>2.1572269554649912</v>
      </c>
      <c r="H1244" s="20">
        <v>9.5835331459321951E-3</v>
      </c>
      <c r="I1244" s="2">
        <f ca="1"/>
        <v>1237</v>
      </c>
      <c r="J1244">
        <f ca="1"/>
        <v>2.1572269554649912</v>
      </c>
      <c r="K1244">
        <f ca="1"/>
        <v>-8.046044483326055E-3</v>
      </c>
    </row>
    <row r="1245" spans="7:11">
      <c r="G1245" s="20">
        <v>2.1589722847169854</v>
      </c>
      <c r="H1245" s="20">
        <v>9.5694806528155117E-3</v>
      </c>
      <c r="I1245" s="2">
        <f ca="1"/>
        <v>1238</v>
      </c>
      <c r="J1245">
        <f ca="1"/>
        <v>2.1589722847169854</v>
      </c>
      <c r="K1245">
        <f ca="1"/>
        <v>-8.0552641645314817E-3</v>
      </c>
    </row>
    <row r="1246" spans="7:11">
      <c r="G1246" s="20">
        <v>2.1607176139689801</v>
      </c>
      <c r="H1246" s="20">
        <v>9.5554149695743964E-3</v>
      </c>
      <c r="I1246" s="2">
        <f ca="1"/>
        <v>1239</v>
      </c>
      <c r="J1246">
        <f ca="1"/>
        <v>2.1607176139689801</v>
      </c>
      <c r="K1246">
        <f ca="1"/>
        <v>-8.0671725823195928E-3</v>
      </c>
    </row>
    <row r="1247" spans="7:11">
      <c r="G1247" s="20">
        <v>2.1624629432209743</v>
      </c>
      <c r="H1247" s="20">
        <v>9.5413209082378918E-3</v>
      </c>
      <c r="I1247" s="2">
        <f ca="1"/>
        <v>1240</v>
      </c>
      <c r="J1247">
        <f ca="1"/>
        <v>2.1624629432209743</v>
      </c>
      <c r="K1247">
        <f ca="1"/>
        <v>-8.0836221044884183E-3</v>
      </c>
    </row>
    <row r="1248" spans="7:11">
      <c r="G1248" s="20">
        <v>2.1642082724729685</v>
      </c>
      <c r="H1248" s="20">
        <v>9.5271978053323349E-3</v>
      </c>
      <c r="I1248" s="2">
        <f ca="1"/>
        <v>1241</v>
      </c>
      <c r="J1248">
        <f ca="1"/>
        <v>2.1642082724729685</v>
      </c>
      <c r="K1248">
        <f ca="1"/>
        <v>-8.0953431085014228E-3</v>
      </c>
    </row>
    <row r="1249" spans="7:11">
      <c r="G1249" s="20">
        <v>2.1659536017249628</v>
      </c>
      <c r="H1249" s="20">
        <v>9.5130628299734971E-3</v>
      </c>
      <c r="I1249" s="2">
        <f ca="1"/>
        <v>1242</v>
      </c>
      <c r="J1249">
        <f ca="1"/>
        <v>2.1659536017249628</v>
      </c>
      <c r="K1249">
        <f ca="1"/>
        <v>-8.1044169034348214E-3</v>
      </c>
    </row>
    <row r="1250" spans="7:11">
      <c r="G1250" s="20">
        <v>2.1676989309769574</v>
      </c>
      <c r="H1250" s="20">
        <v>9.4989080535484889E-3</v>
      </c>
      <c r="I1250" s="2">
        <f ca="1"/>
        <v>1243</v>
      </c>
      <c r="J1250">
        <f ca="1"/>
        <v>2.1676989309769574</v>
      </c>
      <c r="K1250">
        <f ca="1"/>
        <v>-8.1169907181655402E-3</v>
      </c>
    </row>
    <row r="1251" spans="7:11">
      <c r="G1251" s="20">
        <v>2.1694442602289516</v>
      </c>
      <c r="H1251" s="20">
        <v>9.4847291872963337E-3</v>
      </c>
      <c r="I1251" s="2">
        <f ca="1"/>
        <v>1244</v>
      </c>
      <c r="J1251">
        <f ca="1"/>
        <v>2.1694442602289516</v>
      </c>
      <c r="K1251">
        <f ca="1"/>
        <v>-8.1289560007235893E-3</v>
      </c>
    </row>
    <row r="1252" spans="7:11">
      <c r="G1252" s="20">
        <v>2.1711895894809459</v>
      </c>
      <c r="H1252" s="20">
        <v>9.4705326441560152E-3</v>
      </c>
      <c r="I1252" s="2">
        <f ca="1"/>
        <v>1245</v>
      </c>
      <c r="J1252">
        <f ca="1"/>
        <v>2.1711895894809459</v>
      </c>
      <c r="K1252">
        <f ca="1"/>
        <v>-8.1388156174251932E-3</v>
      </c>
    </row>
    <row r="1253" spans="7:11">
      <c r="G1253" s="20">
        <v>2.1729349187329401</v>
      </c>
      <c r="H1253" s="20">
        <v>9.4563193613489745E-3</v>
      </c>
      <c r="I1253" s="2">
        <f ca="1"/>
        <v>1246</v>
      </c>
      <c r="J1253">
        <f ca="1"/>
        <v>2.1729349187329401</v>
      </c>
      <c r="K1253">
        <f ca="1"/>
        <v>-8.1473359623940173E-3</v>
      </c>
    </row>
    <row r="1254" spans="7:11">
      <c r="G1254" s="20">
        <v>2.1746802479849348</v>
      </c>
      <c r="H1254" s="20">
        <v>9.4420930765940301E-3</v>
      </c>
      <c r="I1254" s="2">
        <f ca="1"/>
        <v>1247</v>
      </c>
      <c r="J1254">
        <f ca="1"/>
        <v>2.1746802479849348</v>
      </c>
      <c r="K1254">
        <f ca="1"/>
        <v>-8.1583569916656301E-3</v>
      </c>
    </row>
    <row r="1255" spans="7:11">
      <c r="G1255" s="20">
        <v>2.176425577236929</v>
      </c>
      <c r="H1255" s="20">
        <v>9.4278413231374397E-3</v>
      </c>
      <c r="I1255" s="2">
        <f ca="1"/>
        <v>1248</v>
      </c>
      <c r="J1255">
        <f ca="1"/>
        <v>2.176425577236929</v>
      </c>
      <c r="K1255">
        <f ca="1"/>
        <v>-8.1736381893172689E-3</v>
      </c>
    </row>
    <row r="1256" spans="7:11">
      <c r="G1256" s="20">
        <v>2.1781709064889236</v>
      </c>
      <c r="H1256" s="20">
        <v>9.4135616969399614E-3</v>
      </c>
      <c r="I1256" s="2">
        <f ca="1"/>
        <v>1249</v>
      </c>
      <c r="J1256">
        <f ca="1"/>
        <v>2.1781709064889236</v>
      </c>
      <c r="K1256">
        <f ca="1"/>
        <v>-8.1848786676273592E-3</v>
      </c>
    </row>
    <row r="1257" spans="7:11">
      <c r="G1257" s="20">
        <v>2.1799162357409179</v>
      </c>
      <c r="H1257" s="20">
        <v>9.3992707068121691E-3</v>
      </c>
      <c r="I1257" s="2">
        <f ca="1"/>
        <v>1250</v>
      </c>
      <c r="J1257">
        <f ca="1"/>
        <v>2.1799162357409179</v>
      </c>
      <c r="K1257">
        <f ca="1"/>
        <v>-8.1933156440873491E-3</v>
      </c>
    </row>
    <row r="1258" spans="7:11">
      <c r="G1258" s="20">
        <v>2.1816615649929116</v>
      </c>
      <c r="H1258" s="20">
        <v>9.38496163001107E-3</v>
      </c>
      <c r="I1258" s="2">
        <f ca="1"/>
        <v>1251</v>
      </c>
      <c r="J1258">
        <f ca="1"/>
        <v>2.1816615649929116</v>
      </c>
      <c r="K1258">
        <f ca="1"/>
        <v>-8.2049830546462449E-3</v>
      </c>
    </row>
    <row r="1259" spans="7:11">
      <c r="G1259" s="20">
        <v>2.1834068942449059</v>
      </c>
      <c r="H1259" s="20">
        <v>9.3706299129373907E-3</v>
      </c>
      <c r="I1259" s="2">
        <f ca="1"/>
        <v>1252</v>
      </c>
      <c r="J1259">
        <f ca="1"/>
        <v>2.1834068942449059</v>
      </c>
      <c r="K1259">
        <f ca="1"/>
        <v>-8.2162501039914296E-3</v>
      </c>
    </row>
    <row r="1260" spans="7:11">
      <c r="G1260" s="20">
        <v>2.1851522234969001</v>
      </c>
      <c r="H1260" s="20">
        <v>9.3562815067146764E-3</v>
      </c>
      <c r="I1260" s="2">
        <f ca="1"/>
        <v>1253</v>
      </c>
      <c r="J1260">
        <f ca="1"/>
        <v>2.1851522234969001</v>
      </c>
      <c r="K1260">
        <f ca="1"/>
        <v>-8.2254648888909366E-3</v>
      </c>
    </row>
    <row r="1261" spans="7:11">
      <c r="G1261" s="20">
        <v>2.1868975527488947</v>
      </c>
      <c r="H1261" s="20">
        <v>9.3419176239737216E-3</v>
      </c>
      <c r="I1261" s="2">
        <f ca="1"/>
        <v>1254</v>
      </c>
      <c r="J1261">
        <f ca="1"/>
        <v>2.1868975527488947</v>
      </c>
      <c r="K1261">
        <f ca="1"/>
        <v>-8.2332645708710003E-3</v>
      </c>
    </row>
    <row r="1262" spans="7:11">
      <c r="G1262" s="20">
        <v>2.188642882000889</v>
      </c>
      <c r="H1262" s="20">
        <v>9.3275419917247752E-3</v>
      </c>
      <c r="I1262" s="2">
        <f ca="1"/>
        <v>1255</v>
      </c>
      <c r="J1262">
        <f ca="1"/>
        <v>2.188642882000889</v>
      </c>
      <c r="K1262">
        <f ca="1"/>
        <v>-8.243517297067916E-3</v>
      </c>
    </row>
    <row r="1263" spans="7:11">
      <c r="G1263" s="20">
        <v>2.1903882112528836</v>
      </c>
      <c r="H1263" s="20">
        <v>9.313142320217932E-3</v>
      </c>
      <c r="I1263" s="2">
        <f ca="1"/>
        <v>1256</v>
      </c>
      <c r="J1263">
        <f ca="1"/>
        <v>2.1903882112528836</v>
      </c>
      <c r="K1263">
        <f ca="1"/>
        <v>-8.2579692611187399E-3</v>
      </c>
    </row>
    <row r="1264" spans="7:11">
      <c r="G1264" s="20">
        <v>2.1921335405048779</v>
      </c>
      <c r="H1264" s="20">
        <v>9.2987162410977722E-3</v>
      </c>
      <c r="I1264" s="2">
        <f ca="1"/>
        <v>1257</v>
      </c>
      <c r="J1264">
        <f ca="1"/>
        <v>2.1921335405048779</v>
      </c>
      <c r="K1264">
        <f ca="1"/>
        <v>-8.2684577371302855E-3</v>
      </c>
    </row>
    <row r="1265" spans="7:11">
      <c r="G1265" s="20">
        <v>2.1938788697568721</v>
      </c>
      <c r="H1265" s="20">
        <v>9.2842799579029491E-3</v>
      </c>
      <c r="I1265" s="2">
        <f ca="1"/>
        <v>1258</v>
      </c>
      <c r="J1265">
        <f ca="1"/>
        <v>2.1938788697568721</v>
      </c>
      <c r="K1265">
        <f ca="1"/>
        <v>-8.2761893944385163E-3</v>
      </c>
    </row>
    <row r="1266" spans="7:11">
      <c r="G1266" s="20">
        <v>2.1956241990088663</v>
      </c>
      <c r="H1266" s="20">
        <v>9.2698268902074565E-3</v>
      </c>
      <c r="I1266" s="2">
        <f ca="1"/>
        <v>1259</v>
      </c>
      <c r="J1266">
        <f ca="1"/>
        <v>2.1956241990088663</v>
      </c>
      <c r="K1266">
        <f ca="1"/>
        <v>-8.2870851583849211E-3</v>
      </c>
    </row>
    <row r="1267" spans="7:11">
      <c r="G1267" s="20">
        <v>2.197369528260861</v>
      </c>
      <c r="H1267" s="20">
        <v>9.2553525736215527E-3</v>
      </c>
      <c r="I1267" s="2">
        <f ca="1"/>
        <v>1260</v>
      </c>
      <c r="J1267">
        <f ca="1"/>
        <v>2.197369528260861</v>
      </c>
      <c r="K1267">
        <f ca="1"/>
        <v>-8.2975860466874742E-3</v>
      </c>
    </row>
    <row r="1268" spans="7:11">
      <c r="G1268" s="20">
        <v>2.1991148575128552</v>
      </c>
      <c r="H1268" s="20">
        <v>9.2408628509110073E-3</v>
      </c>
      <c r="I1268" s="2">
        <f ca="1"/>
        <v>1261</v>
      </c>
      <c r="J1268">
        <f ca="1"/>
        <v>2.1991148575128552</v>
      </c>
      <c r="K1268">
        <f ca="1"/>
        <v>-8.3065158101331433E-3</v>
      </c>
    </row>
    <row r="1269" spans="7:11">
      <c r="G1269" s="20">
        <v>2.2008601867648494</v>
      </c>
      <c r="H1269" s="20">
        <v>9.226357363570397E-3</v>
      </c>
      <c r="I1269" s="2">
        <f ca="1"/>
        <v>1262</v>
      </c>
      <c r="J1269">
        <f ca="1"/>
        <v>2.2008601867648494</v>
      </c>
      <c r="K1269">
        <f ca="1"/>
        <v>-8.315339859005946E-3</v>
      </c>
    </row>
    <row r="1270" spans="7:11">
      <c r="G1270" s="20">
        <v>2.2026055160168436</v>
      </c>
      <c r="H1270" s="20">
        <v>9.2118368391186142E-3</v>
      </c>
      <c r="I1270" s="2">
        <f ca="1"/>
        <v>1263</v>
      </c>
      <c r="J1270">
        <f ca="1"/>
        <v>2.2026055160168436</v>
      </c>
      <c r="K1270">
        <f ca="1"/>
        <v>-8.3223674955125778E-3</v>
      </c>
    </row>
    <row r="1271" spans="7:11">
      <c r="G1271" s="20">
        <v>2.2043508452688383</v>
      </c>
      <c r="H1271" s="20">
        <v>9.1973068206988653E-3</v>
      </c>
      <c r="I1271" s="2">
        <f ca="1"/>
        <v>1264</v>
      </c>
      <c r="J1271">
        <f ca="1"/>
        <v>2.2043508452688383</v>
      </c>
      <c r="K1271">
        <f ca="1"/>
        <v>-8.3319456952833451E-3</v>
      </c>
    </row>
    <row r="1272" spans="7:11">
      <c r="G1272" s="20">
        <v>2.2060961745208325</v>
      </c>
      <c r="H1272" s="20">
        <v>9.1827528620225998E-3</v>
      </c>
      <c r="I1272" s="2">
        <f ca="1"/>
        <v>1265</v>
      </c>
      <c r="J1272">
        <f ca="1"/>
        <v>2.2060961745208325</v>
      </c>
      <c r="K1272">
        <f ca="1"/>
        <v>-8.3458365407342756E-3</v>
      </c>
    </row>
    <row r="1273" spans="7:11">
      <c r="G1273" s="20">
        <v>2.2078415037728267</v>
      </c>
      <c r="H1273" s="20">
        <v>9.1681743554050538E-3</v>
      </c>
      <c r="I1273" s="2">
        <f ca="1"/>
        <v>1266</v>
      </c>
      <c r="J1273">
        <f ca="1"/>
        <v>2.2078415037728267</v>
      </c>
      <c r="K1273">
        <f ca="1"/>
        <v>-8.3552127346555906E-3</v>
      </c>
    </row>
    <row r="1274" spans="7:11">
      <c r="G1274" s="20">
        <v>2.2095868330248214</v>
      </c>
      <c r="H1274" s="20">
        <v>9.153587667637738E-3</v>
      </c>
      <c r="I1274" s="2">
        <f ca="1"/>
        <v>1267</v>
      </c>
      <c r="J1274">
        <f ca="1"/>
        <v>2.2095868330248214</v>
      </c>
      <c r="K1274">
        <f ca="1"/>
        <v>-8.3620578093785061E-3</v>
      </c>
    </row>
    <row r="1275" spans="7:11">
      <c r="G1275" s="20">
        <v>2.2113321622768156</v>
      </c>
      <c r="H1275" s="20">
        <v>9.1389852672019E-3</v>
      </c>
      <c r="I1275" s="2">
        <f ca="1"/>
        <v>1268</v>
      </c>
      <c r="J1275">
        <f ca="1"/>
        <v>2.2113321622768156</v>
      </c>
      <c r="K1275">
        <f ca="1"/>
        <v>-8.372224173147284E-3</v>
      </c>
    </row>
    <row r="1276" spans="7:11">
      <c r="G1276" s="20">
        <v>2.2130774915288098</v>
      </c>
      <c r="H1276" s="20">
        <v>9.1243630921304438E-3</v>
      </c>
      <c r="I1276" s="2">
        <f ca="1"/>
        <v>1269</v>
      </c>
      <c r="J1276">
        <f ca="1"/>
        <v>2.2130774915288098</v>
      </c>
      <c r="K1276">
        <f ca="1"/>
        <v>-8.3817998484377546E-3</v>
      </c>
    </row>
    <row r="1277" spans="7:11">
      <c r="G1277" s="20">
        <v>2.2148228207808041</v>
      </c>
      <c r="H1277" s="20">
        <v>9.1097272662822217E-3</v>
      </c>
      <c r="I1277" s="2">
        <f ca="1"/>
        <v>1270</v>
      </c>
      <c r="J1277">
        <f ca="1"/>
        <v>2.2148228207808041</v>
      </c>
      <c r="K1277">
        <f ca="1"/>
        <v>-8.3893610197654216E-3</v>
      </c>
    </row>
    <row r="1278" spans="7:11">
      <c r="G1278" s="20">
        <v>2.2165681500327987</v>
      </c>
      <c r="H1278" s="20">
        <v>9.0950786977437668E-3</v>
      </c>
      <c r="I1278" s="2">
        <f ca="1"/>
        <v>1271</v>
      </c>
      <c r="J1278">
        <f ca="1"/>
        <v>2.2165681500327987</v>
      </c>
      <c r="K1278">
        <f ca="1"/>
        <v>-8.3956407345019239E-3</v>
      </c>
    </row>
    <row r="1279" spans="7:11">
      <c r="G1279" s="20">
        <v>2.2183134792847929</v>
      </c>
      <c r="H1279" s="20">
        <v>9.0804209515558971E-3</v>
      </c>
      <c r="I1279" s="2">
        <f ca="1"/>
        <v>1272</v>
      </c>
      <c r="J1279">
        <f ca="1"/>
        <v>2.2183134792847929</v>
      </c>
      <c r="K1279">
        <f ca="1"/>
        <v>-8.4042854042707116E-3</v>
      </c>
    </row>
    <row r="1280" spans="7:11">
      <c r="G1280" s="20">
        <v>2.2200588085367872</v>
      </c>
      <c r="H1280" s="20">
        <v>9.0657422074274033E-3</v>
      </c>
      <c r="I1280" s="2">
        <f ca="1"/>
        <v>1273</v>
      </c>
      <c r="J1280">
        <f ca="1"/>
        <v>2.2200588085367872</v>
      </c>
      <c r="K1280">
        <f ca="1"/>
        <v>-8.4169645757458562E-3</v>
      </c>
    </row>
    <row r="1281" spans="7:11">
      <c r="G1281" s="20">
        <v>2.2218041377887818</v>
      </c>
      <c r="H1281" s="20">
        <v>9.0510402025817966E-3</v>
      </c>
      <c r="I1281" s="2">
        <f ca="1"/>
        <v>1274</v>
      </c>
      <c r="J1281">
        <f ca="1"/>
        <v>2.2218041377887818</v>
      </c>
      <c r="K1281">
        <f ca="1"/>
        <v>-8.4257947109425083E-3</v>
      </c>
    </row>
    <row r="1282" spans="7:11">
      <c r="G1282" s="20">
        <v>2.2235494670407761</v>
      </c>
      <c r="H1282" s="20">
        <v>9.0363306354667872E-3</v>
      </c>
      <c r="I1282" s="2">
        <f ca="1"/>
        <v>1275</v>
      </c>
      <c r="J1282">
        <f ca="1"/>
        <v>2.2235494670407761</v>
      </c>
      <c r="K1282">
        <f ca="1"/>
        <v>-8.4319510299133028E-3</v>
      </c>
    </row>
    <row r="1283" spans="7:11">
      <c r="G1283" s="20">
        <v>2.2252947962927703</v>
      </c>
      <c r="H1283" s="20">
        <v>9.0216071410140156E-3</v>
      </c>
      <c r="I1283" s="2">
        <f ca="1"/>
        <v>1276</v>
      </c>
      <c r="J1283">
        <f ca="1"/>
        <v>2.2252947962927703</v>
      </c>
      <c r="K1283">
        <f ca="1"/>
        <v>-8.4411637351545065E-3</v>
      </c>
    </row>
    <row r="1284" spans="7:11">
      <c r="G1284" s="20">
        <v>2.2270401255447645</v>
      </c>
      <c r="H1284" s="20">
        <v>9.0068654154911113E-3</v>
      </c>
      <c r="I1284" s="2">
        <f ca="1"/>
        <v>1277</v>
      </c>
      <c r="J1284">
        <f ca="1"/>
        <v>2.2270401255447645</v>
      </c>
      <c r="K1284">
        <f ca="1"/>
        <v>-8.4499851446519572E-3</v>
      </c>
    </row>
    <row r="1285" spans="7:11">
      <c r="G1285" s="20">
        <v>2.2287854547967587</v>
      </c>
      <c r="H1285" s="20">
        <v>8.9921111285102603E-3</v>
      </c>
      <c r="I1285" s="2">
        <f ca="1"/>
        <v>1278</v>
      </c>
      <c r="J1285">
        <f ca="1"/>
        <v>2.2287854547967587</v>
      </c>
      <c r="K1285">
        <f ca="1"/>
        <v>-8.4568475575157124E-3</v>
      </c>
    </row>
    <row r="1286" spans="7:11">
      <c r="G1286" s="20">
        <v>2.2305307840487529</v>
      </c>
      <c r="H1286" s="20">
        <v>8.9773454486475352E-3</v>
      </c>
      <c r="I1286" s="2">
        <f ca="1"/>
        <v>1279</v>
      </c>
      <c r="J1286">
        <f ca="1"/>
        <v>2.2305307840487529</v>
      </c>
      <c r="K1286">
        <f ca="1"/>
        <v>-8.4623595650082217E-3</v>
      </c>
    </row>
    <row r="1287" spans="7:11">
      <c r="G1287" s="20">
        <v>2.2322761133007472</v>
      </c>
      <c r="H1287" s="20">
        <v>8.9625719211308564E-3</v>
      </c>
      <c r="I1287" s="2">
        <f ca="1"/>
        <v>1280</v>
      </c>
      <c r="J1287">
        <f ca="1"/>
        <v>2.2322761133007472</v>
      </c>
      <c r="K1287">
        <f ca="1"/>
        <v>-8.4701854027477638E-3</v>
      </c>
    </row>
    <row r="1288" spans="7:11">
      <c r="G1288" s="20">
        <v>2.2340214425527418</v>
      </c>
      <c r="H1288" s="20">
        <v>8.9477789239410712E-3</v>
      </c>
      <c r="I1288" s="2">
        <f ca="1"/>
        <v>1281</v>
      </c>
      <c r="J1288">
        <f ca="1"/>
        <v>2.2340214425527418</v>
      </c>
      <c r="K1288">
        <f ca="1"/>
        <v>-8.4819771479552886E-3</v>
      </c>
    </row>
    <row r="1289" spans="7:11">
      <c r="G1289" s="20">
        <v>2.235766771804736</v>
      </c>
      <c r="H1289" s="20">
        <v>8.9329642354687069E-3</v>
      </c>
      <c r="I1289" s="2">
        <f ca="1"/>
        <v>1282</v>
      </c>
      <c r="J1289">
        <f ca="1"/>
        <v>2.235766771804736</v>
      </c>
      <c r="K1289">
        <f ca="1"/>
        <v>-8.4900027592343125E-3</v>
      </c>
    </row>
    <row r="1290" spans="7:11">
      <c r="G1290" s="20">
        <v>2.2375121010567303</v>
      </c>
      <c r="H1290" s="20">
        <v>8.9181432236106646E-3</v>
      </c>
      <c r="I1290" s="2">
        <f ca="1"/>
        <v>1283</v>
      </c>
      <c r="J1290">
        <f ca="1"/>
        <v>2.2375121010567303</v>
      </c>
      <c r="K1290">
        <f ca="1"/>
        <v>-8.4954058284391221E-3</v>
      </c>
    </row>
    <row r="1291" spans="7:11">
      <c r="G1291" s="20">
        <v>2.2392574303087249</v>
      </c>
      <c r="H1291" s="20">
        <v>8.9033096748688291E-3</v>
      </c>
      <c r="I1291" s="2">
        <f ca="1"/>
        <v>1284</v>
      </c>
      <c r="J1291">
        <f ca="1"/>
        <v>2.2392574303087249</v>
      </c>
      <c r="K1291">
        <f ca="1"/>
        <v>-8.5037941848951568E-3</v>
      </c>
    </row>
    <row r="1292" spans="7:11">
      <c r="G1292" s="20">
        <v>2.2410027595607191</v>
      </c>
      <c r="H1292" s="20">
        <v>8.8884593821229891E-3</v>
      </c>
      <c r="I1292" s="2">
        <f ca="1"/>
        <v>1285</v>
      </c>
      <c r="J1292">
        <f ca="1"/>
        <v>2.2410027595607191</v>
      </c>
      <c r="K1292">
        <f ca="1"/>
        <v>-8.5117972252391743E-3</v>
      </c>
    </row>
    <row r="1293" spans="7:11">
      <c r="G1293" s="20">
        <v>2.2427480888127134</v>
      </c>
      <c r="H1293" s="20">
        <v>8.8735978975003228E-3</v>
      </c>
      <c r="I1293" s="2">
        <f ca="1"/>
        <v>1286</v>
      </c>
      <c r="J1293">
        <f ca="1"/>
        <v>2.2427480888127134</v>
      </c>
      <c r="K1293">
        <f ca="1"/>
        <v>-8.5183013952941939E-3</v>
      </c>
    </row>
    <row r="1294" spans="7:11">
      <c r="G1294" s="20">
        <v>2.2444934180647076</v>
      </c>
      <c r="H1294" s="20">
        <v>8.8587249009179688E-3</v>
      </c>
      <c r="I1294" s="2">
        <f ca="1"/>
        <v>1287</v>
      </c>
      <c r="J1294">
        <f ca="1"/>
        <v>2.2444934180647076</v>
      </c>
      <c r="K1294">
        <f ca="1"/>
        <v>-8.5246951021978323E-3</v>
      </c>
    </row>
    <row r="1295" spans="7:11">
      <c r="G1295" s="20">
        <v>2.2462387473167018</v>
      </c>
      <c r="H1295" s="20">
        <v>8.8438410980479273E-3</v>
      </c>
      <c r="I1295" s="2">
        <f ca="1"/>
        <v>1288</v>
      </c>
      <c r="J1295">
        <f ca="1"/>
        <v>2.2462387473167018</v>
      </c>
      <c r="K1295">
        <f ca="1"/>
        <v>-8.5293813657120326E-3</v>
      </c>
    </row>
    <row r="1296" spans="7:11">
      <c r="G1296" s="20">
        <v>2.2479840765686965</v>
      </c>
      <c r="H1296" s="20">
        <v>8.8289517433199818E-3</v>
      </c>
      <c r="I1296" s="2">
        <f ca="1"/>
        <v>1289</v>
      </c>
      <c r="J1296">
        <f ca="1"/>
        <v>2.2479840765686965</v>
      </c>
      <c r="K1296">
        <f ca="1"/>
        <v>-8.5364661608018037E-3</v>
      </c>
    </row>
    <row r="1297" spans="7:11">
      <c r="G1297" s="20">
        <v>2.2497294058206907</v>
      </c>
      <c r="H1297" s="20">
        <v>8.8140432098497111E-3</v>
      </c>
      <c r="I1297" s="2">
        <f ca="1"/>
        <v>1290</v>
      </c>
      <c r="J1297">
        <f ca="1"/>
        <v>2.2497294058206907</v>
      </c>
      <c r="K1297">
        <f ca="1"/>
        <v>-8.547612204263054E-3</v>
      </c>
    </row>
    <row r="1298" spans="7:11">
      <c r="G1298" s="20">
        <v>2.2514747350726849</v>
      </c>
      <c r="H1298" s="20">
        <v>8.7991149480903755E-3</v>
      </c>
      <c r="I1298" s="2">
        <f ca="1"/>
        <v>1291</v>
      </c>
      <c r="J1298">
        <f ca="1"/>
        <v>2.2514747350726849</v>
      </c>
      <c r="K1298">
        <f ca="1"/>
        <v>-8.5544819837441843E-3</v>
      </c>
    </row>
    <row r="1299" spans="7:11">
      <c r="G1299" s="20">
        <v>2.2532200643246791</v>
      </c>
      <c r="H1299" s="20">
        <v>8.7841824345659385E-3</v>
      </c>
      <c r="I1299" s="2">
        <f ca="1"/>
        <v>1292</v>
      </c>
      <c r="J1299">
        <f ca="1"/>
        <v>2.2532200643246791</v>
      </c>
      <c r="K1299">
        <f ca="1"/>
        <v>-8.5589502902544759E-3</v>
      </c>
    </row>
    <row r="1300" spans="7:11">
      <c r="G1300" s="20">
        <v>2.2549653935766734</v>
      </c>
      <c r="H1300" s="20">
        <v>8.7692385754744844E-3</v>
      </c>
      <c r="I1300" s="2">
        <f ca="1"/>
        <v>1293</v>
      </c>
      <c r="J1300">
        <f ca="1"/>
        <v>2.2549653935766734</v>
      </c>
      <c r="K1300">
        <f ca="1"/>
        <v>-8.5665434476045396E-3</v>
      </c>
    </row>
    <row r="1301" spans="7:11">
      <c r="G1301" s="20">
        <v>2.256710722828668</v>
      </c>
      <c r="H1301" s="20">
        <v>8.7542795568307675E-3</v>
      </c>
      <c r="I1301" s="2">
        <f ca="1"/>
        <v>1294</v>
      </c>
      <c r="J1301">
        <f ca="1"/>
        <v>2.256710722828668</v>
      </c>
      <c r="K1301">
        <f ca="1"/>
        <v>-8.5735671431023293E-3</v>
      </c>
    </row>
    <row r="1302" spans="7:11">
      <c r="G1302" s="20">
        <v>2.2584560520806622</v>
      </c>
      <c r="H1302" s="20">
        <v>8.7393111804168946E-3</v>
      </c>
      <c r="I1302" s="2">
        <f ca="1"/>
        <v>1295</v>
      </c>
      <c r="J1302">
        <f ca="1"/>
        <v>2.2584560520806622</v>
      </c>
      <c r="K1302">
        <f ca="1"/>
        <v>-8.5786782953178892E-3</v>
      </c>
    </row>
    <row r="1303" spans="7:11">
      <c r="G1303" s="20">
        <v>2.2602013813326565</v>
      </c>
      <c r="H1303" s="20">
        <v>8.724334320486235E-3</v>
      </c>
      <c r="I1303" s="2">
        <f ca="1"/>
        <v>1296</v>
      </c>
      <c r="J1303">
        <f ca="1"/>
        <v>2.2602013813326565</v>
      </c>
      <c r="K1303">
        <f ca="1"/>
        <v>-8.5825728657628539E-3</v>
      </c>
    </row>
    <row r="1304" spans="7:11">
      <c r="G1304" s="20">
        <v>2.2619467105846516</v>
      </c>
      <c r="H1304" s="20">
        <v>8.7093523494569114E-3</v>
      </c>
      <c r="I1304" s="2">
        <f ca="1"/>
        <v>1297</v>
      </c>
      <c r="J1304">
        <f ca="1"/>
        <v>2.2619467105846516</v>
      </c>
      <c r="K1304">
        <f ca="1"/>
        <v>-8.5886843399561805E-3</v>
      </c>
    </row>
    <row r="1305" spans="7:11">
      <c r="G1305" s="20">
        <v>2.2636920398366458</v>
      </c>
      <c r="H1305" s="20">
        <v>8.694354156456887E-3</v>
      </c>
      <c r="I1305" s="2">
        <f ca="1"/>
        <v>1298</v>
      </c>
      <c r="J1305">
        <f ca="1"/>
        <v>2.2636920398366458</v>
      </c>
      <c r="K1305">
        <f ca="1"/>
        <v>-8.5985829974334575E-3</v>
      </c>
    </row>
    <row r="1306" spans="7:11">
      <c r="G1306" s="20">
        <v>2.26543736908864</v>
      </c>
      <c r="H1306" s="20">
        <v>8.6793376325946699E-3</v>
      </c>
      <c r="I1306" s="2">
        <f ca="1"/>
        <v>1299</v>
      </c>
      <c r="J1306">
        <f ca="1"/>
        <v>2.26543736908864</v>
      </c>
      <c r="K1306">
        <f ca="1"/>
        <v>-8.6048450211263054E-3</v>
      </c>
    </row>
    <row r="1307" spans="7:11">
      <c r="G1307" s="20">
        <v>2.2671826983406338</v>
      </c>
      <c r="H1307" s="20">
        <v>8.6643175810083937E-3</v>
      </c>
      <c r="I1307" s="2">
        <f ca="1"/>
        <v>1300</v>
      </c>
      <c r="J1307">
        <f ca="1"/>
        <v>2.2671826983406338</v>
      </c>
      <c r="K1307">
        <f ca="1"/>
        <v>-8.6085775620973713E-3</v>
      </c>
    </row>
    <row r="1308" spans="7:11">
      <c r="G1308" s="20">
        <v>2.2689280275926285</v>
      </c>
      <c r="H1308" s="20">
        <v>8.6492880281202906E-3</v>
      </c>
      <c r="I1308" s="2">
        <f ca="1"/>
        <v>1301</v>
      </c>
      <c r="J1308">
        <f ca="1"/>
        <v>2.2689280275926285</v>
      </c>
      <c r="K1308">
        <f ca="1"/>
        <v>-8.6151761686431849E-3</v>
      </c>
    </row>
    <row r="1309" spans="7:11">
      <c r="G1309" s="20">
        <v>2.2706733568446227</v>
      </c>
      <c r="H1309" s="20">
        <v>8.634244943051957E-3</v>
      </c>
      <c r="I1309" s="2">
        <f ca="1"/>
        <v>1302</v>
      </c>
      <c r="J1309">
        <f ca="1"/>
        <v>2.2706733568446227</v>
      </c>
      <c r="K1309">
        <f ca="1"/>
        <v>-8.6213948034853799E-3</v>
      </c>
    </row>
    <row r="1310" spans="7:11">
      <c r="G1310" s="20">
        <v>2.2724186860966169</v>
      </c>
      <c r="H1310" s="20">
        <v>8.6191936830332626E-3</v>
      </c>
      <c r="I1310" s="2">
        <f ca="1"/>
        <v>1303</v>
      </c>
      <c r="J1310">
        <f ca="1"/>
        <v>2.2724186860966169</v>
      </c>
      <c r="K1310">
        <f ca="1"/>
        <v>-8.6257585476886278E-3</v>
      </c>
    </row>
    <row r="1311" spans="7:11">
      <c r="G1311" s="20">
        <v>2.2741640153486111</v>
      </c>
      <c r="H1311" s="20">
        <v>8.6041353656241167E-3</v>
      </c>
      <c r="I1311" s="2">
        <f ca="1"/>
        <v>1304</v>
      </c>
      <c r="J1311">
        <f ca="1"/>
        <v>2.2741640153486111</v>
      </c>
      <c r="K1311">
        <f ca="1"/>
        <v>-8.6288439605335492E-3</v>
      </c>
    </row>
    <row r="1312" spans="7:11">
      <c r="G1312" s="20">
        <v>2.2759093446006053</v>
      </c>
      <c r="H1312" s="20">
        <v>8.5890733354828368E-3</v>
      </c>
      <c r="I1312" s="2">
        <f ca="1"/>
        <v>1305</v>
      </c>
      <c r="J1312">
        <f ca="1"/>
        <v>2.2759093446006053</v>
      </c>
      <c r="K1312">
        <f ca="1"/>
        <v>-8.6340915708023012E-3</v>
      </c>
    </row>
    <row r="1313" spans="7:11">
      <c r="G1313" s="20">
        <v>2.2776546738526</v>
      </c>
      <c r="H1313" s="20">
        <v>8.5739967004582768E-3</v>
      </c>
      <c r="I1313" s="2">
        <f ca="1"/>
        <v>1306</v>
      </c>
      <c r="J1313">
        <f ca="1"/>
        <v>2.2776546738526</v>
      </c>
      <c r="K1313">
        <f ca="1"/>
        <v>-8.643050897560324E-3</v>
      </c>
    </row>
    <row r="1314" spans="7:11">
      <c r="G1314" s="20">
        <v>2.2794000031045942</v>
      </c>
      <c r="H1314" s="20">
        <v>8.5589033963668591E-3</v>
      </c>
      <c r="I1314" s="2">
        <f ca="1"/>
        <v>1307</v>
      </c>
      <c r="J1314">
        <f ca="1"/>
        <v>2.2794000031045942</v>
      </c>
      <c r="K1314">
        <f ca="1"/>
        <v>-8.648461912797268E-3</v>
      </c>
    </row>
    <row r="1315" spans="7:11">
      <c r="G1315" s="20">
        <v>2.2811453323565885</v>
      </c>
      <c r="H1315" s="20">
        <v>8.5438078733359509E-3</v>
      </c>
      <c r="I1315" s="2">
        <f ca="1"/>
        <v>1308</v>
      </c>
      <c r="J1315">
        <f ca="1"/>
        <v>2.2811453323565885</v>
      </c>
      <c r="K1315">
        <f ca="1"/>
        <v>-8.6513987425454412E-3</v>
      </c>
    </row>
    <row r="1316" spans="7:11">
      <c r="G1316" s="20">
        <v>2.2828906616085831</v>
      </c>
      <c r="H1316" s="20">
        <v>8.5287043177747941E-3</v>
      </c>
      <c r="I1316" s="2">
        <f ca="1"/>
        <v>1309</v>
      </c>
      <c r="J1316">
        <f ca="1"/>
        <v>2.2828906616085831</v>
      </c>
      <c r="K1316">
        <f ca="1"/>
        <v>-8.6571264304143268E-3</v>
      </c>
    </row>
    <row r="1317" spans="7:11">
      <c r="G1317" s="20">
        <v>2.2846359908605773</v>
      </c>
      <c r="H1317" s="20">
        <v>8.5135888013415182E-3</v>
      </c>
      <c r="I1317" s="2">
        <f ca="1"/>
        <v>1310</v>
      </c>
      <c r="J1317">
        <f ca="1"/>
        <v>2.2846359908605773</v>
      </c>
      <c r="K1317">
        <f ca="1"/>
        <v>-8.662480746660723E-3</v>
      </c>
    </row>
    <row r="1318" spans="7:11">
      <c r="G1318" s="20">
        <v>2.286381320112572</v>
      </c>
      <c r="H1318" s="20">
        <v>8.4984665556908229E-3</v>
      </c>
      <c r="I1318" s="2">
        <f ca="1"/>
        <v>1311</v>
      </c>
      <c r="J1318">
        <f ca="1"/>
        <v>2.286381320112572</v>
      </c>
      <c r="K1318">
        <f ca="1"/>
        <v>-8.6664165622846578E-3</v>
      </c>
    </row>
    <row r="1319" spans="7:11">
      <c r="G1319" s="20">
        <v>2.2881266493645658</v>
      </c>
      <c r="H1319" s="20">
        <v>8.483337300669273E-3</v>
      </c>
      <c r="I1319" s="2">
        <f ca="1"/>
        <v>1312</v>
      </c>
      <c r="J1319">
        <f ca="1"/>
        <v>2.2881266493645658</v>
      </c>
      <c r="K1319">
        <f ca="1"/>
        <v>-8.6702378637751615E-3</v>
      </c>
    </row>
    <row r="1320" spans="7:11">
      <c r="G1320" s="20">
        <v>2.28987197861656</v>
      </c>
      <c r="H1320" s="20">
        <v>8.4682017161600374E-3</v>
      </c>
      <c r="I1320" s="2">
        <f ca="1"/>
        <v>1313</v>
      </c>
      <c r="J1320">
        <f ca="1"/>
        <v>2.28987197861656</v>
      </c>
      <c r="K1320">
        <f ca="1"/>
        <v>-8.6724501551809999E-3</v>
      </c>
    </row>
    <row r="1321" spans="7:11">
      <c r="G1321" s="20">
        <v>2.2916173078685551</v>
      </c>
      <c r="H1321" s="20">
        <v>8.4530647387846668E-3</v>
      </c>
      <c r="I1321" s="2">
        <f ca="1"/>
        <v>1314</v>
      </c>
      <c r="J1321">
        <f ca="1"/>
        <v>2.2916173078685551</v>
      </c>
      <c r="K1321">
        <f ca="1"/>
        <v>-8.6768968312795954E-3</v>
      </c>
    </row>
    <row r="1322" spans="7:11">
      <c r="G1322" s="20">
        <v>2.2933626371205493</v>
      </c>
      <c r="H1322" s="20">
        <v>8.4379136324476932E-3</v>
      </c>
      <c r="I1322" s="2">
        <f ca="1"/>
        <v>1315</v>
      </c>
      <c r="J1322">
        <f ca="1"/>
        <v>2.2933626371205493</v>
      </c>
      <c r="K1322">
        <f ca="1"/>
        <v>-8.685131857700111E-3</v>
      </c>
    </row>
    <row r="1323" spans="7:11">
      <c r="G1323" s="20">
        <v>2.2951079663725436</v>
      </c>
      <c r="H1323" s="20">
        <v>8.422747909407325E-3</v>
      </c>
      <c r="I1323" s="2">
        <f ca="1"/>
        <v>1316</v>
      </c>
      <c r="J1323">
        <f ca="1"/>
        <v>2.2951079663725436</v>
      </c>
      <c r="K1323">
        <f ca="1"/>
        <v>-8.6893517493296848E-3</v>
      </c>
    </row>
    <row r="1324" spans="7:11">
      <c r="G1324" s="20">
        <v>2.2968532956245378</v>
      </c>
      <c r="H1324" s="20">
        <v>8.4075820728697487E-3</v>
      </c>
      <c r="I1324" s="2">
        <f ca="1"/>
        <v>1317</v>
      </c>
      <c r="J1324">
        <f ca="1"/>
        <v>2.2968532956245378</v>
      </c>
      <c r="K1324">
        <f ca="1"/>
        <v>-8.6913131030183968E-3</v>
      </c>
    </row>
    <row r="1325" spans="7:11">
      <c r="G1325" s="20">
        <v>2.2985986248765315</v>
      </c>
      <c r="H1325" s="20">
        <v>8.3924095034134515E-3</v>
      </c>
      <c r="I1325" s="2">
        <f ca="1"/>
        <v>1318</v>
      </c>
      <c r="J1325">
        <f ca="1"/>
        <v>2.2985986248765315</v>
      </c>
      <c r="K1325">
        <f ca="1"/>
        <v>-8.696186570206094E-3</v>
      </c>
    </row>
    <row r="1326" spans="7:11">
      <c r="G1326" s="20">
        <v>2.3003439541285267</v>
      </c>
      <c r="H1326" s="20">
        <v>8.3772266552661848E-3</v>
      </c>
      <c r="I1326" s="2">
        <f ca="1"/>
        <v>1319</v>
      </c>
      <c r="J1326">
        <f ca="1"/>
        <v>2.3003439541285267</v>
      </c>
      <c r="K1326">
        <f ca="1"/>
        <v>-8.700515080050035E-3</v>
      </c>
    </row>
    <row r="1327" spans="7:11">
      <c r="G1327" s="20">
        <v>2.3020892833805209</v>
      </c>
      <c r="H1327" s="20">
        <v>8.3620389764601875E-3</v>
      </c>
      <c r="I1327" s="2">
        <f ca="1"/>
        <v>1320</v>
      </c>
      <c r="J1327">
        <f ca="1"/>
        <v>2.3020892833805209</v>
      </c>
      <c r="K1327">
        <f ca="1"/>
        <v>-8.7030436074743527E-3</v>
      </c>
    </row>
    <row r="1328" spans="7:11">
      <c r="G1328" s="20">
        <v>2.3038346126325151</v>
      </c>
      <c r="H1328" s="20">
        <v>8.3468473020871722E-3</v>
      </c>
      <c r="I1328" s="2">
        <f ca="1"/>
        <v>1321</v>
      </c>
      <c r="J1328">
        <f ca="1"/>
        <v>2.3038346126325151</v>
      </c>
      <c r="K1328">
        <f ca="1"/>
        <v>-8.7044271330785523E-3</v>
      </c>
    </row>
    <row r="1329" spans="7:11">
      <c r="G1329" s="20">
        <v>2.3055799418845098</v>
      </c>
      <c r="H1329" s="20">
        <v>8.3316547938657552E-3</v>
      </c>
      <c r="I1329" s="2">
        <f ca="1"/>
        <v>1322</v>
      </c>
      <c r="J1329">
        <f ca="1"/>
        <v>2.3055799418845098</v>
      </c>
      <c r="K1329">
        <f ca="1"/>
        <v>-8.7078680081963868E-3</v>
      </c>
    </row>
    <row r="1330" spans="7:11">
      <c r="G1330" s="20">
        <v>2.307325271136504</v>
      </c>
      <c r="H1330" s="20">
        <v>8.3164511085727488E-3</v>
      </c>
      <c r="I1330" s="2">
        <f ca="1"/>
        <v>1323</v>
      </c>
      <c r="J1330">
        <f ca="1"/>
        <v>2.307325271136504</v>
      </c>
      <c r="K1330">
        <f ca="1"/>
        <v>-8.7148290989361131E-3</v>
      </c>
    </row>
    <row r="1331" spans="7:11">
      <c r="G1331" s="20">
        <v>2.3090706003884982</v>
      </c>
      <c r="H1331" s="20">
        <v>8.3012343015607479E-3</v>
      </c>
      <c r="I1331" s="2">
        <f ca="1"/>
        <v>1324</v>
      </c>
      <c r="J1331">
        <f ca="1"/>
        <v>2.3090706003884982</v>
      </c>
      <c r="K1331">
        <f ca="1"/>
        <v>-8.718385540326298E-3</v>
      </c>
    </row>
    <row r="1332" spans="7:11">
      <c r="G1332" s="20">
        <v>2.3108159296404924</v>
      </c>
      <c r="H1332" s="20">
        <v>8.2860182019453589E-3</v>
      </c>
      <c r="I1332" s="2">
        <f ca="1"/>
        <v>1325</v>
      </c>
      <c r="J1332">
        <f ca="1"/>
        <v>2.3108159296404924</v>
      </c>
      <c r="K1332">
        <f ca="1"/>
        <v>-8.7195705940253491E-3</v>
      </c>
    </row>
    <row r="1333" spans="7:11">
      <c r="G1333" s="20">
        <v>2.3125612588924866</v>
      </c>
      <c r="H1333" s="20">
        <v>8.2707972583155858E-3</v>
      </c>
      <c r="I1333" s="2">
        <f ca="1"/>
        <v>1326</v>
      </c>
      <c r="J1333">
        <f ca="1"/>
        <v>2.3125612588924866</v>
      </c>
      <c r="K1333">
        <f ca="1"/>
        <v>-8.7234166790617646E-3</v>
      </c>
    </row>
    <row r="1334" spans="7:11">
      <c r="G1334" s="20">
        <v>2.3143065881444809</v>
      </c>
      <c r="H1334" s="20">
        <v>8.2555677333307573E-3</v>
      </c>
      <c r="I1334" s="2">
        <f ca="1"/>
        <v>1327</v>
      </c>
      <c r="J1334">
        <f ca="1"/>
        <v>2.3143065881444809</v>
      </c>
      <c r="K1334">
        <f ca="1"/>
        <v>-8.7268964669233347E-3</v>
      </c>
    </row>
    <row r="1335" spans="7:11">
      <c r="G1335" s="20">
        <v>2.3160519173964751</v>
      </c>
      <c r="H1335" s="20">
        <v>8.2403346429498932E-3</v>
      </c>
      <c r="I1335" s="2">
        <f ca="1"/>
        <v>1328</v>
      </c>
      <c r="J1335">
        <f ca="1"/>
        <v>2.3160519173964751</v>
      </c>
      <c r="K1335">
        <f ca="1"/>
        <v>-8.7286357354795438E-3</v>
      </c>
    </row>
    <row r="1336" spans="7:11">
      <c r="G1336" s="20">
        <v>2.3177972466484693</v>
      </c>
      <c r="H1336" s="20">
        <v>8.2250990467724883E-3</v>
      </c>
      <c r="I1336" s="2">
        <f ca="1"/>
        <v>1329</v>
      </c>
      <c r="J1336">
        <f ca="1"/>
        <v>2.3177972466484693</v>
      </c>
      <c r="K1336">
        <f ca="1"/>
        <v>-8.7291758506848442E-3</v>
      </c>
    </row>
    <row r="1337" spans="7:11">
      <c r="G1337" s="20">
        <v>2.3195425759004635</v>
      </c>
      <c r="H1337" s="20">
        <v>8.2098640710338896E-3</v>
      </c>
      <c r="I1337" s="2">
        <f ca="1"/>
        <v>1330</v>
      </c>
      <c r="J1337">
        <f ca="1"/>
        <v>2.3195425759004635</v>
      </c>
      <c r="K1337">
        <f ca="1"/>
        <v>-8.7317153525312465E-3</v>
      </c>
    </row>
    <row r="1338" spans="7:11">
      <c r="G1338" s="20">
        <v>2.3212879051524582</v>
      </c>
      <c r="H1338" s="20">
        <v>8.1946196103227648E-3</v>
      </c>
      <c r="I1338" s="2">
        <f ca="1"/>
        <v>1331</v>
      </c>
      <c r="J1338">
        <f ca="1"/>
        <v>2.3212879051524582</v>
      </c>
      <c r="K1338">
        <f ca="1"/>
        <v>-8.7376932641070239E-3</v>
      </c>
    </row>
    <row r="1339" spans="7:11">
      <c r="G1339" s="20">
        <v>2.3230332344044524</v>
      </c>
      <c r="H1339" s="20">
        <v>8.179363767736288E-3</v>
      </c>
      <c r="I1339" s="2">
        <f ca="1"/>
        <v>1332</v>
      </c>
      <c r="J1339">
        <f ca="1"/>
        <v>2.3230332344044524</v>
      </c>
      <c r="K1339">
        <f ca="1"/>
        <v>-8.7403599188922917E-3</v>
      </c>
    </row>
    <row r="1340" spans="7:11">
      <c r="G1340" s="20">
        <v>2.3247785636564466</v>
      </c>
      <c r="H1340" s="20">
        <v>8.1641099986439637E-3</v>
      </c>
      <c r="I1340" s="2">
        <f ca="1"/>
        <v>1333</v>
      </c>
      <c r="J1340">
        <f ca="1"/>
        <v>2.3247785636564466</v>
      </c>
      <c r="K1340">
        <f ca="1"/>
        <v>-8.7407142042778569E-3</v>
      </c>
    </row>
    <row r="1341" spans="7:11">
      <c r="G1341" s="20">
        <v>2.3265238929084413</v>
      </c>
      <c r="H1341" s="20">
        <v>8.148852919368189E-3</v>
      </c>
      <c r="I1341" s="2">
        <f ca="1"/>
        <v>1334</v>
      </c>
      <c r="J1341">
        <f ca="1"/>
        <v>2.3265238929084413</v>
      </c>
      <c r="K1341">
        <f ca="1"/>
        <v>-8.7436506220319905E-3</v>
      </c>
    </row>
    <row r="1342" spans="7:11">
      <c r="G1342" s="20">
        <v>2.3282692221604355</v>
      </c>
      <c r="H1342" s="20">
        <v>8.13358890024426E-3</v>
      </c>
      <c r="I1342" s="2">
        <f ca="1"/>
        <v>1335</v>
      </c>
      <c r="J1342">
        <f ca="1"/>
        <v>2.3282692221604355</v>
      </c>
      <c r="K1342">
        <f ca="1"/>
        <v>-8.7462280123878442E-3</v>
      </c>
    </row>
    <row r="1343" spans="7:11">
      <c r="G1343" s="20">
        <v>2.3300145514124297</v>
      </c>
      <c r="H1343" s="20">
        <v>8.1183228241789255E-3</v>
      </c>
      <c r="I1343" s="2">
        <f ca="1"/>
        <v>1336</v>
      </c>
      <c r="J1343">
        <f ca="1"/>
        <v>2.3300145514124297</v>
      </c>
      <c r="K1343">
        <f ca="1"/>
        <v>-8.7474751948387868E-3</v>
      </c>
    </row>
    <row r="1344" spans="7:11">
      <c r="G1344" s="20">
        <v>2.331759880664424</v>
      </c>
      <c r="H1344" s="20">
        <v>8.103054451566968E-3</v>
      </c>
      <c r="I1344" s="2">
        <f ca="1"/>
        <v>1337</v>
      </c>
      <c r="J1344">
        <f ca="1"/>
        <v>2.331759880664424</v>
      </c>
      <c r="K1344">
        <f ca="1"/>
        <v>-8.7486051466331149E-3</v>
      </c>
    </row>
    <row r="1345" spans="7:11">
      <c r="G1345" s="20">
        <v>2.3335052099164182</v>
      </c>
      <c r="H1345" s="20">
        <v>8.0877844312257936E-3</v>
      </c>
      <c r="I1345" s="2">
        <f ca="1"/>
        <v>1338</v>
      </c>
      <c r="J1345">
        <f ca="1"/>
        <v>2.3335052099164182</v>
      </c>
      <c r="K1345">
        <f ca="1"/>
        <v>-8.7482332736128314E-3</v>
      </c>
    </row>
    <row r="1346" spans="7:11">
      <c r="G1346" s="20">
        <v>2.3352505391684129</v>
      </c>
      <c r="H1346" s="20">
        <v>8.0725173566955528E-3</v>
      </c>
      <c r="I1346" s="2">
        <f ca="1"/>
        <v>1339</v>
      </c>
      <c r="J1346">
        <f ca="1"/>
        <v>2.3352505391684129</v>
      </c>
      <c r="K1346">
        <f ca="1"/>
        <v>-8.7499198120919042E-3</v>
      </c>
    </row>
    <row r="1347" spans="7:11">
      <c r="G1347" s="20">
        <v>2.3369958684204071</v>
      </c>
      <c r="H1347" s="20">
        <v>8.0572414492244941E-3</v>
      </c>
      <c r="I1347" s="2">
        <f ca="1"/>
        <v>1340</v>
      </c>
      <c r="J1347">
        <f ca="1"/>
        <v>2.3369958684204071</v>
      </c>
      <c r="K1347">
        <f ca="1"/>
        <v>-8.7551028429935958E-3</v>
      </c>
    </row>
    <row r="1348" spans="7:11">
      <c r="G1348" s="20">
        <v>2.3387411976724013</v>
      </c>
      <c r="H1348" s="20">
        <v>8.0419562825033639E-3</v>
      </c>
      <c r="I1348" s="2">
        <f ca="1"/>
        <v>1341</v>
      </c>
      <c r="J1348">
        <f ca="1"/>
        <v>2.3387411976724013</v>
      </c>
      <c r="K1348">
        <f ca="1"/>
        <v>-8.7565537514818961E-3</v>
      </c>
    </row>
    <row r="1349" spans="7:11">
      <c r="G1349" s="20">
        <v>2.340486526924396</v>
      </c>
      <c r="H1349" s="20">
        <v>8.0266753104062481E-3</v>
      </c>
      <c r="I1349" s="2">
        <f ca="1"/>
        <v>1342</v>
      </c>
      <c r="J1349">
        <f ca="1"/>
        <v>2.340486526924396</v>
      </c>
      <c r="K1349">
        <f ca="1"/>
        <v>-8.7559009851356749E-3</v>
      </c>
    </row>
    <row r="1350" spans="7:11">
      <c r="G1350" s="20">
        <v>2.3422318561763902</v>
      </c>
      <c r="H1350" s="20">
        <v>8.0113924222695154E-3</v>
      </c>
      <c r="I1350" s="2">
        <f ca="1"/>
        <v>1343</v>
      </c>
      <c r="J1350">
        <f ca="1"/>
        <v>2.3422318561763902</v>
      </c>
      <c r="K1350">
        <f ca="1"/>
        <v>-8.7579329470657691E-3</v>
      </c>
    </row>
    <row r="1351" spans="7:11">
      <c r="G1351" s="20">
        <v>2.3439771854283844</v>
      </c>
      <c r="H1351" s="20">
        <v>7.9961043572872124E-3</v>
      </c>
      <c r="I1351" s="2">
        <f ca="1"/>
        <v>1344</v>
      </c>
      <c r="J1351">
        <f ca="1"/>
        <v>2.3439771854283844</v>
      </c>
      <c r="K1351">
        <f ca="1"/>
        <v>-8.7594479244443146E-3</v>
      </c>
    </row>
    <row r="1352" spans="7:11">
      <c r="G1352" s="20">
        <v>2.3457225146803791</v>
      </c>
      <c r="H1352" s="20">
        <v>7.980816180881806E-3</v>
      </c>
      <c r="I1352" s="2">
        <f ca="1"/>
        <v>1345</v>
      </c>
      <c r="J1352">
        <f ca="1"/>
        <v>2.3457225146803791</v>
      </c>
      <c r="K1352">
        <f ca="1"/>
        <v>-8.7592850348747822E-3</v>
      </c>
    </row>
    <row r="1353" spans="7:11">
      <c r="G1353" s="20">
        <v>2.3474678439323733</v>
      </c>
      <c r="H1353" s="20">
        <v>7.9655286844913641E-3</v>
      </c>
      <c r="I1353" s="2">
        <f ca="1"/>
        <v>1346</v>
      </c>
      <c r="J1353">
        <f ca="1"/>
        <v>2.3474678439323733</v>
      </c>
      <c r="K1353">
        <f ca="1"/>
        <v>-8.7580551922081303E-3</v>
      </c>
    </row>
    <row r="1354" spans="7:11">
      <c r="G1354" s="20">
        <v>2.349213173184368</v>
      </c>
      <c r="H1354" s="20">
        <v>7.9502448010467207E-3</v>
      </c>
      <c r="I1354" s="2">
        <f ca="1"/>
        <v>1347</v>
      </c>
      <c r="J1354">
        <f ca="1"/>
        <v>2.349213173184368</v>
      </c>
      <c r="K1354">
        <f ca="1"/>
        <v>-8.7587135672284634E-3</v>
      </c>
    </row>
    <row r="1355" spans="7:11">
      <c r="G1355" s="20">
        <v>2.3509585024363622</v>
      </c>
      <c r="H1355" s="20">
        <v>7.9349550064939153E-3</v>
      </c>
      <c r="I1355" s="2">
        <f ca="1"/>
        <v>1348</v>
      </c>
      <c r="J1355">
        <f ca="1"/>
        <v>2.3509585024363622</v>
      </c>
      <c r="K1355">
        <f ca="1"/>
        <v>-8.7626075894435222E-3</v>
      </c>
    </row>
    <row r="1356" spans="7:11">
      <c r="G1356" s="20">
        <v>2.3527038316883564</v>
      </c>
      <c r="H1356" s="20">
        <v>7.919657530347516E-3</v>
      </c>
      <c r="I1356" s="2">
        <f ca="1"/>
        <v>1349</v>
      </c>
      <c r="J1356">
        <f ca="1"/>
        <v>2.3527038316883564</v>
      </c>
      <c r="K1356">
        <f ca="1"/>
        <v>-8.7633466821077245E-3</v>
      </c>
    </row>
    <row r="1357" spans="7:11">
      <c r="G1357" s="20">
        <v>2.3544491609403506</v>
      </c>
      <c r="H1357" s="20">
        <v>7.904365155874617E-3</v>
      </c>
      <c r="I1357" s="2">
        <f ca="1"/>
        <v>1350</v>
      </c>
      <c r="J1357">
        <f ca="1"/>
        <v>2.3544491609403506</v>
      </c>
      <c r="K1357">
        <f ca="1"/>
        <v>-8.7618852932607634E-3</v>
      </c>
    </row>
    <row r="1358" spans="7:11">
      <c r="G1358" s="20">
        <v>2.3561944901923448</v>
      </c>
      <c r="H1358" s="20">
        <v>7.889072780937624E-3</v>
      </c>
      <c r="I1358" s="2">
        <f ca="1"/>
        <v>1351</v>
      </c>
      <c r="J1358">
        <f ca="1"/>
        <v>2.3561944901923448</v>
      </c>
      <c r="K1358">
        <f ca="1"/>
        <v>-8.7628670017261753E-3</v>
      </c>
    </row>
    <row r="1359" spans="7:11">
      <c r="G1359" s="20">
        <v>2.3579398194443391</v>
      </c>
      <c r="H1359" s="20">
        <v>7.8737769796557219E-3</v>
      </c>
      <c r="I1359" s="2">
        <f ca="1"/>
        <v>1352</v>
      </c>
      <c r="J1359">
        <f ca="1"/>
        <v>2.3579398194443391</v>
      </c>
      <c r="K1359">
        <f ca="1"/>
        <v>-8.7634984544514016E-3</v>
      </c>
    </row>
    <row r="1360" spans="7:11">
      <c r="G1360" s="20">
        <v>2.3596851486963333</v>
      </c>
      <c r="H1360" s="20">
        <v>7.8584824005329037E-3</v>
      </c>
      <c r="I1360" s="2">
        <f ca="1"/>
        <v>1353</v>
      </c>
      <c r="J1360">
        <f ca="1"/>
        <v>2.3596851486963333</v>
      </c>
      <c r="K1360">
        <f ca="1"/>
        <v>-8.762512885405362E-3</v>
      </c>
    </row>
    <row r="1361" spans="7:11">
      <c r="G1361" s="20">
        <v>2.3614304779483275</v>
      </c>
      <c r="H1361" s="20">
        <v>7.8431900395359733E-3</v>
      </c>
      <c r="I1361" s="2">
        <f ca="1"/>
        <v>1354</v>
      </c>
      <c r="J1361">
        <f ca="1"/>
        <v>2.3614304779483275</v>
      </c>
      <c r="K1361">
        <f ca="1"/>
        <v>-8.7604140198829818E-3</v>
      </c>
    </row>
    <row r="1362" spans="7:11">
      <c r="G1362" s="20">
        <v>2.3631758072003217</v>
      </c>
      <c r="H1362" s="20">
        <v>7.8279027868359396E-3</v>
      </c>
      <c r="I1362" s="2">
        <f ca="1"/>
        <v>1355</v>
      </c>
      <c r="J1362">
        <f ca="1"/>
        <v>2.3631758072003217</v>
      </c>
      <c r="K1362">
        <f ca="1"/>
        <v>-8.7601428797754437E-3</v>
      </c>
    </row>
    <row r="1363" spans="7:11">
      <c r="G1363" s="20">
        <v>2.3649211364523164</v>
      </c>
      <c r="H1363" s="20">
        <v>7.8126113722965275E-3</v>
      </c>
      <c r="I1363" s="2">
        <f ca="1"/>
        <v>1356</v>
      </c>
      <c r="J1363">
        <f ca="1"/>
        <v>2.3649211364523164</v>
      </c>
      <c r="K1363">
        <f ca="1"/>
        <v>-8.763020213582072E-3</v>
      </c>
    </row>
    <row r="1364" spans="7:11">
      <c r="G1364" s="20">
        <v>2.3666664657043106</v>
      </c>
      <c r="H1364" s="20">
        <v>7.7973140758067728E-3</v>
      </c>
      <c r="I1364" s="2">
        <f ca="1"/>
        <v>1357</v>
      </c>
      <c r="J1364">
        <f ca="1"/>
        <v>2.3666664657043106</v>
      </c>
      <c r="K1364">
        <f ca="1"/>
        <v>-8.7628400974866811E-3</v>
      </c>
    </row>
    <row r="1365" spans="7:11">
      <c r="G1365" s="20">
        <v>2.3684117949563048</v>
      </c>
      <c r="H1365" s="20">
        <v>7.7820232899911447E-3</v>
      </c>
      <c r="I1365" s="2">
        <f ca="1"/>
        <v>1358</v>
      </c>
      <c r="J1365">
        <f ca="1"/>
        <v>2.3684117949563048</v>
      </c>
      <c r="K1365">
        <f ca="1"/>
        <v>-8.7605217418902145E-3</v>
      </c>
    </row>
    <row r="1366" spans="7:11">
      <c r="G1366" s="20">
        <v>2.3701571242082999</v>
      </c>
      <c r="H1366" s="20">
        <v>7.7667340860890603E-3</v>
      </c>
      <c r="I1366" s="2">
        <f ca="1"/>
        <v>1359</v>
      </c>
      <c r="J1366">
        <f ca="1"/>
        <v>2.3701571242082999</v>
      </c>
      <c r="K1366">
        <f ca="1"/>
        <v>-8.7605647565023922E-3</v>
      </c>
    </row>
    <row r="1367" spans="7:11">
      <c r="G1367" s="20">
        <v>2.3719024534602942</v>
      </c>
      <c r="H1367" s="20">
        <v>7.7514431501241104E-3</v>
      </c>
      <c r="I1367" s="2">
        <f ca="1"/>
        <v>1360</v>
      </c>
      <c r="J1367">
        <f ca="1"/>
        <v>2.3719024534602942</v>
      </c>
      <c r="K1367">
        <f ca="1"/>
        <v>-8.7602654351431383E-3</v>
      </c>
    </row>
    <row r="1368" spans="7:11">
      <c r="G1368" s="20">
        <v>2.3736477827122884</v>
      </c>
      <c r="H1368" s="20">
        <v>7.7361549910506819E-3</v>
      </c>
      <c r="I1368" s="2">
        <f ca="1"/>
        <v>1361</v>
      </c>
      <c r="J1368">
        <f ca="1"/>
        <v>2.3736477827122884</v>
      </c>
      <c r="K1368">
        <f ca="1"/>
        <v>-8.7587314256948705E-3</v>
      </c>
    </row>
    <row r="1369" spans="7:11">
      <c r="G1369" s="20">
        <v>2.3753931119642822</v>
      </c>
      <c r="H1369" s="20">
        <v>7.7208694097888617E-3</v>
      </c>
      <c r="I1369" s="2">
        <f ca="1"/>
        <v>1362</v>
      </c>
      <c r="J1369">
        <f ca="1"/>
        <v>2.3753931119642822</v>
      </c>
      <c r="K1369">
        <f ca="1"/>
        <v>-8.7570783570676113E-3</v>
      </c>
    </row>
    <row r="1370" spans="7:11">
      <c r="G1370" s="20">
        <v>2.3771384412162764</v>
      </c>
      <c r="H1370" s="20">
        <v>7.7055870210134946E-3</v>
      </c>
      <c r="I1370" s="2">
        <f ca="1"/>
        <v>1363</v>
      </c>
      <c r="J1370">
        <f ca="1"/>
        <v>2.3771384412162764</v>
      </c>
      <c r="K1370">
        <f ca="1"/>
        <v>-8.7540386408866931E-3</v>
      </c>
    </row>
    <row r="1371" spans="7:11">
      <c r="G1371" s="20">
        <v>2.3788837704682715</v>
      </c>
      <c r="H1371" s="20">
        <v>7.6903120503627994E-3</v>
      </c>
      <c r="I1371" s="2">
        <f ca="1"/>
        <v>1364</v>
      </c>
      <c r="J1371">
        <f ca="1"/>
        <v>2.3788837704682715</v>
      </c>
      <c r="K1371">
        <f ca="1"/>
        <v>-8.7528730017044035E-3</v>
      </c>
    </row>
    <row r="1372" spans="7:11">
      <c r="G1372" s="20">
        <v>2.3806290997202657</v>
      </c>
      <c r="H1372" s="20">
        <v>7.6750337304357565E-3</v>
      </c>
      <c r="I1372" s="2">
        <f ca="1"/>
        <v>1365</v>
      </c>
      <c r="J1372">
        <f ca="1"/>
        <v>2.3806290997202657</v>
      </c>
      <c r="K1372">
        <f ca="1"/>
        <v>-8.7548956962715477E-3</v>
      </c>
    </row>
    <row r="1373" spans="7:11">
      <c r="G1373" s="20">
        <v>2.3823744289722599</v>
      </c>
      <c r="H1373" s="20">
        <v>7.6597516992490773E-3</v>
      </c>
      <c r="I1373" s="2">
        <f ca="1"/>
        <v>1366</v>
      </c>
      <c r="J1373">
        <f ca="1"/>
        <v>2.3823744289722599</v>
      </c>
      <c r="K1373">
        <f ca="1"/>
        <v>-8.7534872820700972E-3</v>
      </c>
    </row>
    <row r="1374" spans="7:11">
      <c r="G1374" s="20">
        <v>2.3841197582242537</v>
      </c>
      <c r="H1374" s="20">
        <v>7.6444782956150478E-3</v>
      </c>
      <c r="I1374" s="2">
        <f ca="1"/>
        <v>1367</v>
      </c>
      <c r="J1374">
        <f ca="1"/>
        <v>2.3841197582242537</v>
      </c>
      <c r="K1374">
        <f ca="1"/>
        <v>-8.7501412012689784E-3</v>
      </c>
    </row>
    <row r="1375" spans="7:11">
      <c r="G1375" s="20">
        <v>2.3858650874762479</v>
      </c>
      <c r="H1375" s="20">
        <v>7.629207944453772E-3</v>
      </c>
      <c r="I1375" s="2">
        <f ca="1"/>
        <v>1368</v>
      </c>
      <c r="J1375">
        <f ca="1"/>
        <v>2.3858650874762479</v>
      </c>
      <c r="K1375">
        <f ca="1"/>
        <v>-8.7492405436506836E-3</v>
      </c>
    </row>
    <row r="1376" spans="7:11">
      <c r="G1376" s="20">
        <v>2.387610416728243</v>
      </c>
      <c r="H1376" s="20">
        <v>7.6139376847079053E-3</v>
      </c>
      <c r="I1376" s="2">
        <f ca="1"/>
        <v>1369</v>
      </c>
      <c r="J1376">
        <f ca="1"/>
        <v>2.387610416728243</v>
      </c>
      <c r="K1376">
        <f ca="1"/>
        <v>-8.747853901021032E-3</v>
      </c>
    </row>
    <row r="1377" spans="7:11">
      <c r="G1377" s="20">
        <v>2.3893557459802373</v>
      </c>
      <c r="H1377" s="20">
        <v>7.5986721738425167E-3</v>
      </c>
      <c r="I1377" s="2">
        <f ca="1"/>
        <v>1370</v>
      </c>
      <c r="J1377">
        <f ca="1"/>
        <v>2.3893557459802373</v>
      </c>
      <c r="K1377">
        <f ca="1"/>
        <v>-8.7449204574883005E-3</v>
      </c>
    </row>
    <row r="1378" spans="7:11">
      <c r="G1378" s="20">
        <v>2.3911010752322315</v>
      </c>
      <c r="H1378" s="20">
        <v>7.5834121537462712E-3</v>
      </c>
      <c r="I1378" s="2">
        <f ca="1"/>
        <v>1371</v>
      </c>
      <c r="J1378">
        <f ca="1"/>
        <v>2.3911010752322315</v>
      </c>
      <c r="K1378">
        <f ca="1"/>
        <v>-8.7410036394643207E-3</v>
      </c>
    </row>
    <row r="1379" spans="7:11">
      <c r="G1379" s="20">
        <v>2.3928464044842261</v>
      </c>
      <c r="H1379" s="20">
        <v>7.5681603151550227E-3</v>
      </c>
      <c r="I1379" s="2">
        <f ca="1"/>
        <v>1372</v>
      </c>
      <c r="J1379">
        <f ca="1"/>
        <v>2.3928464044842261</v>
      </c>
      <c r="K1379">
        <f ca="1"/>
        <v>-8.7387975427139341E-3</v>
      </c>
    </row>
    <row r="1380" spans="7:11">
      <c r="G1380" s="20">
        <v>2.3945917337362204</v>
      </c>
      <c r="H1380" s="20">
        <v>7.5529079957891597E-3</v>
      </c>
      <c r="I1380" s="2">
        <f ca="1"/>
        <v>1373</v>
      </c>
      <c r="J1380">
        <f ca="1"/>
        <v>2.3945917337362204</v>
      </c>
      <c r="K1380">
        <f ca="1"/>
        <v>-8.7395287106831129E-3</v>
      </c>
    </row>
    <row r="1381" spans="7:11">
      <c r="G1381" s="20">
        <v>2.3963370629882146</v>
      </c>
      <c r="H1381" s="20">
        <v>7.5376536049402256E-3</v>
      </c>
      <c r="I1381" s="2">
        <f ca="1"/>
        <v>1374</v>
      </c>
      <c r="J1381">
        <f ca="1"/>
        <v>2.3963370629882146</v>
      </c>
      <c r="K1381">
        <f ca="1"/>
        <v>-8.7373701998510415E-3</v>
      </c>
    </row>
    <row r="1382" spans="7:11">
      <c r="G1382" s="20">
        <v>2.3980823922402088</v>
      </c>
      <c r="H1382" s="20">
        <v>7.5224088201985544E-3</v>
      </c>
      <c r="I1382" s="2">
        <f ca="1"/>
        <v>1375</v>
      </c>
      <c r="J1382">
        <f ca="1"/>
        <v>2.3980823922402088</v>
      </c>
      <c r="K1382">
        <f ca="1"/>
        <v>-8.7331928977097736E-3</v>
      </c>
    </row>
    <row r="1383" spans="7:11">
      <c r="G1383" s="20">
        <v>2.399827721492203</v>
      </c>
      <c r="H1383" s="20">
        <v>7.5071690108848635E-3</v>
      </c>
      <c r="I1383" s="2">
        <f ca="1"/>
        <v>1376</v>
      </c>
      <c r="J1383">
        <f ca="1"/>
        <v>2.399827721492203</v>
      </c>
      <c r="K1383">
        <f ca="1"/>
        <v>-8.7312303638522552E-3</v>
      </c>
    </row>
    <row r="1384" spans="7:11">
      <c r="G1384" s="20">
        <v>2.4015730507441972</v>
      </c>
      <c r="H1384" s="20">
        <v>7.4919310766786915E-3</v>
      </c>
      <c r="I1384" s="2">
        <f ca="1"/>
        <v>1377</v>
      </c>
      <c r="J1384">
        <f ca="1"/>
        <v>2.4015730507441972</v>
      </c>
      <c r="K1384">
        <f ca="1"/>
        <v>-8.7289361270338171E-3</v>
      </c>
    </row>
    <row r="1385" spans="7:11">
      <c r="G1385" s="20">
        <v>2.4033183799961915</v>
      </c>
      <c r="H1385" s="20">
        <v>7.476699275762261E-3</v>
      </c>
      <c r="I1385" s="2">
        <f ca="1"/>
        <v>1378</v>
      </c>
      <c r="J1385">
        <f ca="1"/>
        <v>2.4033183799961915</v>
      </c>
      <c r="K1385">
        <f ca="1"/>
        <v>-8.7251565894069447E-3</v>
      </c>
    </row>
    <row r="1386" spans="7:11">
      <c r="G1386" s="20">
        <v>2.4050637092481857</v>
      </c>
      <c r="H1386" s="20">
        <v>7.4614745346312473E-3</v>
      </c>
      <c r="I1386" s="2">
        <f ca="1"/>
        <v>1379</v>
      </c>
      <c r="J1386">
        <f ca="1"/>
        <v>2.4050637092481857</v>
      </c>
      <c r="K1386">
        <f ca="1"/>
        <v>-8.7203552766612121E-3</v>
      </c>
    </row>
    <row r="1387" spans="7:11">
      <c r="G1387" s="20">
        <v>2.4068090385001799</v>
      </c>
      <c r="H1387" s="20">
        <v>7.446259493457983E-3</v>
      </c>
      <c r="I1387" s="2">
        <f ca="1"/>
        <v>1380</v>
      </c>
      <c r="J1387">
        <f ca="1"/>
        <v>2.4068090385001799</v>
      </c>
      <c r="K1387">
        <f ca="1"/>
        <v>-8.7172027484813258E-3</v>
      </c>
    </row>
    <row r="1388" spans="7:11">
      <c r="G1388" s="20">
        <v>2.4085543677521746</v>
      </c>
      <c r="H1388" s="20">
        <v>7.4310457567262657E-3</v>
      </c>
      <c r="I1388" s="2">
        <f ca="1"/>
        <v>1381</v>
      </c>
      <c r="J1388">
        <f ca="1"/>
        <v>2.4085543677521746</v>
      </c>
      <c r="K1388">
        <f ca="1"/>
        <v>-8.7168958569712046E-3</v>
      </c>
    </row>
    <row r="1389" spans="7:11">
      <c r="G1389" s="20">
        <v>2.4102996970041692</v>
      </c>
      <c r="H1389" s="20">
        <v>7.4158317868064571E-3</v>
      </c>
      <c r="I1389" s="2">
        <f ca="1"/>
        <v>1382</v>
      </c>
      <c r="J1389">
        <f ca="1"/>
        <v>2.4102996970041692</v>
      </c>
      <c r="K1389">
        <f ca="1"/>
        <v>-8.7137996929346831E-3</v>
      </c>
    </row>
    <row r="1390" spans="7:11">
      <c r="G1390" s="20">
        <v>2.4120450262561635</v>
      </c>
      <c r="H1390" s="20">
        <v>7.4006288577260675E-3</v>
      </c>
      <c r="I1390" s="2">
        <f ca="1"/>
        <v>1383</v>
      </c>
      <c r="J1390">
        <f ca="1"/>
        <v>2.4120450262561635</v>
      </c>
      <c r="K1390">
        <f ca="1"/>
        <v>-8.7087496895535098E-3</v>
      </c>
    </row>
    <row r="1391" spans="7:11">
      <c r="G1391" s="20">
        <v>2.4137903555081577</v>
      </c>
      <c r="H1391" s="20">
        <v>7.3854325156435105E-3</v>
      </c>
      <c r="I1391" s="2">
        <f ca="1"/>
        <v>1384</v>
      </c>
      <c r="J1391">
        <f ca="1"/>
        <v>2.4137903555081577</v>
      </c>
      <c r="K1391">
        <f ca="1"/>
        <v>-8.7058309218062714E-3</v>
      </c>
    </row>
    <row r="1392" spans="7:11">
      <c r="G1392" s="20">
        <v>2.4155356847601519</v>
      </c>
      <c r="H1392" s="20">
        <v>7.3702397749845789E-3</v>
      </c>
      <c r="I1392" s="2">
        <f ca="1"/>
        <v>1385</v>
      </c>
      <c r="J1392">
        <f ca="1"/>
        <v>2.4155356847601519</v>
      </c>
      <c r="K1392">
        <f ca="1"/>
        <v>-8.7025888780628575E-3</v>
      </c>
    </row>
    <row r="1393" spans="7:11">
      <c r="G1393" s="20">
        <v>2.4172810140121466</v>
      </c>
      <c r="H1393" s="20">
        <v>7.3550547497695812E-3</v>
      </c>
      <c r="I1393" s="2">
        <f ca="1"/>
        <v>1386</v>
      </c>
      <c r="J1393">
        <f ca="1"/>
        <v>2.4172810140121466</v>
      </c>
      <c r="K1393">
        <f ca="1"/>
        <v>-8.6982139838072021E-3</v>
      </c>
    </row>
    <row r="1394" spans="7:11">
      <c r="G1394" s="20">
        <v>2.4190263432641408</v>
      </c>
      <c r="H1394" s="20">
        <v>7.3398772803724872E-3</v>
      </c>
      <c r="I1394" s="2">
        <f ca="1"/>
        <v>1387</v>
      </c>
      <c r="J1394">
        <f ca="1"/>
        <v>2.4190263432641408</v>
      </c>
      <c r="K1394">
        <f ca="1"/>
        <v>-8.6937199171149768E-3</v>
      </c>
    </row>
    <row r="1395" spans="7:11">
      <c r="G1395" s="20">
        <v>2.420771672516135</v>
      </c>
      <c r="H1395" s="20">
        <v>7.3247079424096102E-3</v>
      </c>
      <c r="I1395" s="2">
        <f ca="1"/>
        <v>1388</v>
      </c>
      <c r="J1395">
        <f ca="1"/>
        <v>2.420771672516135</v>
      </c>
      <c r="K1395">
        <f ca="1"/>
        <v>-8.6879608521832422E-3</v>
      </c>
    </row>
    <row r="1396" spans="7:11">
      <c r="G1396" s="20">
        <v>2.4225170017681297</v>
      </c>
      <c r="H1396" s="20">
        <v>7.3095505759414913E-3</v>
      </c>
      <c r="I1396" s="2">
        <f ca="1"/>
        <v>1389</v>
      </c>
      <c r="J1396">
        <f ca="1"/>
        <v>2.4225170017681297</v>
      </c>
      <c r="K1396">
        <f ca="1"/>
        <v>-8.6838840925523072E-3</v>
      </c>
    </row>
    <row r="1397" spans="7:11">
      <c r="G1397" s="20">
        <v>2.4242623310201239</v>
      </c>
      <c r="H1397" s="20">
        <v>7.2943954685542886E-3</v>
      </c>
      <c r="I1397" s="2">
        <f ca="1"/>
        <v>1390</v>
      </c>
      <c r="J1397">
        <f ca="1"/>
        <v>2.4242623310201239</v>
      </c>
      <c r="K1397">
        <f ca="1"/>
        <v>-8.6826756636308698E-3</v>
      </c>
    </row>
    <row r="1398" spans="7:11">
      <c r="G1398" s="20">
        <v>2.4260076602721181</v>
      </c>
      <c r="H1398" s="20">
        <v>7.2792423202988647E-3</v>
      </c>
      <c r="I1398" s="2">
        <f ca="1"/>
        <v>1391</v>
      </c>
      <c r="J1398">
        <f ca="1"/>
        <v>2.4260076602721181</v>
      </c>
      <c r="K1398">
        <f ca="1"/>
        <v>-8.6783527411236298E-3</v>
      </c>
    </row>
    <row r="1399" spans="7:11">
      <c r="G1399" s="20">
        <v>2.4277529895241123</v>
      </c>
      <c r="H1399" s="20">
        <v>7.264102302757874E-3</v>
      </c>
      <c r="I1399" s="2">
        <f ca="1"/>
        <v>1392</v>
      </c>
      <c r="J1399">
        <f ca="1"/>
        <v>2.4277529895241123</v>
      </c>
      <c r="K1399">
        <f ca="1"/>
        <v>-8.6722668235772269E-3</v>
      </c>
    </row>
    <row r="1400" spans="7:11">
      <c r="G1400" s="20">
        <v>2.4294983187761066</v>
      </c>
      <c r="H1400" s="20">
        <v>7.248970398362288E-3</v>
      </c>
      <c r="I1400" s="2">
        <f ca="1"/>
        <v>1393</v>
      </c>
      <c r="J1400">
        <f ca="1"/>
        <v>2.4294983187761066</v>
      </c>
      <c r="K1400">
        <f ca="1"/>
        <v>-8.6683779684985206E-3</v>
      </c>
    </row>
    <row r="1401" spans="7:11">
      <c r="G1401" s="20">
        <v>2.4312436480281012</v>
      </c>
      <c r="H1401" s="20">
        <v>7.2338439554863448E-3</v>
      </c>
      <c r="I1401" s="2">
        <f ca="1"/>
        <v>1394</v>
      </c>
      <c r="J1401">
        <f ca="1"/>
        <v>2.4312436480281012</v>
      </c>
      <c r="K1401">
        <f ca="1"/>
        <v>-8.6640373106304722E-3</v>
      </c>
    </row>
    <row r="1402" spans="7:11">
      <c r="G1402" s="20">
        <v>2.4329889772800954</v>
      </c>
      <c r="H1402" s="20">
        <v>7.2187272028450588E-3</v>
      </c>
      <c r="I1402" s="2">
        <f ca="1"/>
        <v>1395</v>
      </c>
      <c r="J1402">
        <f ca="1"/>
        <v>2.4329889772800954</v>
      </c>
      <c r="K1402">
        <f ca="1"/>
        <v>-8.6582882024497394E-3</v>
      </c>
    </row>
    <row r="1403" spans="7:11">
      <c r="G1403" s="20">
        <v>2.4347343065320897</v>
      </c>
      <c r="H1403" s="20">
        <v>7.2036208281424808E-3</v>
      </c>
      <c r="I1403" s="2">
        <f ca="1"/>
        <v>1396</v>
      </c>
      <c r="J1403">
        <f ca="1"/>
        <v>2.4347343065320897</v>
      </c>
      <c r="K1403">
        <f ca="1"/>
        <v>-8.6516439320683952E-3</v>
      </c>
    </row>
    <row r="1404" spans="7:11">
      <c r="G1404" s="20">
        <v>2.4364796357840843</v>
      </c>
      <c r="H1404" s="20">
        <v>7.1885272683801004E-3</v>
      </c>
      <c r="I1404" s="2">
        <f ca="1"/>
        <v>1397</v>
      </c>
      <c r="J1404">
        <f ca="1"/>
        <v>2.4364796357840843</v>
      </c>
      <c r="K1404">
        <f ca="1"/>
        <v>-8.6465271186537008E-3</v>
      </c>
    </row>
    <row r="1405" spans="7:11">
      <c r="G1405" s="20">
        <v>2.4382249650360786</v>
      </c>
      <c r="H1405" s="20">
        <v>7.1734387547257817E-3</v>
      </c>
      <c r="I1405" s="2">
        <f ca="1"/>
        <v>1398</v>
      </c>
      <c r="J1405">
        <f ca="1"/>
        <v>2.4382249650360786</v>
      </c>
      <c r="K1405">
        <f ca="1"/>
        <v>-8.6440391535835444E-3</v>
      </c>
    </row>
    <row r="1406" spans="7:11">
      <c r="G1406" s="20">
        <v>2.4399702942880728</v>
      </c>
      <c r="H1406" s="20">
        <v>7.1583538795998349E-3</v>
      </c>
      <c r="I1406" s="2">
        <f ca="1"/>
        <v>1399</v>
      </c>
      <c r="J1406">
        <f ca="1"/>
        <v>2.4399702942880728</v>
      </c>
      <c r="K1406">
        <f ca="1"/>
        <v>-8.6389390693500032E-3</v>
      </c>
    </row>
    <row r="1407" spans="7:11">
      <c r="G1407" s="20">
        <v>2.441715623540067</v>
      </c>
      <c r="H1407" s="20">
        <v>7.1432831685979171E-3</v>
      </c>
      <c r="I1407" s="2">
        <f ca="1"/>
        <v>1400</v>
      </c>
      <c r="J1407">
        <f ca="1"/>
        <v>2.441715623540067</v>
      </c>
      <c r="K1407">
        <f ca="1"/>
        <v>-8.6320105456910781E-3</v>
      </c>
    </row>
    <row r="1408" spans="7:11">
      <c r="G1408" s="20">
        <v>2.4434609527920612</v>
      </c>
      <c r="H1408" s="20">
        <v>7.1282224785820004E-3</v>
      </c>
      <c r="I1408" s="2">
        <f ca="1"/>
        <v>1401</v>
      </c>
      <c r="J1408">
        <f ca="1"/>
        <v>2.4434609527920612</v>
      </c>
      <c r="K1408">
        <f ca="1"/>
        <v>-8.6270611439098581E-3</v>
      </c>
    </row>
    <row r="1409" spans="7:11">
      <c r="G1409" s="20">
        <v>2.4452062820440554</v>
      </c>
      <c r="H1409" s="20">
        <v>7.1131690442514999E-3</v>
      </c>
      <c r="I1409" s="2">
        <f ca="1"/>
        <v>1402</v>
      </c>
      <c r="J1409">
        <f ca="1"/>
        <v>2.4452062820440554</v>
      </c>
      <c r="K1409">
        <f ca="1"/>
        <v>-8.62180105241191E-3</v>
      </c>
    </row>
    <row r="1410" spans="7:11">
      <c r="G1410" s="20">
        <v>2.4469516112960497</v>
      </c>
      <c r="H1410" s="20">
        <v>7.0981267154187023E-3</v>
      </c>
      <c r="I1410" s="2">
        <f ca="1"/>
        <v>1403</v>
      </c>
      <c r="J1410">
        <f ca="1"/>
        <v>2.4469516112960497</v>
      </c>
      <c r="K1410">
        <f ca="1"/>
        <v>-8.6151941797601751E-3</v>
      </c>
    </row>
    <row r="1411" spans="7:11">
      <c r="G1411" s="20">
        <v>2.4486969405480439</v>
      </c>
      <c r="H1411" s="20">
        <v>7.0830963434244084E-3</v>
      </c>
      <c r="I1411" s="2">
        <f ca="1"/>
        <v>1404</v>
      </c>
      <c r="J1411">
        <f ca="1"/>
        <v>2.4486969405480439</v>
      </c>
      <c r="K1411">
        <f ca="1"/>
        <v>-8.6076615031927817E-3</v>
      </c>
    </row>
    <row r="1412" spans="7:11">
      <c r="G1412" s="20">
        <v>2.4504422698000381</v>
      </c>
      <c r="H1412" s="20">
        <v>7.0680803085931285E-3</v>
      </c>
      <c r="I1412" s="2">
        <f ca="1"/>
        <v>1405</v>
      </c>
      <c r="J1412">
        <f ca="1"/>
        <v>2.4504422698000381</v>
      </c>
      <c r="K1412">
        <f ca="1"/>
        <v>-8.6015936230258491E-3</v>
      </c>
    </row>
    <row r="1413" spans="7:11">
      <c r="G1413" s="20">
        <v>2.4521875990520328</v>
      </c>
      <c r="H1413" s="20">
        <v>7.0530711174963366E-3</v>
      </c>
      <c r="I1413" s="2">
        <f ca="1"/>
        <v>1406</v>
      </c>
      <c r="J1413">
        <f ca="1"/>
        <v>2.4521875990520328</v>
      </c>
      <c r="K1413">
        <f ca="1"/>
        <v>-8.5980600332504035E-3</v>
      </c>
    </row>
    <row r="1414" spans="7:11">
      <c r="G1414" s="20">
        <v>2.453932928304027</v>
      </c>
      <c r="H1414" s="20">
        <v>7.038067417220256E-3</v>
      </c>
      <c r="I1414" s="2">
        <f ca="1"/>
        <v>1407</v>
      </c>
      <c r="J1414">
        <f ca="1"/>
        <v>2.453932928304027</v>
      </c>
      <c r="K1414">
        <f ca="1"/>
        <v>-8.5920165000170582E-3</v>
      </c>
    </row>
    <row r="1415" spans="7:11">
      <c r="G1415" s="20">
        <v>2.4556782575560212</v>
      </c>
      <c r="H1415" s="20">
        <v>7.0230793220341431E-3</v>
      </c>
      <c r="I1415" s="2">
        <f ca="1"/>
        <v>1408</v>
      </c>
      <c r="J1415">
        <f ca="1"/>
        <v>2.4556782575560212</v>
      </c>
      <c r="K1415">
        <f ca="1"/>
        <v>-8.5842113341087611E-3</v>
      </c>
    </row>
    <row r="1416" spans="7:11">
      <c r="G1416" s="20">
        <v>2.4574235868080163</v>
      </c>
      <c r="H1416" s="20">
        <v>7.0081028669268077E-3</v>
      </c>
      <c r="I1416" s="2">
        <f ca="1"/>
        <v>1409</v>
      </c>
      <c r="J1416">
        <f ca="1"/>
        <v>2.4574235868080163</v>
      </c>
      <c r="K1416">
        <f ca="1"/>
        <v>-8.5783009859702226E-3</v>
      </c>
    </row>
    <row r="1417" spans="7:11">
      <c r="G1417" s="20">
        <v>2.4591689160600105</v>
      </c>
      <c r="H1417" s="20">
        <v>6.993135402747686E-3</v>
      </c>
      <c r="I1417" s="2">
        <f ca="1"/>
        <v>1410</v>
      </c>
      <c r="J1417">
        <f ca="1"/>
        <v>2.4591689160600105</v>
      </c>
      <c r="K1417">
        <f ca="1"/>
        <v>-8.5720889052512336E-3</v>
      </c>
    </row>
    <row r="1418" spans="7:11">
      <c r="G1418" s="20">
        <v>2.4609142453120043</v>
      </c>
      <c r="H1418" s="20">
        <v>6.9781806318927513E-3</v>
      </c>
      <c r="I1418" s="2">
        <f ca="1"/>
        <v>1411</v>
      </c>
      <c r="J1418">
        <f ca="1"/>
        <v>2.4609142453120043</v>
      </c>
      <c r="K1418">
        <f ca="1"/>
        <v>-8.5648508983064368E-3</v>
      </c>
    </row>
    <row r="1419" spans="7:11">
      <c r="G1419" s="20">
        <v>2.4626595745639985</v>
      </c>
      <c r="H1419" s="20">
        <v>6.9632384331241234E-3</v>
      </c>
      <c r="I1419" s="2">
        <f ca="1"/>
        <v>1412</v>
      </c>
      <c r="J1419">
        <f ca="1"/>
        <v>2.4626595745639985</v>
      </c>
      <c r="K1419">
        <f ca="1"/>
        <v>-8.5574949614678399E-3</v>
      </c>
    </row>
    <row r="1420" spans="7:11">
      <c r="G1420" s="20">
        <v>2.4644049038159932</v>
      </c>
      <c r="H1420" s="20">
        <v>6.9483093393326615E-3</v>
      </c>
      <c r="I1420" s="2">
        <f ca="1"/>
        <v>1413</v>
      </c>
      <c r="J1420">
        <f ca="1"/>
        <v>2.4644049038159932</v>
      </c>
      <c r="K1420">
        <f ca="1"/>
        <v>-8.5490008576111099E-3</v>
      </c>
    </row>
    <row r="1421" spans="7:11">
      <c r="G1421" s="20">
        <v>2.4661502330679879</v>
      </c>
      <c r="H1421" s="20">
        <v>6.9333967905798911E-3</v>
      </c>
      <c r="I1421" s="2">
        <f ca="1"/>
        <v>1414</v>
      </c>
      <c r="J1421">
        <f ca="1"/>
        <v>2.4661502330679879</v>
      </c>
      <c r="K1421">
        <f ca="1"/>
        <v>-8.5419933972319256E-3</v>
      </c>
    </row>
    <row r="1422" spans="7:11">
      <c r="G1422" s="20">
        <v>2.4678955623199821</v>
      </c>
      <c r="H1422" s="20">
        <v>6.918492157439597E-3</v>
      </c>
      <c r="I1422" s="2">
        <f ca="1"/>
        <v>1415</v>
      </c>
      <c r="J1422">
        <f ca="1"/>
        <v>2.4678955623199821</v>
      </c>
      <c r="K1422">
        <f ca="1"/>
        <v>-8.5375266172269589E-3</v>
      </c>
    </row>
    <row r="1423" spans="7:11">
      <c r="G1423" s="20">
        <v>2.4696408915719763</v>
      </c>
      <c r="H1423" s="20">
        <v>6.9035952006904402E-3</v>
      </c>
      <c r="I1423" s="2">
        <f ca="1"/>
        <v>1416</v>
      </c>
      <c r="J1423">
        <f ca="1"/>
        <v>2.4696408915719763</v>
      </c>
      <c r="K1423">
        <f ca="1"/>
        <v>-8.5302728675843327E-3</v>
      </c>
    </row>
    <row r="1424" spans="7:11">
      <c r="G1424" s="20">
        <v>2.4713862208239705</v>
      </c>
      <c r="H1424" s="20">
        <v>6.8887158879130219E-3</v>
      </c>
      <c r="I1424" s="2">
        <f ca="1"/>
        <v>1417</v>
      </c>
      <c r="J1424">
        <f ca="1"/>
        <v>2.4713862208239705</v>
      </c>
      <c r="K1424">
        <f ca="1"/>
        <v>-8.5214375389879079E-3</v>
      </c>
    </row>
    <row r="1425" spans="7:11">
      <c r="G1425" s="20">
        <v>2.4731315500759647</v>
      </c>
      <c r="H1425" s="20">
        <v>6.8738497722787657E-3</v>
      </c>
      <c r="I1425" s="2">
        <f ca="1"/>
        <v>1418</v>
      </c>
      <c r="J1425">
        <f ca="1"/>
        <v>2.4731315500759647</v>
      </c>
      <c r="K1425">
        <f ca="1"/>
        <v>-8.5145454413475055E-3</v>
      </c>
    </row>
    <row r="1426" spans="7:11">
      <c r="G1426" s="20">
        <v>2.4748768793279594</v>
      </c>
      <c r="H1426" s="20">
        <v>6.8589945174605824E-3</v>
      </c>
      <c r="I1426" s="2">
        <f ca="1"/>
        <v>1419</v>
      </c>
      <c r="J1426">
        <f ca="1"/>
        <v>2.4748768793279594</v>
      </c>
      <c r="K1426">
        <f ca="1"/>
        <v>-8.5072384150404762E-3</v>
      </c>
    </row>
    <row r="1427" spans="7:11">
      <c r="G1427" s="20">
        <v>2.4766222085799536</v>
      </c>
      <c r="H1427" s="20">
        <v>6.8441539081598437E-3</v>
      </c>
      <c r="I1427" s="2">
        <f ca="1"/>
        <v>1420</v>
      </c>
      <c r="J1427">
        <f ca="1"/>
        <v>2.4766222085799536</v>
      </c>
      <c r="K1427">
        <f ca="1"/>
        <v>-8.4986666334207952E-3</v>
      </c>
    </row>
    <row r="1428" spans="7:11">
      <c r="G1428" s="20">
        <v>2.4783675378319479</v>
      </c>
      <c r="H1428" s="20">
        <v>6.8293285745040693E-3</v>
      </c>
      <c r="I1428" s="2">
        <f ca="1"/>
        <v>1421</v>
      </c>
      <c r="J1428">
        <f ca="1"/>
        <v>2.4783675378319479</v>
      </c>
      <c r="K1428">
        <f ca="1"/>
        <v>-8.4892914899965307E-3</v>
      </c>
    </row>
    <row r="1429" spans="7:11">
      <c r="G1429" s="20">
        <v>2.4801128670839425</v>
      </c>
      <c r="H1429" s="20">
        <v>6.8145206906274469E-3</v>
      </c>
      <c r="I1429" s="2">
        <f ca="1"/>
        <v>1422</v>
      </c>
      <c r="J1429">
        <f ca="1"/>
        <v>2.4801128670839425</v>
      </c>
      <c r="K1429">
        <f ca="1"/>
        <v>-8.4812580722036634E-3</v>
      </c>
    </row>
    <row r="1430" spans="7:11">
      <c r="G1430" s="20">
        <v>2.4818581963359367</v>
      </c>
      <c r="H1430" s="20">
        <v>6.7997233988898072E-3</v>
      </c>
      <c r="I1430" s="2">
        <f ca="1"/>
        <v>1423</v>
      </c>
      <c r="J1430">
        <f ca="1"/>
        <v>2.4818581963359367</v>
      </c>
      <c r="K1430">
        <f ca="1"/>
        <v>-8.4755393414720943E-3</v>
      </c>
    </row>
    <row r="1431" spans="7:11">
      <c r="G1431" s="20">
        <v>2.483603525587931</v>
      </c>
      <c r="H1431" s="20">
        <v>6.7849354771492487E-3</v>
      </c>
      <c r="I1431" s="2">
        <f ca="1"/>
        <v>1424</v>
      </c>
      <c r="J1431">
        <f ca="1"/>
        <v>2.483603525587931</v>
      </c>
      <c r="K1431">
        <f ca="1"/>
        <v>-8.4674941318393371E-3</v>
      </c>
    </row>
    <row r="1432" spans="7:11">
      <c r="G1432" s="20">
        <v>2.4853488548399252</v>
      </c>
      <c r="H1432" s="20">
        <v>6.77016626849103E-3</v>
      </c>
      <c r="I1432" s="2">
        <f ca="1"/>
        <v>1425</v>
      </c>
      <c r="J1432">
        <f ca="1"/>
        <v>2.4853488548399252</v>
      </c>
      <c r="K1432">
        <f ca="1"/>
        <v>-8.4578172476277649E-3</v>
      </c>
    </row>
    <row r="1433" spans="7:11">
      <c r="G1433" s="20">
        <v>2.4870941840919198</v>
      </c>
      <c r="H1433" s="20">
        <v>6.755412125448633E-3</v>
      </c>
      <c r="I1433" s="2">
        <f ca="1"/>
        <v>1426</v>
      </c>
      <c r="J1433">
        <f ca="1"/>
        <v>2.4870941840919198</v>
      </c>
      <c r="K1433">
        <f ca="1"/>
        <v>-8.4498801046975804E-3</v>
      </c>
    </row>
    <row r="1434" spans="7:11">
      <c r="G1434" s="20">
        <v>2.4888395133439141</v>
      </c>
      <c r="H1434" s="20">
        <v>6.7406706226458809E-3</v>
      </c>
      <c r="I1434" s="2">
        <f ca="1"/>
        <v>1427</v>
      </c>
      <c r="J1434">
        <f ca="1"/>
        <v>2.4888395133439141</v>
      </c>
      <c r="K1434">
        <f ca="1"/>
        <v>-8.4416553583856989E-3</v>
      </c>
    </row>
    <row r="1435" spans="7:11">
      <c r="G1435" s="20">
        <v>2.4905848425959083</v>
      </c>
      <c r="H1435" s="20">
        <v>6.7259451893841443E-3</v>
      </c>
      <c r="I1435" s="2">
        <f ca="1"/>
        <v>1428</v>
      </c>
      <c r="J1435">
        <f ca="1"/>
        <v>2.4905848425959083</v>
      </c>
      <c r="K1435">
        <f ca="1"/>
        <v>-8.4322270187257211E-3</v>
      </c>
    </row>
    <row r="1436" spans="7:11">
      <c r="G1436" s="20">
        <v>2.4923301718479021</v>
      </c>
      <c r="H1436" s="20">
        <v>6.7112365976954086E-3</v>
      </c>
      <c r="I1436" s="2">
        <f ca="1"/>
        <v>1429</v>
      </c>
      <c r="J1436">
        <f ca="1"/>
        <v>2.4923301718479021</v>
      </c>
      <c r="K1436">
        <f ca="1"/>
        <v>-8.4219722522643498E-3</v>
      </c>
    </row>
    <row r="1437" spans="7:11">
      <c r="G1437" s="20">
        <v>2.4940755010998963</v>
      </c>
      <c r="H1437" s="20">
        <v>6.6965469603214268E-3</v>
      </c>
      <c r="I1437" s="2">
        <f ca="1"/>
        <v>1430</v>
      </c>
      <c r="J1437">
        <f ca="1"/>
        <v>2.4940755010998963</v>
      </c>
      <c r="K1437">
        <f ca="1"/>
        <v>-8.4129966362214946E-3</v>
      </c>
    </row>
    <row r="1438" spans="7:11">
      <c r="G1438" s="20">
        <v>2.4958208303518914</v>
      </c>
      <c r="H1438" s="20">
        <v>6.6818696994431484E-3</v>
      </c>
      <c r="I1438" s="2">
        <f ca="1"/>
        <v>1431</v>
      </c>
      <c r="J1438">
        <f ca="1"/>
        <v>2.4958208303518914</v>
      </c>
      <c r="K1438">
        <f ca="1"/>
        <v>-8.4062398722729633E-3</v>
      </c>
    </row>
    <row r="1439" spans="7:11">
      <c r="G1439" s="20">
        <v>2.4975661596038856</v>
      </c>
      <c r="H1439" s="20">
        <v>6.667203647624703E-3</v>
      </c>
      <c r="I1439" s="2">
        <f ca="1"/>
        <v>1432</v>
      </c>
      <c r="J1439">
        <f ca="1"/>
        <v>2.4975661596038856</v>
      </c>
      <c r="K1439">
        <f ca="1"/>
        <v>-8.3972592630816717E-3</v>
      </c>
    </row>
    <row r="1440" spans="7:11">
      <c r="G1440" s="20">
        <v>2.4993114888558798</v>
      </c>
      <c r="H1440" s="20">
        <v>6.6525577349862766E-3</v>
      </c>
      <c r="I1440" s="2">
        <f ca="1"/>
        <v>1433</v>
      </c>
      <c r="J1440">
        <f ca="1"/>
        <v>2.4993114888558798</v>
      </c>
      <c r="K1440">
        <f ca="1"/>
        <v>-8.3867145952745241E-3</v>
      </c>
    </row>
    <row r="1441" spans="7:11">
      <c r="G1441" s="20">
        <v>2.5010568181078745</v>
      </c>
      <c r="H1441" s="20">
        <v>6.6379284910021803E-3</v>
      </c>
      <c r="I1441" s="2">
        <f ca="1"/>
        <v>1434</v>
      </c>
      <c r="J1441">
        <f ca="1"/>
        <v>2.5010568181078745</v>
      </c>
      <c r="K1441">
        <f ca="1"/>
        <v>-8.3778258751154144E-3</v>
      </c>
    </row>
    <row r="1442" spans="7:11">
      <c r="G1442" s="20">
        <v>2.5028021473598687</v>
      </c>
      <c r="H1442" s="20">
        <v>6.6233136058503669E-3</v>
      </c>
      <c r="I1442" s="2">
        <f ca="1"/>
        <v>1435</v>
      </c>
      <c r="J1442">
        <f ca="1"/>
        <v>2.5028021473598687</v>
      </c>
      <c r="K1442">
        <f ca="1"/>
        <v>-8.3686589994915444E-3</v>
      </c>
    </row>
    <row r="1443" spans="7:11">
      <c r="G1443" s="20">
        <v>2.5045474766118629</v>
      </c>
      <c r="H1443" s="20">
        <v>6.6087163602986257E-3</v>
      </c>
      <c r="I1443" s="2">
        <f ca="1"/>
        <v>1436</v>
      </c>
      <c r="J1443">
        <f ca="1"/>
        <v>2.5045474766118629</v>
      </c>
      <c r="K1443">
        <f ca="1"/>
        <v>-8.3585767067514867E-3</v>
      </c>
    </row>
    <row r="1444" spans="7:11">
      <c r="G1444" s="20">
        <v>2.5062928058638572</v>
      </c>
      <c r="H1444" s="20">
        <v>6.5941366689877051E-3</v>
      </c>
      <c r="I1444" s="2">
        <f ca="1"/>
        <v>1437</v>
      </c>
      <c r="J1444">
        <f ca="1"/>
        <v>2.5062928058638572</v>
      </c>
      <c r="K1444">
        <f ca="1"/>
        <v>-8.348379346724874E-3</v>
      </c>
    </row>
    <row r="1445" spans="7:11">
      <c r="G1445" s="20">
        <v>2.5080381351158514</v>
      </c>
      <c r="H1445" s="20">
        <v>6.5795750189374591E-3</v>
      </c>
      <c r="I1445" s="2">
        <f ca="1"/>
        <v>1438</v>
      </c>
      <c r="J1445">
        <f ca="1"/>
        <v>2.5080381351158514</v>
      </c>
      <c r="K1445">
        <f ca="1"/>
        <v>-8.3371738976000531E-3</v>
      </c>
    </row>
    <row r="1446" spans="7:11">
      <c r="G1446" s="20">
        <v>2.5097834643678461</v>
      </c>
      <c r="H1446" s="20">
        <v>6.5650344420228133E-3</v>
      </c>
      <c r="I1446" s="2">
        <f ca="1"/>
        <v>1439</v>
      </c>
      <c r="J1446">
        <f ca="1"/>
        <v>2.5097834643678461</v>
      </c>
      <c r="K1446">
        <f ca="1"/>
        <v>-8.3272586767237609E-3</v>
      </c>
    </row>
    <row r="1447" spans="7:11">
      <c r="G1447" s="20">
        <v>2.5115287936198403</v>
      </c>
      <c r="H1447" s="20">
        <v>6.550507402622638E-3</v>
      </c>
      <c r="I1447" s="2">
        <f ca="1"/>
        <v>1440</v>
      </c>
      <c r="J1447">
        <f ca="1"/>
        <v>2.5115287936198403</v>
      </c>
      <c r="K1447">
        <f ca="1"/>
        <v>-8.3195541321128691E-3</v>
      </c>
    </row>
    <row r="1448" spans="7:11">
      <c r="G1448" s="20">
        <v>2.5132741228718345</v>
      </c>
      <c r="H1448" s="20">
        <v>6.5359937196421613E-3</v>
      </c>
      <c r="I1448" s="2">
        <f ca="1"/>
        <v>1441</v>
      </c>
      <c r="J1448">
        <f ca="1"/>
        <v>2.5132741228718345</v>
      </c>
      <c r="K1448">
        <f ca="1"/>
        <v>-8.3093960410150925E-3</v>
      </c>
    </row>
    <row r="1449" spans="7:11">
      <c r="G1449" s="20">
        <v>2.5150194521238287</v>
      </c>
      <c r="H1449" s="20">
        <v>6.5215021386690608E-3</v>
      </c>
      <c r="I1449" s="2">
        <f ca="1"/>
        <v>1442</v>
      </c>
      <c r="J1449">
        <f ca="1"/>
        <v>2.5150194521238287</v>
      </c>
      <c r="K1449">
        <f ca="1"/>
        <v>-8.2978418002812304E-3</v>
      </c>
    </row>
    <row r="1450" spans="7:11">
      <c r="G1450" s="20">
        <v>2.5167647813758229</v>
      </c>
      <c r="H1450" s="20">
        <v>6.5070287875972589E-3</v>
      </c>
      <c r="I1450" s="2">
        <f ca="1"/>
        <v>1443</v>
      </c>
      <c r="J1450">
        <f ca="1"/>
        <v>2.5167647813758229</v>
      </c>
      <c r="K1450">
        <f ca="1"/>
        <v>-8.2879756639255165E-3</v>
      </c>
    </row>
    <row r="1451" spans="7:11">
      <c r="G1451" s="20">
        <v>2.5185101106278176</v>
      </c>
      <c r="H1451" s="20">
        <v>6.4925716459369263E-3</v>
      </c>
      <c r="I1451" s="2">
        <f ca="1"/>
        <v>1444</v>
      </c>
      <c r="J1451">
        <f ca="1"/>
        <v>2.5185101106278176</v>
      </c>
      <c r="K1451">
        <f ca="1"/>
        <v>-8.2777336741463921E-3</v>
      </c>
    </row>
    <row r="1452" spans="7:11">
      <c r="G1452" s="20">
        <v>2.5202554398798118</v>
      </c>
      <c r="H1452" s="20">
        <v>6.4781340461538446E-3</v>
      </c>
      <c r="I1452" s="2">
        <f ca="1"/>
        <v>1445</v>
      </c>
      <c r="J1452">
        <f ca="1"/>
        <v>2.5202554398798118</v>
      </c>
      <c r="K1452">
        <f ca="1"/>
        <v>-8.2663740906977288E-3</v>
      </c>
    </row>
    <row r="1453" spans="7:11">
      <c r="G1453" s="20">
        <v>2.522000769131806</v>
      </c>
      <c r="H1453" s="20">
        <v>6.4637165569200825E-3</v>
      </c>
      <c r="I1453" s="2">
        <f ca="1"/>
        <v>1446</v>
      </c>
      <c r="J1453">
        <f ca="1"/>
        <v>2.522000769131806</v>
      </c>
      <c r="K1453">
        <f ca="1"/>
        <v>-8.2543050796654149E-3</v>
      </c>
    </row>
    <row r="1454" spans="7:11">
      <c r="G1454" s="20">
        <v>2.5237460983838012</v>
      </c>
      <c r="H1454" s="20">
        <v>6.4493210859329882E-3</v>
      </c>
      <c r="I1454" s="2">
        <f ca="1"/>
        <v>1447</v>
      </c>
      <c r="J1454">
        <f ca="1"/>
        <v>2.5237460983838012</v>
      </c>
      <c r="K1454">
        <f ca="1"/>
        <v>-8.2433920054810778E-3</v>
      </c>
    </row>
    <row r="1455" spans="7:11">
      <c r="G1455" s="20">
        <v>2.5254914276357949</v>
      </c>
      <c r="H1455" s="20">
        <v>6.434941690514436E-3</v>
      </c>
      <c r="I1455" s="2">
        <f ca="1"/>
        <v>1448</v>
      </c>
      <c r="J1455">
        <f ca="1"/>
        <v>2.5254914276357949</v>
      </c>
      <c r="K1455">
        <f ca="1"/>
        <v>-8.2344792305584155E-3</v>
      </c>
    </row>
    <row r="1456" spans="7:11">
      <c r="G1456" s="20">
        <v>2.5272367568877891</v>
      </c>
      <c r="H1456" s="20">
        <v>6.4205773309809269E-3</v>
      </c>
      <c r="I1456" s="2">
        <f ca="1"/>
        <v>1449</v>
      </c>
      <c r="J1456">
        <f ca="1"/>
        <v>2.5272367568877891</v>
      </c>
      <c r="K1456">
        <f ca="1"/>
        <v>-8.2235297188651049E-3</v>
      </c>
    </row>
    <row r="1457" spans="7:11">
      <c r="G1457" s="20">
        <v>2.5289820861397834</v>
      </c>
      <c r="H1457" s="20">
        <v>6.4062361565684778E-3</v>
      </c>
      <c r="I1457" s="2">
        <f ca="1"/>
        <v>1450</v>
      </c>
      <c r="J1457">
        <f ca="1"/>
        <v>2.5289820861397834</v>
      </c>
      <c r="K1457">
        <f ca="1"/>
        <v>-8.2111482913594953E-3</v>
      </c>
    </row>
    <row r="1458" spans="7:11">
      <c r="G1458" s="20">
        <v>2.5307274153917776</v>
      </c>
      <c r="H1458" s="20">
        <v>6.3919150163701827E-3</v>
      </c>
      <c r="I1458" s="2">
        <f ca="1"/>
        <v>1451</v>
      </c>
      <c r="J1458">
        <f ca="1"/>
        <v>2.5307274153917776</v>
      </c>
      <c r="K1458">
        <f ca="1"/>
        <v>-8.200267309889972E-3</v>
      </c>
    </row>
    <row r="1459" spans="7:11">
      <c r="G1459" s="20">
        <v>2.5324727446437718</v>
      </c>
      <c r="H1459" s="20">
        <v>6.377611823748232E-3</v>
      </c>
      <c r="I1459" s="2">
        <f ca="1"/>
        <v>1452</v>
      </c>
      <c r="J1459">
        <f ca="1"/>
        <v>2.5324727446437718</v>
      </c>
      <c r="K1459">
        <f ca="1"/>
        <v>-8.1891238975983337E-3</v>
      </c>
    </row>
    <row r="1460" spans="7:11">
      <c r="G1460" s="20">
        <v>2.534218073895766</v>
      </c>
      <c r="H1460" s="20">
        <v>6.3633295813968161E-3</v>
      </c>
      <c r="I1460" s="2">
        <f ca="1"/>
        <v>1453</v>
      </c>
      <c r="J1460">
        <f ca="1"/>
        <v>2.534218073895766</v>
      </c>
      <c r="K1460">
        <f ca="1"/>
        <v>-8.1769227224237698E-3</v>
      </c>
    </row>
    <row r="1461" spans="7:11">
      <c r="G1461" s="20">
        <v>2.5359634031477607</v>
      </c>
      <c r="H1461" s="20">
        <v>6.3490689789107435E-3</v>
      </c>
      <c r="I1461" s="2">
        <f ca="1"/>
        <v>1454</v>
      </c>
      <c r="J1461">
        <f ca="1"/>
        <v>2.5359634031477607</v>
      </c>
      <c r="K1461">
        <f ca="1"/>
        <v>-8.1639961520955269E-3</v>
      </c>
    </row>
    <row r="1462" spans="7:11">
      <c r="G1462" s="20">
        <v>2.5377087323997549</v>
      </c>
      <c r="H1462" s="20">
        <v>6.3348318588019713E-3</v>
      </c>
      <c r="I1462" s="2">
        <f ca="1"/>
        <v>1455</v>
      </c>
      <c r="J1462">
        <f ca="1"/>
        <v>2.5377087323997549</v>
      </c>
      <c r="K1462">
        <f ca="1"/>
        <v>-8.1521643271046211E-3</v>
      </c>
    </row>
    <row r="1463" spans="7:11">
      <c r="G1463" s="20">
        <v>2.5394540616517491</v>
      </c>
      <c r="H1463" s="20">
        <v>6.3206125571764245E-3</v>
      </c>
      <c r="I1463" s="2">
        <f ca="1"/>
        <v>1456</v>
      </c>
      <c r="J1463">
        <f ca="1"/>
        <v>2.5394540616517491</v>
      </c>
      <c r="K1463">
        <f ca="1"/>
        <v>-8.1422372700703498E-3</v>
      </c>
    </row>
    <row r="1464" spans="7:11">
      <c r="G1464" s="20">
        <v>2.5411993909037438</v>
      </c>
      <c r="H1464" s="20">
        <v>6.306410089033705E-3</v>
      </c>
      <c r="I1464" s="2">
        <f ca="1"/>
        <v>1457</v>
      </c>
      <c r="J1464">
        <f ca="1"/>
        <v>2.5411993909037438</v>
      </c>
      <c r="K1464">
        <f ca="1"/>
        <v>-8.1303748263451357E-3</v>
      </c>
    </row>
    <row r="1465" spans="7:11">
      <c r="G1465" s="20">
        <v>2.542944720155738</v>
      </c>
      <c r="H1465" s="20">
        <v>6.2922321951482257E-3</v>
      </c>
      <c r="I1465" s="2">
        <f ca="1"/>
        <v>1458</v>
      </c>
      <c r="J1465">
        <f ca="1"/>
        <v>2.542944720155738</v>
      </c>
      <c r="K1465">
        <f ca="1"/>
        <v>-8.1171480926184678E-3</v>
      </c>
    </row>
    <row r="1466" spans="7:11">
      <c r="G1466" s="20">
        <v>2.5446900494077327</v>
      </c>
      <c r="H1466" s="20">
        <v>6.2780758970160692E-3</v>
      </c>
      <c r="I1466" s="2">
        <f ca="1"/>
        <v>1459</v>
      </c>
      <c r="J1466">
        <f ca="1"/>
        <v>2.5446900494077327</v>
      </c>
      <c r="K1466">
        <f ca="1"/>
        <v>-8.1053398890607291E-3</v>
      </c>
    </row>
    <row r="1467" spans="7:11">
      <c r="G1467" s="20">
        <v>2.5464353786597269</v>
      </c>
      <c r="H1467" s="20">
        <v>6.2639392215367556E-3</v>
      </c>
      <c r="I1467" s="2">
        <f ca="1"/>
        <v>1460</v>
      </c>
      <c r="J1467">
        <f ca="1"/>
        <v>2.5464353786597269</v>
      </c>
      <c r="K1467">
        <f ca="1"/>
        <v>-8.0932788930002716E-3</v>
      </c>
    </row>
    <row r="1468" spans="7:11">
      <c r="G1468" s="20">
        <v>2.5481807079117211</v>
      </c>
      <c r="H1468" s="20">
        <v>6.2498250242230676E-3</v>
      </c>
      <c r="I1468" s="2">
        <f ca="1"/>
        <v>1461</v>
      </c>
      <c r="J1468">
        <f ca="1"/>
        <v>2.5481807079117211</v>
      </c>
      <c r="K1468">
        <f ca="1"/>
        <v>-8.0804149733902132E-3</v>
      </c>
    </row>
    <row r="1469" spans="7:11">
      <c r="G1469" s="20">
        <v>2.5499260371637154</v>
      </c>
      <c r="H1469" s="20">
        <v>6.2357332522941355E-3</v>
      </c>
      <c r="I1469" s="2">
        <f ca="1"/>
        <v>1462</v>
      </c>
      <c r="J1469">
        <f ca="1"/>
        <v>2.5499260371637154</v>
      </c>
      <c r="K1469">
        <f ca="1"/>
        <v>-8.0674406628509707E-3</v>
      </c>
    </row>
    <row r="1470" spans="7:11">
      <c r="G1470" s="20">
        <v>2.5516713664157096</v>
      </c>
      <c r="H1470" s="20">
        <v>6.2216643438678648E-3</v>
      </c>
      <c r="I1470" s="2">
        <f ca="1"/>
        <v>1463</v>
      </c>
      <c r="J1470">
        <f ca="1"/>
        <v>2.5516713664157096</v>
      </c>
      <c r="K1470">
        <f ca="1"/>
        <v>-8.0535894064030396E-3</v>
      </c>
    </row>
    <row r="1471" spans="7:11">
      <c r="G1471" s="20">
        <v>2.5534166956677042</v>
      </c>
      <c r="H1471" s="20">
        <v>6.2076209219450399E-3</v>
      </c>
      <c r="I1471" s="2">
        <f ca="1"/>
        <v>1464</v>
      </c>
      <c r="J1471">
        <f ca="1"/>
        <v>2.5534166956677042</v>
      </c>
      <c r="K1471">
        <f ca="1"/>
        <v>-8.0408342182630398E-3</v>
      </c>
    </row>
    <row r="1472" spans="7:11">
      <c r="G1472" s="20">
        <v>2.5551620249196985</v>
      </c>
      <c r="H1472" s="20">
        <v>6.19359653752472E-3</v>
      </c>
      <c r="I1472" s="2">
        <f ca="1"/>
        <v>1465</v>
      </c>
      <c r="J1472">
        <f ca="1"/>
        <v>2.5551620249196985</v>
      </c>
      <c r="K1472">
        <f ca="1"/>
        <v>-8.0299631360958076E-3</v>
      </c>
    </row>
    <row r="1473" spans="7:11">
      <c r="G1473" s="20">
        <v>2.5569073541716927</v>
      </c>
      <c r="H1473" s="20">
        <v>6.1795910628373134E-3</v>
      </c>
      <c r="I1473" s="2">
        <f ca="1"/>
        <v>1466</v>
      </c>
      <c r="J1473">
        <f ca="1"/>
        <v>2.5569073541716927</v>
      </c>
      <c r="K1473">
        <f ca="1"/>
        <v>-8.0169726183419547E-3</v>
      </c>
    </row>
    <row r="1474" spans="7:11">
      <c r="G1474" s="20">
        <v>2.5586526834236869</v>
      </c>
      <c r="H1474" s="20">
        <v>6.1656120238782622E-3</v>
      </c>
      <c r="I1474" s="2">
        <f ca="1"/>
        <v>1467</v>
      </c>
      <c r="J1474">
        <f ca="1"/>
        <v>2.5586526834236869</v>
      </c>
      <c r="K1474">
        <f ca="1"/>
        <v>-8.002772276474E-3</v>
      </c>
    </row>
    <row r="1475" spans="7:11">
      <c r="G1475" s="20">
        <v>2.5603980126756811</v>
      </c>
      <c r="H1475" s="20">
        <v>6.1516561177349565E-3</v>
      </c>
      <c r="I1475" s="2">
        <f ca="1"/>
        <v>1468</v>
      </c>
      <c r="J1475">
        <f ca="1"/>
        <v>2.5603980126756811</v>
      </c>
      <c r="K1475">
        <f ca="1"/>
        <v>-7.9900079407940802E-3</v>
      </c>
    </row>
    <row r="1476" spans="7:11">
      <c r="G1476" s="20">
        <v>2.5621433419276758</v>
      </c>
      <c r="H1476" s="20">
        <v>6.1377216347127906E-3</v>
      </c>
      <c r="I1476" s="2">
        <f ca="1"/>
        <v>1469</v>
      </c>
      <c r="J1476">
        <f ca="1"/>
        <v>2.5621433419276758</v>
      </c>
      <c r="K1476">
        <f ca="1"/>
        <v>-7.9769084880350269E-3</v>
      </c>
    </row>
    <row r="1477" spans="7:11">
      <c r="G1477" s="20">
        <v>2.5638886711796705</v>
      </c>
      <c r="H1477" s="20">
        <v>6.1238114542856523E-3</v>
      </c>
      <c r="I1477" s="2">
        <f ca="1"/>
        <v>1470</v>
      </c>
      <c r="J1477">
        <f ca="1"/>
        <v>2.5638886711796705</v>
      </c>
      <c r="K1477">
        <f ca="1"/>
        <v>-7.962839386199249E-3</v>
      </c>
    </row>
    <row r="1478" spans="7:11">
      <c r="G1478" s="20">
        <v>2.5656340004316647</v>
      </c>
      <c r="H1478" s="20">
        <v>6.1099260816934566E-3</v>
      </c>
      <c r="I1478" s="2">
        <f ca="1"/>
        <v>1471</v>
      </c>
      <c r="J1478">
        <f ca="1"/>
        <v>2.5656340004316647</v>
      </c>
      <c r="K1478">
        <f ca="1"/>
        <v>-7.9481555017284159E-3</v>
      </c>
    </row>
    <row r="1479" spans="7:11">
      <c r="G1479" s="20">
        <v>2.5673793296836589</v>
      </c>
      <c r="H1479" s="20">
        <v>6.0960671576925215E-3</v>
      </c>
      <c r="I1479" s="2">
        <f ca="1"/>
        <v>1472</v>
      </c>
      <c r="J1479">
        <f ca="1"/>
        <v>2.5673793296836589</v>
      </c>
      <c r="K1479">
        <f ca="1"/>
        <v>-7.934445732592197E-3</v>
      </c>
    </row>
    <row r="1480" spans="7:11">
      <c r="G1480" s="20">
        <v>2.5691246589356536</v>
      </c>
      <c r="H1480" s="20">
        <v>6.0822296412225453E-3</v>
      </c>
      <c r="I1480" s="2">
        <f ca="1"/>
        <v>1473</v>
      </c>
      <c r="J1480">
        <f ca="1"/>
        <v>2.5691246589356536</v>
      </c>
      <c r="K1480">
        <f ca="1"/>
        <v>-7.9224268549376205E-3</v>
      </c>
    </row>
    <row r="1481" spans="7:11">
      <c r="G1481" s="20">
        <v>2.5708699881876478</v>
      </c>
      <c r="H1481" s="20">
        <v>6.0684126710191036E-3</v>
      </c>
      <c r="I1481" s="2">
        <f ca="1"/>
        <v>1474</v>
      </c>
      <c r="J1481">
        <f ca="1"/>
        <v>2.5708699881876478</v>
      </c>
      <c r="K1481">
        <f ca="1"/>
        <v>-7.9086595808832826E-3</v>
      </c>
    </row>
    <row r="1482" spans="7:11">
      <c r="G1482" s="20">
        <v>2.572615317439642</v>
      </c>
      <c r="H1482" s="20">
        <v>6.0546232114013854E-3</v>
      </c>
      <c r="I1482" s="2">
        <f ca="1"/>
        <v>1475</v>
      </c>
      <c r="J1482">
        <f ca="1"/>
        <v>2.572615317439642</v>
      </c>
      <c r="K1482">
        <f ca="1"/>
        <v>-7.893660192459049E-3</v>
      </c>
    </row>
    <row r="1483" spans="7:11">
      <c r="G1483" s="20">
        <v>2.5743606466916362</v>
      </c>
      <c r="H1483" s="20">
        <v>6.0408585989407014E-3</v>
      </c>
      <c r="I1483" s="2">
        <f ca="1"/>
        <v>1476</v>
      </c>
      <c r="J1483">
        <f ca="1"/>
        <v>2.5743606466916362</v>
      </c>
      <c r="K1483">
        <f ca="1"/>
        <v>-7.8799264654028523E-3</v>
      </c>
    </row>
    <row r="1484" spans="7:11">
      <c r="G1484" s="20">
        <v>2.5761059759436304</v>
      </c>
      <c r="H1484" s="20">
        <v>6.0271170790741234E-3</v>
      </c>
      <c r="I1484" s="2">
        <f ca="1"/>
        <v>1477</v>
      </c>
      <c r="J1484">
        <f ca="1"/>
        <v>2.5761059759436304</v>
      </c>
      <c r="K1484">
        <f ca="1"/>
        <v>-7.8659569228764978E-3</v>
      </c>
    </row>
    <row r="1485" spans="7:11">
      <c r="G1485" s="20">
        <v>2.5778513051956242</v>
      </c>
      <c r="H1485" s="20">
        <v>6.0134012295158593E-3</v>
      </c>
      <c r="I1485" s="2">
        <f ca="1"/>
        <v>1478</v>
      </c>
      <c r="J1485">
        <f ca="1"/>
        <v>2.5778513051956242</v>
      </c>
      <c r="K1485">
        <f ca="1"/>
        <v>-7.851075676087324E-3</v>
      </c>
    </row>
    <row r="1486" spans="7:11">
      <c r="G1486" s="20">
        <v>2.5795966344476184</v>
      </c>
      <c r="H1486" s="20">
        <v>5.9997116549999358E-3</v>
      </c>
      <c r="I1486" s="2">
        <f ca="1"/>
        <v>1479</v>
      </c>
      <c r="J1486">
        <f ca="1"/>
        <v>2.5795966344476184</v>
      </c>
      <c r="K1486">
        <f ca="1"/>
        <v>-7.8355701839747088E-3</v>
      </c>
    </row>
    <row r="1487" spans="7:11">
      <c r="G1487" s="20">
        <v>2.5813419636996127</v>
      </c>
      <c r="H1487" s="20">
        <v>5.9860499298195697E-3</v>
      </c>
      <c r="I1487" s="2">
        <f ca="1"/>
        <v>1480</v>
      </c>
      <c r="J1487">
        <f ca="1"/>
        <v>2.5813419636996127</v>
      </c>
      <c r="K1487">
        <f ca="1"/>
        <v>-7.8209794080990082E-3</v>
      </c>
    </row>
    <row r="1488" spans="7:11">
      <c r="G1488" s="20">
        <v>2.5830872929516078</v>
      </c>
      <c r="H1488" s="20">
        <v>5.9724112867195296E-3</v>
      </c>
      <c r="I1488" s="2">
        <f ca="1"/>
        <v>1481</v>
      </c>
      <c r="J1488">
        <f ca="1"/>
        <v>2.5830872929516078</v>
      </c>
      <c r="K1488">
        <f ca="1"/>
        <v>-7.8079863346792733E-3</v>
      </c>
    </row>
    <row r="1489" spans="7:11">
      <c r="G1489" s="20">
        <v>2.584832622203602</v>
      </c>
      <c r="H1489" s="20">
        <v>5.958794915921389E-3</v>
      </c>
      <c r="I1489" s="2">
        <f ca="1"/>
        <v>1482</v>
      </c>
      <c r="J1489">
        <f ca="1"/>
        <v>2.584832622203602</v>
      </c>
      <c r="K1489">
        <f ca="1"/>
        <v>-7.7933438775831722E-3</v>
      </c>
    </row>
    <row r="1490" spans="7:11">
      <c r="G1490" s="20">
        <v>2.5865779514555962</v>
      </c>
      <c r="H1490" s="20">
        <v>5.9452073846387376E-3</v>
      </c>
      <c r="I1490" s="2">
        <f ca="1"/>
        <v>1483</v>
      </c>
      <c r="J1490">
        <f ca="1"/>
        <v>2.5865779514555962</v>
      </c>
      <c r="K1490">
        <f ca="1"/>
        <v>-7.7775354300453226E-3</v>
      </c>
    </row>
    <row r="1491" spans="7:11">
      <c r="G1491" s="20">
        <v>2.5883232807075909</v>
      </c>
      <c r="H1491" s="20">
        <v>5.9316461957324264E-3</v>
      </c>
      <c r="I1491" s="2">
        <f ca="1"/>
        <v>1484</v>
      </c>
      <c r="J1491">
        <f ca="1"/>
        <v>2.5883232807075909</v>
      </c>
      <c r="K1491">
        <f ca="1"/>
        <v>-7.7629138384660932E-3</v>
      </c>
    </row>
    <row r="1492" spans="7:11">
      <c r="G1492" s="20">
        <v>2.5900686099595851</v>
      </c>
      <c r="H1492" s="20">
        <v>5.9181097034327629E-3</v>
      </c>
      <c r="I1492" s="2">
        <f ca="1"/>
        <v>1485</v>
      </c>
      <c r="J1492">
        <f ca="1"/>
        <v>2.5900686099595851</v>
      </c>
      <c r="K1492">
        <f ca="1"/>
        <v>-7.7480664620313807E-3</v>
      </c>
    </row>
    <row r="1493" spans="7:11">
      <c r="G1493" s="20">
        <v>2.5918139392115793</v>
      </c>
      <c r="H1493" s="20">
        <v>5.9046003416472689E-3</v>
      </c>
      <c r="I1493" s="2">
        <f ca="1"/>
        <v>1486</v>
      </c>
      <c r="J1493">
        <f ca="1"/>
        <v>2.5918139392115793</v>
      </c>
      <c r="K1493">
        <f ca="1"/>
        <v>-7.7325286047304998E-3</v>
      </c>
    </row>
    <row r="1494" spans="7:11">
      <c r="G1494" s="20">
        <v>2.5935592684635735</v>
      </c>
      <c r="H1494" s="20">
        <v>5.8911180867013265E-3</v>
      </c>
      <c r="I1494" s="2">
        <f ca="1"/>
        <v>1487</v>
      </c>
      <c r="J1494">
        <f ca="1"/>
        <v>2.5935592684635735</v>
      </c>
      <c r="K1494">
        <f ca="1"/>
        <v>-7.716886506838664E-3</v>
      </c>
    </row>
    <row r="1495" spans="7:11">
      <c r="G1495" s="20">
        <v>2.5953045977155678</v>
      </c>
      <c r="H1495" s="20">
        <v>5.8776633261378589E-3</v>
      </c>
      <c r="I1495" s="2">
        <f ca="1"/>
        <v>1488</v>
      </c>
      <c r="J1495">
        <f ca="1"/>
        <v>2.5953045977155678</v>
      </c>
      <c r="K1495">
        <f ca="1"/>
        <v>-7.7004976197438436E-3</v>
      </c>
    </row>
    <row r="1496" spans="7:11">
      <c r="G1496" s="20">
        <v>2.5970499269675624</v>
      </c>
      <c r="H1496" s="20">
        <v>5.8642382792000215E-3</v>
      </c>
      <c r="I1496" s="2">
        <f ca="1"/>
        <v>1489</v>
      </c>
      <c r="J1496">
        <f ca="1"/>
        <v>2.5970499269675624</v>
      </c>
      <c r="K1496">
        <f ca="1"/>
        <v>-7.6850169341565137E-3</v>
      </c>
    </row>
    <row r="1497" spans="7:11">
      <c r="G1497" s="20">
        <v>2.5987952562195566</v>
      </c>
      <c r="H1497" s="20">
        <v>5.8508375564233469E-3</v>
      </c>
      <c r="I1497" s="2">
        <f ca="1"/>
        <v>1490</v>
      </c>
      <c r="J1497">
        <f ca="1"/>
        <v>2.5987952562195566</v>
      </c>
      <c r="K1497">
        <f ca="1"/>
        <v>-7.6711028316641004E-3</v>
      </c>
    </row>
    <row r="1498" spans="7:11">
      <c r="G1498" s="20">
        <v>2.6005405854715509</v>
      </c>
      <c r="H1498" s="20">
        <v>5.8374610788657034E-3</v>
      </c>
      <c r="I1498" s="2">
        <f ca="1"/>
        <v>1491</v>
      </c>
      <c r="J1498">
        <f ca="1"/>
        <v>2.6005405854715509</v>
      </c>
      <c r="K1498">
        <f ca="1"/>
        <v>-7.6553979501006808E-3</v>
      </c>
    </row>
    <row r="1499" spans="7:11">
      <c r="G1499" s="20">
        <v>2.6022859147235451</v>
      </c>
      <c r="H1499" s="20">
        <v>5.8241151764674122E-3</v>
      </c>
      <c r="I1499" s="2">
        <f ca="1"/>
        <v>1492</v>
      </c>
      <c r="J1499">
        <f ca="1"/>
        <v>2.6022859147235451</v>
      </c>
      <c r="K1499">
        <f ca="1"/>
        <v>-7.6386673868790054E-3</v>
      </c>
    </row>
    <row r="1500" spans="7:11">
      <c r="G1500" s="20">
        <v>2.6040312439755393</v>
      </c>
      <c r="H1500" s="20">
        <v>5.810797099592555E-3</v>
      </c>
      <c r="I1500" s="2">
        <f ca="1"/>
        <v>1493</v>
      </c>
      <c r="J1500">
        <f ca="1"/>
        <v>2.6040312439755393</v>
      </c>
      <c r="K1500">
        <f ca="1"/>
        <v>-7.6231283067326478E-3</v>
      </c>
    </row>
    <row r="1501" spans="7:11">
      <c r="G1501" s="20">
        <v>2.605776573227534</v>
      </c>
      <c r="H1501" s="20">
        <v>5.7975054388165175E-3</v>
      </c>
      <c r="I1501" s="2">
        <f ca="1"/>
        <v>1494</v>
      </c>
      <c r="J1501">
        <f ca="1"/>
        <v>2.605776573227534</v>
      </c>
      <c r="K1501">
        <f ca="1"/>
        <v>-7.6072959226121013E-3</v>
      </c>
    </row>
    <row r="1502" spans="7:11">
      <c r="G1502" s="20">
        <v>2.6075219024795282</v>
      </c>
      <c r="H1502" s="20">
        <v>5.7842426273879291E-3</v>
      </c>
      <c r="I1502" s="2">
        <f ca="1"/>
        <v>1495</v>
      </c>
      <c r="J1502">
        <f ca="1"/>
        <v>2.6075219024795282</v>
      </c>
      <c r="K1502">
        <f ca="1"/>
        <v>-7.5906403534603826E-3</v>
      </c>
    </row>
    <row r="1503" spans="7:11">
      <c r="G1503" s="20">
        <v>2.6092672317315224</v>
      </c>
      <c r="H1503" s="20">
        <v>5.7710091055159932E-3</v>
      </c>
      <c r="I1503" s="2">
        <f ca="1"/>
        <v>1496</v>
      </c>
      <c r="J1503">
        <f ca="1"/>
        <v>2.6092672317315224</v>
      </c>
      <c r="K1503">
        <f ca="1"/>
        <v>-7.5734635386754045E-3</v>
      </c>
    </row>
    <row r="1504" spans="7:11">
      <c r="G1504" s="20">
        <v>2.6110125609835175</v>
      </c>
      <c r="H1504" s="20">
        <v>5.7578062524819987E-3</v>
      </c>
      <c r="I1504" s="2">
        <f ca="1"/>
        <v>1497</v>
      </c>
      <c r="J1504">
        <f ca="1"/>
        <v>2.6110125609835175</v>
      </c>
      <c r="K1504">
        <f ca="1"/>
        <v>-7.5570856227195433E-3</v>
      </c>
    </row>
    <row r="1505" spans="7:11">
      <c r="G1505" s="20">
        <v>2.6127578902355113</v>
      </c>
      <c r="H1505" s="20">
        <v>5.7446299003216751E-3</v>
      </c>
      <c r="I1505" s="2">
        <f ca="1"/>
        <v>1498</v>
      </c>
      <c r="J1505">
        <f ca="1"/>
        <v>2.6127578902355113</v>
      </c>
      <c r="K1505">
        <f ca="1"/>
        <v>-7.5421000811725153E-3</v>
      </c>
    </row>
    <row r="1506" spans="7:11">
      <c r="G1506" s="20">
        <v>2.6145032194875055</v>
      </c>
      <c r="H1506" s="20">
        <v>5.7314793566957253E-3</v>
      </c>
      <c r="I1506" s="2">
        <f ca="1"/>
        <v>1499</v>
      </c>
      <c r="J1506">
        <f ca="1"/>
        <v>2.6145032194875055</v>
      </c>
      <c r="K1506">
        <f ca="1"/>
        <v>-7.5256485285878413E-3</v>
      </c>
    </row>
    <row r="1507" spans="7:11">
      <c r="G1507" s="20">
        <v>2.6162485487394997</v>
      </c>
      <c r="H1507" s="20">
        <v>5.7183604312873318E-3</v>
      </c>
      <c r="I1507" s="2">
        <f ca="1"/>
        <v>1500</v>
      </c>
      <c r="J1507">
        <f ca="1"/>
        <v>2.6162485487394997</v>
      </c>
      <c r="K1507">
        <f ca="1"/>
        <v>-7.508160835323921E-3</v>
      </c>
    </row>
    <row r="1508" spans="7:11">
      <c r="G1508" s="20">
        <v>2.6179938779914944</v>
      </c>
      <c r="H1508" s="20">
        <v>5.7052709312265856E-3</v>
      </c>
      <c r="I1508" s="2">
        <f ca="1"/>
        <v>1501</v>
      </c>
      <c r="J1508">
        <f ca="1"/>
        <v>2.6179938779914944</v>
      </c>
      <c r="K1508">
        <f ca="1"/>
        <v>-7.49171265089792E-3</v>
      </c>
    </row>
    <row r="1509" spans="7:11">
      <c r="G1509" s="20">
        <v>2.6197392072434886</v>
      </c>
      <c r="H1509" s="20">
        <v>5.6922094208130339E-3</v>
      </c>
      <c r="I1509" s="2">
        <f ca="1"/>
        <v>1502</v>
      </c>
      <c r="J1509">
        <f ca="1"/>
        <v>2.6197392072434886</v>
      </c>
      <c r="K1509">
        <f ca="1"/>
        <v>-7.4750565351596647E-3</v>
      </c>
    </row>
    <row r="1510" spans="7:11">
      <c r="G1510" s="20">
        <v>2.6214845364954829</v>
      </c>
      <c r="H1510" s="20">
        <v>5.6791780615643361E-3</v>
      </c>
      <c r="I1510" s="2">
        <f ca="1"/>
        <v>1503</v>
      </c>
      <c r="J1510">
        <f ca="1"/>
        <v>2.6214845364954829</v>
      </c>
      <c r="K1510">
        <f ca="1"/>
        <v>-7.4576322903352711E-3</v>
      </c>
    </row>
    <row r="1511" spans="7:11">
      <c r="G1511" s="20">
        <v>2.6232298657474771</v>
      </c>
      <c r="H1511" s="20">
        <v>5.6661773732391563E-3</v>
      </c>
      <c r="I1511" s="2">
        <f ca="1"/>
        <v>1504</v>
      </c>
      <c r="J1511">
        <f ca="1"/>
        <v>2.6232298657474771</v>
      </c>
      <c r="K1511">
        <f ca="1"/>
        <v>-7.4396832166944444E-3</v>
      </c>
    </row>
    <row r="1512" spans="7:11">
      <c r="G1512" s="20">
        <v>2.6249751949994713</v>
      </c>
      <c r="H1512" s="20">
        <v>5.6532086680770016E-3</v>
      </c>
      <c r="I1512" s="2">
        <f ca="1"/>
        <v>1505</v>
      </c>
      <c r="J1512">
        <f ca="1"/>
        <v>2.6249751949994713</v>
      </c>
      <c r="K1512">
        <f ca="1"/>
        <v>-7.4224769731918994E-3</v>
      </c>
    </row>
    <row r="1513" spans="7:11">
      <c r="G1513" s="20">
        <v>2.626720524251466</v>
      </c>
      <c r="H1513" s="20">
        <v>5.6402680408720223E-3</v>
      </c>
      <c r="I1513" s="2">
        <f ca="1"/>
        <v>1506</v>
      </c>
      <c r="J1513">
        <f ca="1"/>
        <v>2.626720524251466</v>
      </c>
      <c r="K1513">
        <f ca="1"/>
        <v>-7.4065738281802523E-3</v>
      </c>
    </row>
    <row r="1514" spans="7:11">
      <c r="G1514" s="20">
        <v>2.6284658535034602</v>
      </c>
      <c r="H1514" s="20">
        <v>5.6273548481582426E-3</v>
      </c>
      <c r="I1514" s="2">
        <f ca="1"/>
        <v>1507</v>
      </c>
      <c r="J1514">
        <f ca="1"/>
        <v>2.6284658535034602</v>
      </c>
      <c r="K1514">
        <f ca="1"/>
        <v>-7.3892993564718895E-3</v>
      </c>
    </row>
    <row r="1515" spans="7:11">
      <c r="G1515" s="20">
        <v>2.6302111827554544</v>
      </c>
      <c r="H1515" s="20">
        <v>5.6144745202348374E-3</v>
      </c>
      <c r="I1515" s="2">
        <f ca="1"/>
        <v>1508</v>
      </c>
      <c r="J1515">
        <f ca="1"/>
        <v>2.6302111827554544</v>
      </c>
      <c r="K1515">
        <f ca="1"/>
        <v>-7.3710525175222207E-3</v>
      </c>
    </row>
    <row r="1516" spans="7:11">
      <c r="G1516" s="20">
        <v>2.6319565120074491</v>
      </c>
      <c r="H1516" s="20">
        <v>5.601625021004605E-3</v>
      </c>
      <c r="I1516" s="2">
        <f ca="1"/>
        <v>1509</v>
      </c>
      <c r="J1516">
        <f ca="1"/>
        <v>2.6319565120074491</v>
      </c>
      <c r="K1516">
        <f ca="1"/>
        <v>-7.3537709237655379E-3</v>
      </c>
    </row>
    <row r="1517" spans="7:11">
      <c r="G1517" s="20">
        <v>2.6337018412594433</v>
      </c>
      <c r="H1517" s="20">
        <v>5.588805017223409E-3</v>
      </c>
      <c r="I1517" s="2">
        <f ca="1"/>
        <v>1510</v>
      </c>
      <c r="J1517">
        <f ca="1"/>
        <v>2.6337018412594433</v>
      </c>
      <c r="K1517">
        <f ca="1"/>
        <v>-7.3362914998912629E-3</v>
      </c>
    </row>
    <row r="1518" spans="7:11">
      <c r="G1518" s="20">
        <v>2.6354471705114375</v>
      </c>
      <c r="H1518" s="20">
        <v>5.5760165326927714E-3</v>
      </c>
      <c r="I1518" s="2">
        <f ca="1"/>
        <v>1511</v>
      </c>
      <c r="J1518">
        <f ca="1"/>
        <v>2.6354471705114375</v>
      </c>
      <c r="K1518">
        <f ca="1"/>
        <v>-7.318232035321004E-3</v>
      </c>
    </row>
    <row r="1519" spans="7:11">
      <c r="G1519" s="20">
        <v>2.6371924997634317</v>
      </c>
      <c r="H1519" s="20">
        <v>5.5632595683351551E-3</v>
      </c>
      <c r="I1519" s="2">
        <f ca="1"/>
        <v>1512</v>
      </c>
      <c r="J1519">
        <f ca="1"/>
        <v>2.6371924997634317</v>
      </c>
      <c r="K1519">
        <f ca="1"/>
        <v>-7.3000762154607794E-3</v>
      </c>
    </row>
    <row r="1520" spans="7:11">
      <c r="G1520" s="20">
        <v>2.638937829015426</v>
      </c>
      <c r="H1520" s="20">
        <v>5.5505344595715095E-3</v>
      </c>
      <c r="I1520" s="2">
        <f ca="1"/>
        <v>1513</v>
      </c>
      <c r="J1520">
        <f ca="1"/>
        <v>2.638937829015426</v>
      </c>
      <c r="K1520">
        <f ca="1"/>
        <v>-7.2813003145161216E-3</v>
      </c>
    </row>
    <row r="1521" spans="7:11">
      <c r="G1521" s="20">
        <v>2.6406831582674211</v>
      </c>
      <c r="H1521" s="20">
        <v>5.5378430354721892E-3</v>
      </c>
      <c r="I1521" s="2">
        <f ca="1"/>
        <v>1514</v>
      </c>
      <c r="J1521">
        <f ca="1"/>
        <v>2.6406831582674211</v>
      </c>
      <c r="K1521">
        <f ca="1"/>
        <v>-7.2632540386205193E-3</v>
      </c>
    </row>
    <row r="1522" spans="7:11">
      <c r="G1522" s="20">
        <v>2.6424284875194153</v>
      </c>
      <c r="H1522" s="20">
        <v>5.525180920094964E-3</v>
      </c>
      <c r="I1522" s="2">
        <f ca="1"/>
        <v>1515</v>
      </c>
      <c r="J1522">
        <f ca="1"/>
        <v>2.6424284875194153</v>
      </c>
      <c r="K1522">
        <f ca="1"/>
        <v>-7.2464720059201805E-3</v>
      </c>
    </row>
    <row r="1523" spans="7:11">
      <c r="G1523" s="20">
        <v>2.6441738167714091</v>
      </c>
      <c r="H1523" s="20">
        <v>5.5125480763408129E-3</v>
      </c>
      <c r="I1523" s="2">
        <f ca="1"/>
        <v>1516</v>
      </c>
      <c r="J1523">
        <f ca="1"/>
        <v>2.6441738167714091</v>
      </c>
      <c r="K1523">
        <f ca="1"/>
        <v>-7.228216698971719E-3</v>
      </c>
    </row>
    <row r="1524" spans="7:11">
      <c r="G1524" s="20">
        <v>2.6459191460234033</v>
      </c>
      <c r="H1524" s="20">
        <v>5.4999496840060303E-3</v>
      </c>
      <c r="I1524" s="2">
        <f ca="1"/>
        <v>1517</v>
      </c>
      <c r="J1524">
        <f ca="1"/>
        <v>2.6459191460234033</v>
      </c>
      <c r="K1524">
        <f ca="1"/>
        <v>-7.2091141013458692E-3</v>
      </c>
    </row>
    <row r="1525" spans="7:11">
      <c r="G1525" s="20">
        <v>2.6476644752753975</v>
      </c>
      <c r="H1525" s="20">
        <v>5.487383520896727E-3</v>
      </c>
      <c r="I1525" s="2">
        <f ca="1"/>
        <v>1518</v>
      </c>
      <c r="J1525">
        <f ca="1"/>
        <v>2.6476644752753975</v>
      </c>
      <c r="K1525">
        <f ca="1"/>
        <v>-7.1909706084237026E-3</v>
      </c>
    </row>
    <row r="1526" spans="7:11">
      <c r="G1526" s="20">
        <v>2.6494098045273926</v>
      </c>
      <c r="H1526" s="20">
        <v>5.4748484612997987E-3</v>
      </c>
      <c r="I1526" s="2">
        <f ca="1"/>
        <v>1519</v>
      </c>
      <c r="J1526">
        <f ca="1"/>
        <v>2.6494098045273926</v>
      </c>
      <c r="K1526">
        <f ca="1"/>
        <v>-7.1725759644011497E-3</v>
      </c>
    </row>
    <row r="1527" spans="7:11">
      <c r="G1527" s="20">
        <v>2.6511551337793868</v>
      </c>
      <c r="H1527" s="20">
        <v>5.4623465076110806E-3</v>
      </c>
      <c r="I1527" s="2">
        <f ca="1"/>
        <v>1520</v>
      </c>
      <c r="J1527">
        <f ca="1"/>
        <v>2.6511551337793868</v>
      </c>
      <c r="K1527">
        <f ca="1"/>
        <v>-7.1535002742971537E-3</v>
      </c>
    </row>
    <row r="1528" spans="7:11">
      <c r="G1528" s="20">
        <v>2.6529004630313806</v>
      </c>
      <c r="H1528" s="20">
        <v>5.4498780347340429E-3</v>
      </c>
      <c r="I1528" s="2">
        <f ca="1"/>
        <v>1521</v>
      </c>
      <c r="J1528">
        <f ca="1"/>
        <v>2.6529004630313806</v>
      </c>
      <c r="K1528">
        <f ca="1"/>
        <v>-7.1339942575231342E-3</v>
      </c>
    </row>
    <row r="1529" spans="7:11">
      <c r="G1529" s="20">
        <v>2.6546457922833757</v>
      </c>
      <c r="H1529" s="20">
        <v>5.4374441698886496E-3</v>
      </c>
      <c r="I1529" s="2">
        <f ca="1"/>
        <v>1522</v>
      </c>
      <c r="J1529">
        <f ca="1"/>
        <v>2.6546457922833757</v>
      </c>
      <c r="K1529">
        <f ca="1"/>
        <v>-7.1151220554545556E-3</v>
      </c>
    </row>
    <row r="1530" spans="7:11">
      <c r="G1530" s="20">
        <v>2.6563911215353699</v>
      </c>
      <c r="H1530" s="20">
        <v>5.4250415734242484E-3</v>
      </c>
      <c r="I1530" s="2">
        <f ca="1"/>
        <v>1523</v>
      </c>
      <c r="J1530">
        <f ca="1"/>
        <v>2.6563911215353699</v>
      </c>
      <c r="K1530">
        <f ca="1"/>
        <v>-7.0973598916762365E-3</v>
      </c>
    </row>
    <row r="1531" spans="7:11">
      <c r="G1531" s="20">
        <v>2.6581364507873642</v>
      </c>
      <c r="H1531" s="20">
        <v>5.4126697102269035E-3</v>
      </c>
      <c r="I1531" s="2">
        <f ca="1"/>
        <v>1524</v>
      </c>
      <c r="J1531">
        <f ca="1"/>
        <v>2.6581364507873642</v>
      </c>
      <c r="K1531">
        <f ca="1"/>
        <v>-7.0784028421938408E-3</v>
      </c>
    </row>
    <row r="1532" spans="7:11">
      <c r="G1532" s="20">
        <v>2.6598817800393584</v>
      </c>
      <c r="H1532" s="20">
        <v>5.4003332863484885E-3</v>
      </c>
      <c r="I1532" s="2">
        <f ca="1"/>
        <v>1525</v>
      </c>
      <c r="J1532">
        <f ca="1"/>
        <v>2.6598817800393584</v>
      </c>
      <c r="K1532">
        <f ca="1"/>
        <v>-7.0585984396605694E-3</v>
      </c>
    </row>
    <row r="1533" spans="7:11">
      <c r="G1533" s="20">
        <v>2.6616271092913526</v>
      </c>
      <c r="H1533" s="20">
        <v>5.3880305535572628E-3</v>
      </c>
      <c r="I1533" s="2">
        <f ca="1"/>
        <v>1526</v>
      </c>
      <c r="J1533">
        <f ca="1"/>
        <v>2.6616271092913526</v>
      </c>
      <c r="K1533">
        <f ca="1"/>
        <v>-7.039620243981728E-3</v>
      </c>
    </row>
    <row r="1534" spans="7:11">
      <c r="G1534" s="20">
        <v>2.6633724385433464</v>
      </c>
      <c r="H1534" s="20">
        <v>5.3757603760789877E-3</v>
      </c>
      <c r="I1534" s="2">
        <f ca="1"/>
        <v>1527</v>
      </c>
      <c r="J1534">
        <f ca="1"/>
        <v>2.6633724385433464</v>
      </c>
      <c r="K1534">
        <f ca="1"/>
        <v>-7.020462628163378E-3</v>
      </c>
    </row>
    <row r="1535" spans="7:11">
      <c r="G1535" s="20">
        <v>2.665117767795341</v>
      </c>
      <c r="H1535" s="20">
        <v>5.3635245159823312E-3</v>
      </c>
      <c r="I1535" s="2">
        <f ca="1"/>
        <v>1528</v>
      </c>
      <c r="J1535">
        <f ca="1"/>
        <v>2.665117767795341</v>
      </c>
      <c r="K1535">
        <f ca="1"/>
        <v>-7.0006754620044803E-3</v>
      </c>
    </row>
    <row r="1536" spans="7:11">
      <c r="G1536" s="20">
        <v>2.6668630970473353</v>
      </c>
      <c r="H1536" s="20">
        <v>5.3513234087438754E-3</v>
      </c>
      <c r="I1536" s="2">
        <f ca="1"/>
        <v>1529</v>
      </c>
      <c r="J1536">
        <f ca="1"/>
        <v>2.6668630970473353</v>
      </c>
      <c r="K1536">
        <f ca="1"/>
        <v>-6.9804593955553112E-3</v>
      </c>
    </row>
    <row r="1537" spans="7:11">
      <c r="G1537" s="20">
        <v>2.6686084262993295</v>
      </c>
      <c r="H1537" s="20">
        <v>5.3391581160314901E-3</v>
      </c>
      <c r="I1537" s="2">
        <f ca="1"/>
        <v>1530</v>
      </c>
      <c r="J1537">
        <f ca="1"/>
        <v>2.6686084262993295</v>
      </c>
      <c r="K1537">
        <f ca="1"/>
        <v>-6.9608252672636716E-3</v>
      </c>
    </row>
    <row r="1538" spans="7:11">
      <c r="G1538" s="20">
        <v>2.6703537555513241</v>
      </c>
      <c r="H1538" s="20">
        <v>5.3270255448299208E-3</v>
      </c>
      <c r="I1538" s="2">
        <f ca="1"/>
        <v>1531</v>
      </c>
      <c r="J1538">
        <f ca="1"/>
        <v>2.6703537555513241</v>
      </c>
      <c r="K1538">
        <f ca="1"/>
        <v>-6.9422177234010583E-3</v>
      </c>
    </row>
    <row r="1539" spans="7:11">
      <c r="G1539" s="20">
        <v>2.6720990848033184</v>
      </c>
      <c r="H1539" s="20">
        <v>5.3149252046987578E-3</v>
      </c>
      <c r="I1539" s="2">
        <f ca="1"/>
        <v>1532</v>
      </c>
      <c r="J1539">
        <f ca="1"/>
        <v>2.6720990848033184</v>
      </c>
      <c r="K1539">
        <f ca="1"/>
        <v>-6.9225041052364657E-3</v>
      </c>
    </row>
    <row r="1540" spans="7:11">
      <c r="G1540" s="20">
        <v>2.6738444140553126</v>
      </c>
      <c r="H1540" s="20">
        <v>5.3028614470060822E-3</v>
      </c>
      <c r="I1540" s="2">
        <f ca="1"/>
        <v>1533</v>
      </c>
      <c r="J1540">
        <f ca="1"/>
        <v>2.6738444140553126</v>
      </c>
      <c r="K1540">
        <f ca="1"/>
        <v>-6.9020033160684053E-3</v>
      </c>
    </row>
    <row r="1541" spans="7:11">
      <c r="G1541" s="20">
        <v>2.6755897433073073</v>
      </c>
      <c r="H1541" s="20">
        <v>5.2908326681289641E-3</v>
      </c>
      <c r="I1541" s="2">
        <f ca="1"/>
        <v>1534</v>
      </c>
      <c r="J1541">
        <f ca="1"/>
        <v>2.6755897433073073</v>
      </c>
      <c r="K1541">
        <f ca="1"/>
        <v>-6.882260265903441E-3</v>
      </c>
    </row>
    <row r="1542" spans="7:11">
      <c r="G1542" s="20">
        <v>2.6773350725593015</v>
      </c>
      <c r="H1542" s="20">
        <v>5.2788378266822415E-3</v>
      </c>
      <c r="I1542" s="2">
        <f ca="1"/>
        <v>1535</v>
      </c>
      <c r="J1542">
        <f ca="1"/>
        <v>2.6773350725593015</v>
      </c>
      <c r="K1542">
        <f ca="1"/>
        <v>-6.8623478360613829E-3</v>
      </c>
    </row>
    <row r="1543" spans="7:11">
      <c r="G1543" s="20">
        <v>2.6790804018112957</v>
      </c>
      <c r="H1543" s="20">
        <v>5.2668785552976898E-3</v>
      </c>
      <c r="I1543" s="2">
        <f ca="1"/>
        <v>1536</v>
      </c>
      <c r="J1543">
        <f ca="1"/>
        <v>2.6790804018112957</v>
      </c>
      <c r="K1543">
        <f ca="1"/>
        <v>-6.8419619040805194E-3</v>
      </c>
    </row>
    <row r="1544" spans="7:11">
      <c r="G1544" s="20">
        <v>2.6808257310632899</v>
      </c>
      <c r="H1544" s="20">
        <v>5.2549548741777979E-3</v>
      </c>
      <c r="I1544" s="2">
        <f ca="1"/>
        <v>1537</v>
      </c>
      <c r="J1544">
        <f ca="1"/>
        <v>2.6808257310632899</v>
      </c>
      <c r="K1544">
        <f ca="1"/>
        <v>-6.8214889596760241E-3</v>
      </c>
    </row>
    <row r="1545" spans="7:11">
      <c r="G1545" s="20">
        <v>2.6825710603152846</v>
      </c>
      <c r="H1545" s="20">
        <v>5.2430670668507304E-3</v>
      </c>
      <c r="I1545" s="2">
        <f ca="1"/>
        <v>1538</v>
      </c>
      <c r="J1545">
        <f ca="1"/>
        <v>2.6825710603152846</v>
      </c>
      <c r="K1545">
        <f ca="1"/>
        <v>-6.8005167414604316E-3</v>
      </c>
    </row>
    <row r="1546" spans="7:11">
      <c r="G1546" s="20">
        <v>2.6843163895672788</v>
      </c>
      <c r="H1546" s="20">
        <v>5.2312165925827003E-3</v>
      </c>
      <c r="I1546" s="2">
        <f ca="1"/>
        <v>1539</v>
      </c>
      <c r="J1546">
        <f ca="1"/>
        <v>2.6843163895672788</v>
      </c>
      <c r="K1546">
        <f ca="1"/>
        <v>-6.7801085701078134E-3</v>
      </c>
    </row>
    <row r="1547" spans="7:11">
      <c r="G1547" s="20">
        <v>2.686061718819273</v>
      </c>
      <c r="H1547" s="20">
        <v>5.2194000232125186E-3</v>
      </c>
      <c r="I1547" s="2">
        <f ca="1"/>
        <v>1540</v>
      </c>
      <c r="J1547">
        <f ca="1"/>
        <v>2.686061718819273</v>
      </c>
      <c r="K1547">
        <f ca="1"/>
        <v>-6.7606829853722643E-3</v>
      </c>
    </row>
    <row r="1548" spans="7:11">
      <c r="G1548" s="20">
        <v>2.6878070480712677</v>
      </c>
      <c r="H1548" s="20">
        <v>5.2076173570270376E-3</v>
      </c>
      <c r="I1548" s="2">
        <f ca="1"/>
        <v>1541</v>
      </c>
      <c r="J1548">
        <f ca="1"/>
        <v>2.6878070480712677</v>
      </c>
      <c r="K1548">
        <f ca="1"/>
        <v>-6.7400843094845E-3</v>
      </c>
    </row>
    <row r="1549" spans="7:11">
      <c r="G1549" s="20">
        <v>2.6895523773232619</v>
      </c>
      <c r="H1549" s="20">
        <v>5.1958726906000145E-3</v>
      </c>
      <c r="I1549" s="2">
        <f ca="1"/>
        <v>1542</v>
      </c>
      <c r="J1549">
        <f ca="1"/>
        <v>2.6895523773232619</v>
      </c>
      <c r="K1549">
        <f ca="1"/>
        <v>-6.7188079376189957E-3</v>
      </c>
    </row>
    <row r="1550" spans="7:11">
      <c r="G1550" s="20">
        <v>2.6912977065752561</v>
      </c>
      <c r="H1550" s="20">
        <v>5.1841642929629228E-3</v>
      </c>
      <c r="I1550" s="2">
        <f ca="1"/>
        <v>1543</v>
      </c>
      <c r="J1550">
        <f ca="1"/>
        <v>2.6912977065752561</v>
      </c>
      <c r="K1550">
        <f ca="1"/>
        <v>-6.6982747176070959E-3</v>
      </c>
    </row>
    <row r="1551" spans="7:11">
      <c r="G1551" s="20">
        <v>2.6930430358272508</v>
      </c>
      <c r="H1551" s="20">
        <v>5.1724913009949455E-3</v>
      </c>
      <c r="I1551" s="2">
        <f ca="1"/>
        <v>1544</v>
      </c>
      <c r="J1551">
        <f ca="1"/>
        <v>2.6930430358272508</v>
      </c>
      <c r="K1551">
        <f ca="1"/>
        <v>-6.6775319790451709E-3</v>
      </c>
    </row>
    <row r="1552" spans="7:11">
      <c r="G1552" s="20">
        <v>2.694788365079245</v>
      </c>
      <c r="H1552" s="20">
        <v>5.160855309174611E-3</v>
      </c>
      <c r="I1552" s="2">
        <f ca="1"/>
        <v>1545</v>
      </c>
      <c r="J1552">
        <f ca="1"/>
        <v>2.694788365079245</v>
      </c>
      <c r="K1552">
        <f ca="1"/>
        <v>-6.6562434936244278E-3</v>
      </c>
    </row>
    <row r="1553" spans="7:11">
      <c r="G1553" s="20">
        <v>2.6965336943312392</v>
      </c>
      <c r="H1553" s="20">
        <v>5.1492566280393077E-3</v>
      </c>
      <c r="I1553" s="2">
        <f ca="1"/>
        <v>1546</v>
      </c>
      <c r="J1553">
        <f ca="1"/>
        <v>2.6965336943312392</v>
      </c>
      <c r="K1553">
        <f ca="1"/>
        <v>-6.6346111539359849E-3</v>
      </c>
    </row>
    <row r="1554" spans="7:11">
      <c r="G1554" s="20">
        <v>2.6982790235832335</v>
      </c>
      <c r="H1554" s="20">
        <v>5.1376961473294678E-3</v>
      </c>
      <c r="I1554" s="2">
        <f ca="1"/>
        <v>1547</v>
      </c>
      <c r="J1554">
        <f ca="1"/>
        <v>2.6982790235832335</v>
      </c>
      <c r="K1554">
        <f ca="1"/>
        <v>-6.6134607728955989E-3</v>
      </c>
    </row>
    <row r="1555" spans="7:11">
      <c r="G1555" s="20">
        <v>2.7000243528352281</v>
      </c>
      <c r="H1555" s="20">
        <v>5.1261712949516028E-3</v>
      </c>
      <c r="I1555" s="2">
        <f ca="1"/>
        <v>1548</v>
      </c>
      <c r="J1555">
        <f ca="1"/>
        <v>2.7000243528352281</v>
      </c>
      <c r="K1555">
        <f ca="1"/>
        <v>-6.5931597145894097E-3</v>
      </c>
    </row>
    <row r="1556" spans="7:11">
      <c r="G1556" s="20">
        <v>2.7017696820872223</v>
      </c>
      <c r="H1556" s="20">
        <v>5.1146816783035794E-3</v>
      </c>
      <c r="I1556" s="2">
        <f ca="1"/>
        <v>1549</v>
      </c>
      <c r="J1556">
        <f ca="1"/>
        <v>2.7017696820872223</v>
      </c>
      <c r="K1556">
        <f ca="1"/>
        <v>-6.571918467110931E-3</v>
      </c>
    </row>
    <row r="1557" spans="7:11">
      <c r="G1557" s="20">
        <v>2.7035150113392166</v>
      </c>
      <c r="H1557" s="20">
        <v>5.1032309718668633E-3</v>
      </c>
      <c r="I1557" s="2">
        <f ca="1"/>
        <v>1550</v>
      </c>
      <c r="J1557">
        <f ca="1"/>
        <v>2.7035150113392166</v>
      </c>
      <c r="K1557">
        <f ca="1"/>
        <v>-6.5500078373622993E-3</v>
      </c>
    </row>
    <row r="1558" spans="7:11">
      <c r="G1558" s="20">
        <v>2.7052603405912108</v>
      </c>
      <c r="H1558" s="20">
        <v>5.0918178377448997E-3</v>
      </c>
      <c r="I1558" s="2">
        <f ca="1"/>
        <v>1551</v>
      </c>
      <c r="J1558">
        <f ca="1"/>
        <v>2.7052603405912108</v>
      </c>
      <c r="K1558">
        <f ca="1"/>
        <v>-6.5287269532797862E-3</v>
      </c>
    </row>
    <row r="1559" spans="7:11">
      <c r="G1559" s="20">
        <v>2.707005669843205</v>
      </c>
      <c r="H1559" s="20">
        <v>5.0804414156071787E-3</v>
      </c>
      <c r="I1559" s="2">
        <f ca="1"/>
        <v>1552</v>
      </c>
      <c r="J1559">
        <f ca="1"/>
        <v>2.707005669843205</v>
      </c>
      <c r="K1559">
        <f ca="1"/>
        <v>-6.5072953703303087E-3</v>
      </c>
    </row>
    <row r="1560" spans="7:11">
      <c r="G1560" s="20">
        <v>2.7087509990951992</v>
      </c>
      <c r="H1560" s="20">
        <v>5.0691030918224916E-3</v>
      </c>
      <c r="I1560" s="2">
        <f ca="1"/>
        <v>1553</v>
      </c>
      <c r="J1560">
        <f ca="1"/>
        <v>2.7087509990951992</v>
      </c>
      <c r="K1560">
        <f ca="1"/>
        <v>-6.4853651832627304E-3</v>
      </c>
    </row>
    <row r="1561" spans="7:11">
      <c r="G1561" s="20">
        <v>2.7104963283471935</v>
      </c>
      <c r="H1561" s="20">
        <v>5.057803220478752E-3</v>
      </c>
      <c r="I1561" s="2">
        <f ca="1"/>
        <v>1554</v>
      </c>
      <c r="J1561">
        <f ca="1"/>
        <v>2.7104963283471935</v>
      </c>
      <c r="K1561">
        <f ca="1"/>
        <v>-6.4630966192892386E-3</v>
      </c>
    </row>
    <row r="1562" spans="7:11">
      <c r="G1562" s="20">
        <v>2.7122416575991877</v>
      </c>
      <c r="H1562" s="20">
        <v>5.0465426286462707E-3</v>
      </c>
      <c r="I1562" s="2">
        <f ca="1"/>
        <v>1555</v>
      </c>
      <c r="J1562">
        <f ca="1"/>
        <v>2.7122416575991877</v>
      </c>
      <c r="K1562">
        <f ca="1"/>
        <v>-6.4412633373814995E-3</v>
      </c>
    </row>
    <row r="1563" spans="7:11">
      <c r="G1563" s="20">
        <v>2.7139869868511823</v>
      </c>
      <c r="H1563" s="20">
        <v>5.0353189698336895E-3</v>
      </c>
      <c r="I1563" s="2">
        <f ca="1"/>
        <v>1556</v>
      </c>
      <c r="J1563">
        <f ca="1"/>
        <v>2.7139869868511823</v>
      </c>
      <c r="K1563">
        <f ca="1"/>
        <v>-6.4202032827583317E-3</v>
      </c>
    </row>
    <row r="1564" spans="7:11">
      <c r="G1564" s="20">
        <v>2.7157323161031766</v>
      </c>
      <c r="H1564" s="20">
        <v>5.0241318914599729E-3</v>
      </c>
      <c r="I1564" s="2">
        <f ca="1"/>
        <v>1557</v>
      </c>
      <c r="J1564">
        <f ca="1"/>
        <v>2.7157323161031766</v>
      </c>
      <c r="K1564">
        <f ca="1"/>
        <v>-6.3982844591249071E-3</v>
      </c>
    </row>
    <row r="1565" spans="7:11">
      <c r="G1565" s="20">
        <v>2.7174776453551708</v>
      </c>
      <c r="H1565" s="20">
        <v>5.012984743775508E-3</v>
      </c>
      <c r="I1565" s="2">
        <f ca="1"/>
        <v>1558</v>
      </c>
      <c r="J1565">
        <f ca="1"/>
        <v>2.7174776453551708</v>
      </c>
      <c r="K1565">
        <f ca="1"/>
        <v>-6.3757518639605895E-3</v>
      </c>
    </row>
    <row r="1566" spans="7:11">
      <c r="G1566" s="20">
        <v>2.7192229746071654</v>
      </c>
      <c r="H1566" s="20">
        <v>5.0018763189967159E-3</v>
      </c>
      <c r="I1566" s="2">
        <f ca="1"/>
        <v>1559</v>
      </c>
      <c r="J1566">
        <f ca="1"/>
        <v>2.7192229746071654</v>
      </c>
      <c r="K1566">
        <f ca="1"/>
        <v>-6.3537874897475997E-3</v>
      </c>
    </row>
    <row r="1567" spans="7:11">
      <c r="G1567" s="20">
        <v>2.7209683038591597</v>
      </c>
      <c r="H1567" s="20">
        <v>4.9908058414418824E-3</v>
      </c>
      <c r="I1567" s="2">
        <f ca="1"/>
        <v>1560</v>
      </c>
      <c r="J1567">
        <f ca="1"/>
        <v>2.7209683038591597</v>
      </c>
      <c r="K1567">
        <f ca="1"/>
        <v>-6.3316822059963241E-3</v>
      </c>
    </row>
    <row r="1568" spans="7:11">
      <c r="G1568" s="20">
        <v>2.7227136331111539</v>
      </c>
      <c r="H1568" s="20">
        <v>4.9797745786598025E-3</v>
      </c>
      <c r="I1568" s="2">
        <f ca="1"/>
        <v>1561</v>
      </c>
      <c r="J1568">
        <f ca="1"/>
        <v>2.7227136331111539</v>
      </c>
      <c r="K1568">
        <f ca="1"/>
        <v>-6.3091191759346134E-3</v>
      </c>
    </row>
    <row r="1569" spans="7:11">
      <c r="G1569" s="20">
        <v>2.7244589623631481</v>
      </c>
      <c r="H1569" s="20">
        <v>4.9687828609377297E-3</v>
      </c>
      <c r="I1569" s="2">
        <f ca="1"/>
        <v>1562</v>
      </c>
      <c r="J1569">
        <f ca="1"/>
        <v>2.7244589623631481</v>
      </c>
      <c r="K1569">
        <f ca="1"/>
        <v>-6.286244620681114E-3</v>
      </c>
    </row>
    <row r="1570" spans="7:11">
      <c r="G1570" s="20">
        <v>2.7262042916151423</v>
      </c>
      <c r="H1570" s="20">
        <v>4.9578314454164704E-3</v>
      </c>
      <c r="I1570" s="2">
        <f ca="1"/>
        <v>1563</v>
      </c>
      <c r="J1570">
        <f ca="1"/>
        <v>2.7262042916151423</v>
      </c>
      <c r="K1570">
        <f ca="1"/>
        <v>-6.2637619044765957E-3</v>
      </c>
    </row>
    <row r="1571" spans="7:11">
      <c r="G1571" s="20">
        <v>2.7279496208671374</v>
      </c>
      <c r="H1571" s="20">
        <v>4.946918207178904E-3</v>
      </c>
      <c r="I1571" s="2">
        <f ca="1"/>
        <v>1564</v>
      </c>
      <c r="J1571">
        <f ca="1"/>
        <v>2.7279496208671374</v>
      </c>
      <c r="K1571">
        <f ca="1"/>
        <v>-6.2419771506548134E-3</v>
      </c>
    </row>
    <row r="1572" spans="7:11">
      <c r="G1572" s="20">
        <v>2.7296949501191312</v>
      </c>
      <c r="H1572" s="20">
        <v>4.9360428347938329E-3</v>
      </c>
      <c r="I1572" s="2">
        <f ca="1"/>
        <v>1565</v>
      </c>
      <c r="J1572">
        <f ca="1"/>
        <v>2.7296949501191312</v>
      </c>
      <c r="K1572">
        <f ca="1"/>
        <v>-6.2194080080079043E-3</v>
      </c>
    </row>
    <row r="1573" spans="7:11">
      <c r="G1573" s="20">
        <v>2.7314402793711254</v>
      </c>
      <c r="H1573" s="20">
        <v>4.9252083777259802E-3</v>
      </c>
      <c r="I1573" s="2">
        <f ca="1"/>
        <v>1566</v>
      </c>
      <c r="J1573">
        <f ca="1"/>
        <v>2.7314402793711254</v>
      </c>
      <c r="K1573">
        <f ca="1"/>
        <v>-6.196277677821627E-3</v>
      </c>
    </row>
    <row r="1574" spans="7:11">
      <c r="G1574" s="20">
        <v>2.7331856086231197</v>
      </c>
      <c r="H1574" s="20">
        <v>4.9144137454246711E-3</v>
      </c>
      <c r="I1574" s="2">
        <f ca="1"/>
        <v>1567</v>
      </c>
      <c r="J1574">
        <f ca="1"/>
        <v>2.7331856086231197</v>
      </c>
      <c r="K1574">
        <f ca="1"/>
        <v>-6.1736593505278868E-3</v>
      </c>
    </row>
    <row r="1575" spans="7:11">
      <c r="G1575" s="20">
        <v>2.7349309378751139</v>
      </c>
      <c r="H1575" s="20">
        <v>4.9036582412133323E-3</v>
      </c>
      <c r="I1575" s="2">
        <f ca="1"/>
        <v>1568</v>
      </c>
      <c r="J1575">
        <f ca="1"/>
        <v>2.7349309378751139</v>
      </c>
      <c r="K1575">
        <f ca="1"/>
        <v>-6.1509090215915128E-3</v>
      </c>
    </row>
    <row r="1576" spans="7:11">
      <c r="G1576" s="20">
        <v>2.736676267127109</v>
      </c>
      <c r="H1576" s="20">
        <v>4.892943022541188E-3</v>
      </c>
      <c r="I1576" s="2">
        <f ca="1"/>
        <v>1569</v>
      </c>
      <c r="J1576">
        <f ca="1"/>
        <v>2.736676267127109</v>
      </c>
      <c r="K1576">
        <f ca="1"/>
        <v>-6.1278163304218551E-3</v>
      </c>
    </row>
    <row r="1577" spans="7:11">
      <c r="G1577" s="20">
        <v>2.7384215963791032</v>
      </c>
      <c r="H1577" s="20">
        <v>4.8822681270286605E-3</v>
      </c>
      <c r="I1577" s="2">
        <f ca="1"/>
        <v>1570</v>
      </c>
      <c r="J1577">
        <f ca="1"/>
        <v>2.7384215963791032</v>
      </c>
      <c r="K1577">
        <f ca="1"/>
        <v>-6.1046509874650269E-3</v>
      </c>
    </row>
    <row r="1578" spans="7:11">
      <c r="G1578" s="20">
        <v>2.740166925631097</v>
      </c>
      <c r="H1578" s="20">
        <v>4.8716337706579144E-3</v>
      </c>
      <c r="I1578" s="2">
        <f ca="1"/>
        <v>1571</v>
      </c>
      <c r="J1578">
        <f ca="1"/>
        <v>2.740166925631097</v>
      </c>
      <c r="K1578">
        <f ca="1"/>
        <v>-6.0811331531768426E-3</v>
      </c>
    </row>
    <row r="1579" spans="7:11">
      <c r="G1579" s="20">
        <v>2.7419122548830921</v>
      </c>
      <c r="H1579" s="20">
        <v>4.861040967873635E-3</v>
      </c>
      <c r="I1579" s="2">
        <f ca="1"/>
        <v>1572</v>
      </c>
      <c r="J1579">
        <f ca="1"/>
        <v>2.7419122548830921</v>
      </c>
      <c r="K1579">
        <f ca="1"/>
        <v>-6.0579852156590324E-3</v>
      </c>
    </row>
    <row r="1580" spans="7:11">
      <c r="G1580" s="20">
        <v>2.7436575841350863</v>
      </c>
      <c r="H1580" s="20">
        <v>4.8504874130478326E-3</v>
      </c>
      <c r="I1580" s="2">
        <f ca="1"/>
        <v>1573</v>
      </c>
      <c r="J1580">
        <f ca="1"/>
        <v>2.7436575841350863</v>
      </c>
      <c r="K1580">
        <f ca="1"/>
        <v>-6.0354886033349535E-3</v>
      </c>
    </row>
    <row r="1581" spans="7:11">
      <c r="G1581" s="20">
        <v>2.7454029133870805</v>
      </c>
      <c r="H1581" s="20">
        <v>4.8399731382546786E-3</v>
      </c>
      <c r="I1581" s="2">
        <f ca="1"/>
        <v>1574</v>
      </c>
      <c r="J1581">
        <f ca="1"/>
        <v>2.7454029133870805</v>
      </c>
      <c r="K1581">
        <f ca="1"/>
        <v>-6.0121797180289456E-3</v>
      </c>
    </row>
    <row r="1582" spans="7:11">
      <c r="G1582" s="20">
        <v>2.7471482426390748</v>
      </c>
      <c r="H1582" s="20">
        <v>4.829500946787588E-3</v>
      </c>
      <c r="I1582" s="2">
        <f ca="1"/>
        <v>1575</v>
      </c>
      <c r="J1582">
        <f ca="1"/>
        <v>2.7471482426390748</v>
      </c>
      <c r="K1582">
        <f ca="1"/>
        <v>-5.9883978033076204E-3</v>
      </c>
    </row>
    <row r="1583" spans="7:11">
      <c r="G1583" s="20">
        <v>2.748893571891069</v>
      </c>
      <c r="H1583" s="20">
        <v>4.8190696865372971E-3</v>
      </c>
      <c r="I1583" s="2">
        <f ca="1"/>
        <v>1576</v>
      </c>
      <c r="J1583">
        <f ca="1"/>
        <v>2.748893571891069</v>
      </c>
      <c r="K1583">
        <f ca="1"/>
        <v>-5.9651057850608055E-3</v>
      </c>
    </row>
    <row r="1584" spans="7:11">
      <c r="G1584" s="20">
        <v>2.7506389011430632</v>
      </c>
      <c r="H1584" s="20">
        <v>4.8086787995517749E-3</v>
      </c>
      <c r="I1584" s="2">
        <f ca="1"/>
        <v>1577</v>
      </c>
      <c r="J1584">
        <f ca="1"/>
        <v>2.7506389011430632</v>
      </c>
      <c r="K1584">
        <f ca="1"/>
        <v>-5.9416572754351152E-3</v>
      </c>
    </row>
    <row r="1585" spans="7:11">
      <c r="G1585" s="20">
        <v>2.7523842303950574</v>
      </c>
      <c r="H1585" s="20">
        <v>4.7983293900410147E-3</v>
      </c>
      <c r="I1585" s="2">
        <f ca="1"/>
        <v>1578</v>
      </c>
      <c r="J1585">
        <f ca="1"/>
        <v>2.7523842303950574</v>
      </c>
      <c r="K1585">
        <f ca="1"/>
        <v>-5.9178267669728656E-3</v>
      </c>
    </row>
    <row r="1586" spans="7:11">
      <c r="G1586" s="20">
        <v>2.7541295596470516</v>
      </c>
      <c r="H1586" s="20">
        <v>4.7880216872225106E-3</v>
      </c>
      <c r="I1586" s="2">
        <f ca="1"/>
        <v>1579</v>
      </c>
      <c r="J1586">
        <f ca="1"/>
        <v>2.7541295596470516</v>
      </c>
      <c r="K1586">
        <f ca="1"/>
        <v>-5.893757071598566E-3</v>
      </c>
    </row>
    <row r="1587" spans="7:11">
      <c r="G1587" s="20">
        <v>2.7558748888990459</v>
      </c>
      <c r="H1587" s="20">
        <v>4.7777562967985972E-3</v>
      </c>
      <c r="I1587" s="2">
        <f ca="1"/>
        <v>1580</v>
      </c>
      <c r="J1587">
        <f ca="1"/>
        <v>2.7558748888990459</v>
      </c>
      <c r="K1587">
        <f ca="1"/>
        <v>-5.8699936111731143E-3</v>
      </c>
    </row>
    <row r="1588" spans="7:11">
      <c r="G1588" s="20">
        <v>2.7576202181510405</v>
      </c>
      <c r="H1588" s="20">
        <v>4.7675315441053088E-3</v>
      </c>
      <c r="I1588" s="2">
        <f ca="1"/>
        <v>1581</v>
      </c>
      <c r="J1588">
        <f ca="1"/>
        <v>2.7576202181510405</v>
      </c>
      <c r="K1588">
        <f ca="1"/>
        <v>-5.846776252149479E-3</v>
      </c>
    </row>
    <row r="1589" spans="7:11">
      <c r="G1589" s="20">
        <v>2.7593655474030352</v>
      </c>
      <c r="H1589" s="20">
        <v>4.7573471975531087E-3</v>
      </c>
      <c r="I1589" s="2">
        <f ca="1"/>
        <v>1582</v>
      </c>
      <c r="J1589">
        <f ca="1"/>
        <v>2.7593655474030352</v>
      </c>
      <c r="K1589">
        <f ca="1"/>
        <v>-5.8229220549564607E-3</v>
      </c>
    </row>
    <row r="1590" spans="7:11">
      <c r="G1590" s="20">
        <v>2.761110876655029</v>
      </c>
      <c r="H1590" s="20">
        <v>4.7472057117161131E-3</v>
      </c>
      <c r="I1590" s="2">
        <f ca="1"/>
        <v>1583</v>
      </c>
      <c r="J1590">
        <f ca="1"/>
        <v>2.761110876655029</v>
      </c>
      <c r="K1590">
        <f ca="1"/>
        <v>-5.7986112735668761E-3</v>
      </c>
    </row>
    <row r="1591" spans="7:11">
      <c r="G1591" s="20">
        <v>2.7628562059070236</v>
      </c>
      <c r="H1591" s="20">
        <v>4.7371062257997093E-3</v>
      </c>
      <c r="I1591" s="2">
        <f ca="1"/>
        <v>1584</v>
      </c>
      <c r="J1591">
        <f ca="1"/>
        <v>2.7628562059070236</v>
      </c>
      <c r="K1591">
        <f ca="1"/>
        <v>-5.7747026441615336E-3</v>
      </c>
    </row>
    <row r="1592" spans="7:11">
      <c r="G1592" s="20">
        <v>2.7646015351590183</v>
      </c>
      <c r="H1592" s="20">
        <v>4.727048196823261E-3</v>
      </c>
      <c r="I1592" s="2">
        <f ca="1"/>
        <v>1585</v>
      </c>
      <c r="J1592">
        <f ca="1"/>
        <v>2.7646015351590183</v>
      </c>
      <c r="K1592">
        <f ca="1"/>
        <v>-5.750680546196537E-3</v>
      </c>
    </row>
    <row r="1593" spans="7:11">
      <c r="G1593" s="20">
        <v>2.7663468644110125</v>
      </c>
      <c r="H1593" s="20">
        <v>4.7170325638474049E-3</v>
      </c>
      <c r="I1593" s="2">
        <f ca="1"/>
        <v>1586</v>
      </c>
      <c r="J1593">
        <f ca="1"/>
        <v>2.7663468644110125</v>
      </c>
      <c r="K1593">
        <f ca="1"/>
        <v>-5.7263168673066462E-3</v>
      </c>
    </row>
    <row r="1594" spans="7:11">
      <c r="G1594" s="20">
        <v>2.7680921936630067</v>
      </c>
      <c r="H1594" s="20">
        <v>4.7070595801538646E-3</v>
      </c>
      <c r="I1594" s="2">
        <f ca="1"/>
        <v>1587</v>
      </c>
      <c r="J1594">
        <f ca="1"/>
        <v>2.7680921936630067</v>
      </c>
      <c r="K1594">
        <f ca="1"/>
        <v>-5.7017233509365373E-3</v>
      </c>
    </row>
    <row r="1595" spans="7:11">
      <c r="G1595" s="20">
        <v>2.769837522915001</v>
      </c>
      <c r="H1595" s="20">
        <v>4.6971297947450688E-3</v>
      </c>
      <c r="I1595" s="2">
        <f ca="1"/>
        <v>1588</v>
      </c>
      <c r="J1595">
        <f ca="1"/>
        <v>2.769837522915001</v>
      </c>
      <c r="K1595">
        <f ca="1"/>
        <v>-5.6773974719203013E-3</v>
      </c>
    </row>
    <row r="1596" spans="7:11">
      <c r="G1596" s="20">
        <v>2.7715828521669956</v>
      </c>
      <c r="H1596" s="20">
        <v>4.687241724387981E-3</v>
      </c>
      <c r="I1596" s="2">
        <f ca="1"/>
        <v>1589</v>
      </c>
      <c r="J1596">
        <f ca="1"/>
        <v>2.7715828521669956</v>
      </c>
      <c r="K1596">
        <f ca="1"/>
        <v>-5.6535534481446615E-3</v>
      </c>
    </row>
    <row r="1597" spans="7:11">
      <c r="G1597" s="20">
        <v>2.7733281814189898</v>
      </c>
      <c r="H1597" s="20">
        <v>4.6773951703235469E-3</v>
      </c>
      <c r="I1597" s="2">
        <f ca="1"/>
        <v>1590</v>
      </c>
      <c r="J1597">
        <f ca="1"/>
        <v>2.7733281814189898</v>
      </c>
      <c r="K1597">
        <f ca="1"/>
        <v>-5.6291421849764172E-3</v>
      </c>
    </row>
    <row r="1598" spans="7:11">
      <c r="G1598" s="20">
        <v>2.7750735106709841</v>
      </c>
      <c r="H1598" s="20">
        <v>4.667592311349833E-3</v>
      </c>
      <c r="I1598" s="2">
        <f ca="1"/>
        <v>1591</v>
      </c>
      <c r="J1598">
        <f ca="1"/>
        <v>2.7750735106709841</v>
      </c>
      <c r="K1598">
        <f ca="1"/>
        <v>-5.6043224980218583E-3</v>
      </c>
    </row>
    <row r="1599" spans="7:11">
      <c r="G1599" s="20">
        <v>2.7768188399229783</v>
      </c>
      <c r="H1599" s="20">
        <v>4.6578323943367332E-3</v>
      </c>
      <c r="I1599" s="2">
        <f ca="1"/>
        <v>1592</v>
      </c>
      <c r="J1599">
        <f ca="1"/>
        <v>2.7768188399229783</v>
      </c>
      <c r="K1599">
        <f ca="1"/>
        <v>-5.5798540877608147E-3</v>
      </c>
    </row>
    <row r="1600" spans="7:11">
      <c r="G1600" s="20">
        <v>2.7785641691749725</v>
      </c>
      <c r="H1600" s="20">
        <v>4.648114946227376E-3</v>
      </c>
      <c r="I1600" s="2">
        <f ca="1"/>
        <v>1593</v>
      </c>
      <c r="J1600">
        <f ca="1"/>
        <v>2.7785641691749725</v>
      </c>
      <c r="K1600">
        <f ca="1"/>
        <v>-5.5552813794590922E-3</v>
      </c>
    </row>
    <row r="1601" spans="7:11">
      <c r="G1601" s="20">
        <v>2.7803094984269672</v>
      </c>
      <c r="H1601" s="20">
        <v>4.6384408041474732E-3</v>
      </c>
      <c r="I1601" s="2">
        <f ca="1"/>
        <v>1594</v>
      </c>
      <c r="J1601">
        <f ca="1"/>
        <v>2.7803094984269672</v>
      </c>
      <c r="K1601">
        <f ca="1"/>
        <v>-5.5304559459521362E-3</v>
      </c>
    </row>
    <row r="1602" spans="7:11">
      <c r="G1602" s="20">
        <v>2.7820548276789614</v>
      </c>
      <c r="H1602" s="20">
        <v>4.6288100131487023E-3</v>
      </c>
      <c r="I1602" s="2">
        <f ca="1"/>
        <v>1595</v>
      </c>
      <c r="J1602">
        <f ca="1"/>
        <v>2.7820548276789614</v>
      </c>
      <c r="K1602">
        <f ca="1"/>
        <v>-5.5055696623462986E-3</v>
      </c>
    </row>
    <row r="1603" spans="7:11">
      <c r="G1603" s="20">
        <v>2.7838001569309556</v>
      </c>
      <c r="H1603" s="20">
        <v>4.6192227405863033E-3</v>
      </c>
      <c r="I1603" s="2">
        <f ca="1"/>
        <v>1596</v>
      </c>
      <c r="J1603">
        <f ca="1"/>
        <v>2.7838001569309556</v>
      </c>
      <c r="K1603">
        <f ca="1"/>
        <v>-5.4804300905341875E-3</v>
      </c>
    </row>
    <row r="1604" spans="7:11">
      <c r="G1604" s="20">
        <v>2.7855454861829503</v>
      </c>
      <c r="H1604" s="20">
        <v>4.6096797032476626E-3</v>
      </c>
      <c r="I1604" s="2">
        <f ca="1"/>
        <v>1597</v>
      </c>
      <c r="J1604">
        <f ca="1"/>
        <v>2.7855454861829503</v>
      </c>
      <c r="K1604">
        <f ca="1"/>
        <v>-5.4555356672106124E-3</v>
      </c>
    </row>
    <row r="1605" spans="7:11">
      <c r="G1605" s="20">
        <v>2.7872908154349445</v>
      </c>
      <c r="H1605" s="20">
        <v>4.6001793286157399E-3</v>
      </c>
      <c r="I1605" s="2">
        <f ca="1"/>
        <v>1598</v>
      </c>
      <c r="J1605">
        <f ca="1"/>
        <v>2.7872908154349445</v>
      </c>
      <c r="K1605">
        <f ca="1"/>
        <v>-5.4310775813751532E-3</v>
      </c>
    </row>
    <row r="1606" spans="7:11">
      <c r="G1606" s="20">
        <v>2.7890361446869387</v>
      </c>
      <c r="H1606" s="20">
        <v>4.5907216661024144E-3</v>
      </c>
      <c r="I1606" s="2">
        <f ca="1"/>
        <v>1599</v>
      </c>
      <c r="J1606">
        <f ca="1"/>
        <v>2.7890361446869387</v>
      </c>
      <c r="K1606">
        <f ca="1"/>
        <v>-5.4060470036581603E-3</v>
      </c>
    </row>
    <row r="1607" spans="7:11">
      <c r="G1607" s="20">
        <v>2.7907814739389329</v>
      </c>
      <c r="H1607" s="20">
        <v>4.5813086646694593E-3</v>
      </c>
      <c r="I1607" s="2">
        <f ca="1"/>
        <v>1600</v>
      </c>
      <c r="J1607">
        <f ca="1"/>
        <v>2.7907814739389329</v>
      </c>
      <c r="K1607">
        <f ca="1"/>
        <v>-5.3806806391691574E-3</v>
      </c>
    </row>
    <row r="1608" spans="7:11">
      <c r="G1608" s="20">
        <v>2.7925268031909272</v>
      </c>
      <c r="H1608" s="20">
        <v>4.5719395474720526E-3</v>
      </c>
      <c r="I1608" s="2">
        <f ca="1"/>
        <v>1601</v>
      </c>
      <c r="J1608">
        <f ca="1"/>
        <v>2.7925268031909272</v>
      </c>
      <c r="K1608">
        <f ca="1"/>
        <v>-5.355492782199516E-3</v>
      </c>
    </row>
    <row r="1609" spans="7:11">
      <c r="G1609" s="20">
        <v>2.7942721324429218</v>
      </c>
      <c r="H1609" s="20">
        <v>4.5626144682462235E-3</v>
      </c>
      <c r="I1609" s="2">
        <f ca="1"/>
        <v>1602</v>
      </c>
      <c r="J1609">
        <f ca="1"/>
        <v>2.7942721324429218</v>
      </c>
      <c r="K1609">
        <f ca="1"/>
        <v>-5.330419201360531E-3</v>
      </c>
    </row>
    <row r="1610" spans="7:11">
      <c r="G1610" s="20">
        <v>2.7960174616949156</v>
      </c>
      <c r="H1610" s="20">
        <v>4.5533328743570002E-3</v>
      </c>
      <c r="I1610" s="2">
        <f ca="1"/>
        <v>1603</v>
      </c>
      <c r="J1610">
        <f ca="1"/>
        <v>2.7960174616949156</v>
      </c>
      <c r="K1610">
        <f ca="1"/>
        <v>-5.3054171430233646E-3</v>
      </c>
    </row>
    <row r="1611" spans="7:11">
      <c r="G1611" s="20">
        <v>2.7977627909469103</v>
      </c>
      <c r="H1611" s="20">
        <v>4.5440950687787229E-3</v>
      </c>
      <c r="I1611" s="2">
        <f ca="1"/>
        <v>1604</v>
      </c>
      <c r="J1611">
        <f ca="1"/>
        <v>2.7977627909469103</v>
      </c>
      <c r="K1611">
        <f ca="1"/>
        <v>-5.2798492519771723E-3</v>
      </c>
    </row>
    <row r="1612" spans="7:11">
      <c r="G1612" s="20">
        <v>2.799508120198904</v>
      </c>
      <c r="H1612" s="20">
        <v>4.5349027236658091E-3</v>
      </c>
      <c r="I1612" s="2">
        <f ca="1"/>
        <v>1605</v>
      </c>
      <c r="J1612">
        <f ca="1"/>
        <v>2.799508120198904</v>
      </c>
      <c r="K1612">
        <f ca="1"/>
        <v>-5.2540451580896297E-3</v>
      </c>
    </row>
    <row r="1613" spans="7:11">
      <c r="G1613" s="20">
        <v>2.8012534494508987</v>
      </c>
      <c r="H1613" s="20">
        <v>4.525754991367298E-3</v>
      </c>
      <c r="I1613" s="2">
        <f ca="1"/>
        <v>1606</v>
      </c>
      <c r="J1613">
        <f ca="1"/>
        <v>2.8012534494508987</v>
      </c>
      <c r="K1613">
        <f ca="1"/>
        <v>-5.2288437611848941E-3</v>
      </c>
    </row>
    <row r="1614" spans="7:11">
      <c r="G1614" s="20">
        <v>2.8029987787028929</v>
      </c>
      <c r="H1614" s="20">
        <v>4.5166506157247998E-3</v>
      </c>
      <c r="I1614" s="2">
        <f ca="1"/>
        <v>1607</v>
      </c>
      <c r="J1614">
        <f ca="1"/>
        <v>2.8029987787028929</v>
      </c>
      <c r="K1614">
        <f ca="1"/>
        <v>-5.203691570265026E-3</v>
      </c>
    </row>
    <row r="1615" spans="7:11">
      <c r="G1615" s="20">
        <v>2.8047441079548872</v>
      </c>
      <c r="H1615" s="20">
        <v>4.5075906811354195E-3</v>
      </c>
      <c r="I1615" s="2">
        <f ca="1"/>
        <v>1608</v>
      </c>
      <c r="J1615">
        <f ca="1"/>
        <v>2.8047441079548872</v>
      </c>
      <c r="K1615">
        <f ca="1"/>
        <v>-5.1780343983756066E-3</v>
      </c>
    </row>
    <row r="1616" spans="7:11">
      <c r="G1616" s="20">
        <v>2.8064894372068818</v>
      </c>
      <c r="H1616" s="20">
        <v>4.498575865918163E-3</v>
      </c>
      <c r="I1616" s="2">
        <f ca="1"/>
        <v>1609</v>
      </c>
      <c r="J1616">
        <f ca="1"/>
        <v>2.8064894372068818</v>
      </c>
      <c r="K1616">
        <f ca="1"/>
        <v>-5.1523471444900708E-3</v>
      </c>
    </row>
    <row r="1617" spans="7:11">
      <c r="G1617" s="20">
        <v>2.808234766458876</v>
      </c>
      <c r="H1617" s="20">
        <v>4.4896055967600023E-3</v>
      </c>
      <c r="I1617" s="2">
        <f ca="1"/>
        <v>1610</v>
      </c>
      <c r="J1617">
        <f ca="1"/>
        <v>2.808234766458876</v>
      </c>
      <c r="K1617">
        <f ca="1"/>
        <v>-5.1266926579365806E-3</v>
      </c>
    </row>
    <row r="1618" spans="7:11">
      <c r="G1618" s="20">
        <v>2.8099800957108703</v>
      </c>
      <c r="H1618" s="20">
        <v>4.4806803325944016E-3</v>
      </c>
      <c r="I1618" s="2">
        <f ca="1"/>
        <v>1611</v>
      </c>
      <c r="J1618">
        <f ca="1"/>
        <v>2.8099800957108703</v>
      </c>
      <c r="K1618">
        <f ca="1"/>
        <v>-5.10071708009308E-3</v>
      </c>
    </row>
    <row r="1619" spans="7:11">
      <c r="G1619" s="20">
        <v>2.8117254249628649</v>
      </c>
      <c r="H1619" s="20">
        <v>4.4718007353079341E-3</v>
      </c>
      <c r="I1619" s="2">
        <f ca="1"/>
        <v>1612</v>
      </c>
      <c r="J1619">
        <f ca="1"/>
        <v>2.8117254249628649</v>
      </c>
      <c r="K1619">
        <f ca="1"/>
        <v>-5.0746371204979119E-3</v>
      </c>
    </row>
    <row r="1620" spans="7:11">
      <c r="G1620" s="20">
        <v>2.8134707542148596</v>
      </c>
      <c r="H1620" s="20">
        <v>4.4629665073750756E-3</v>
      </c>
      <c r="I1620" s="2">
        <f ca="1"/>
        <v>1613</v>
      </c>
      <c r="J1620">
        <f ca="1"/>
        <v>2.8134707542148596</v>
      </c>
      <c r="K1620">
        <f ca="1"/>
        <v>-5.0489838830522485E-3</v>
      </c>
    </row>
    <row r="1621" spans="7:11">
      <c r="G1621" s="20">
        <v>2.8152160834668534</v>
      </c>
      <c r="H1621" s="20">
        <v>4.4541764567800572E-3</v>
      </c>
      <c r="I1621" s="2">
        <f ca="1"/>
        <v>1614</v>
      </c>
      <c r="J1621">
        <f ca="1"/>
        <v>2.8152160834668534</v>
      </c>
      <c r="K1621">
        <f ca="1"/>
        <v>-5.0233741657697622E-3</v>
      </c>
    </row>
    <row r="1622" spans="7:11">
      <c r="G1622" s="20">
        <v>2.8169614127188476</v>
      </c>
      <c r="H1622" s="20">
        <v>4.4454316236246178E-3</v>
      </c>
      <c r="I1622" s="2">
        <f ca="1"/>
        <v>1615</v>
      </c>
      <c r="J1622">
        <f ca="1"/>
        <v>2.8169614127188476</v>
      </c>
      <c r="K1622">
        <f ca="1"/>
        <v>-4.9971502354193226E-3</v>
      </c>
    </row>
    <row r="1623" spans="7:11">
      <c r="G1623" s="20">
        <v>2.8187067419708423</v>
      </c>
      <c r="H1623" s="20">
        <v>4.4367331118150806E-3</v>
      </c>
      <c r="I1623" s="2">
        <f ca="1"/>
        <v>1616</v>
      </c>
      <c r="J1623">
        <f ca="1"/>
        <v>2.8187067419708423</v>
      </c>
      <c r="K1623">
        <f ca="1"/>
        <v>-4.9708065203896224E-3</v>
      </c>
    </row>
    <row r="1624" spans="7:11">
      <c r="G1624" s="20">
        <v>2.8204520712228365</v>
      </c>
      <c r="H1624" s="20">
        <v>4.4280802355725363E-3</v>
      </c>
      <c r="I1624" s="2">
        <f ca="1"/>
        <v>1617</v>
      </c>
      <c r="J1624">
        <f ca="1"/>
        <v>2.8204520712228365</v>
      </c>
      <c r="K1624">
        <f ca="1"/>
        <v>-4.9449492877152211E-3</v>
      </c>
    </row>
    <row r="1625" spans="7:11">
      <c r="G1625" s="20">
        <v>2.8221974004748311</v>
      </c>
      <c r="H1625" s="20">
        <v>4.4194719825321237E-3</v>
      </c>
      <c r="I1625" s="2">
        <f ca="1"/>
        <v>1618</v>
      </c>
      <c r="J1625">
        <f ca="1"/>
        <v>2.8221974004748311</v>
      </c>
      <c r="K1625">
        <f ca="1"/>
        <v>-4.9190281667054452E-3</v>
      </c>
    </row>
    <row r="1626" spans="7:11">
      <c r="G1626" s="20">
        <v>2.8239427297268254</v>
      </c>
      <c r="H1626" s="20">
        <v>4.4109095880710651E-3</v>
      </c>
      <c r="I1626" s="2">
        <f ca="1"/>
        <v>1619</v>
      </c>
      <c r="J1626">
        <f ca="1"/>
        <v>2.8239427297268254</v>
      </c>
      <c r="K1626">
        <f ca="1"/>
        <v>-4.8926536852145312E-3</v>
      </c>
    </row>
    <row r="1627" spans="7:11">
      <c r="G1627" s="20">
        <v>2.8256880589788196</v>
      </c>
      <c r="H1627" s="20">
        <v>4.4023933993387592E-3</v>
      </c>
      <c r="I1627" s="2">
        <f ca="1"/>
        <v>1620</v>
      </c>
      <c r="J1627">
        <f ca="1"/>
        <v>2.8256880589788196</v>
      </c>
      <c r="K1627">
        <f ca="1"/>
        <v>-4.8664838144779699E-3</v>
      </c>
    </row>
    <row r="1628" spans="7:11">
      <c r="G1628" s="20">
        <v>2.8274333882308138</v>
      </c>
      <c r="H1628" s="20">
        <v>4.3939223549595355E-3</v>
      </c>
      <c r="I1628" s="2">
        <f ca="1"/>
        <v>1621</v>
      </c>
      <c r="J1628">
        <f ca="1"/>
        <v>2.8274333882308138</v>
      </c>
      <c r="K1628">
        <f ca="1"/>
        <v>-4.8403685450177621E-3</v>
      </c>
    </row>
    <row r="1629" spans="7:11">
      <c r="G1629" s="20">
        <v>2.8291787174828085</v>
      </c>
      <c r="H1629" s="20">
        <v>4.3854973257146527E-3</v>
      </c>
      <c r="I1629" s="2">
        <f ca="1"/>
        <v>1622</v>
      </c>
      <c r="J1629">
        <f ca="1"/>
        <v>2.8291787174828085</v>
      </c>
      <c r="K1629">
        <f ca="1"/>
        <v>-4.8138103379860514E-3</v>
      </c>
    </row>
    <row r="1630" spans="7:11">
      <c r="G1630" s="20">
        <v>2.8309240467348022</v>
      </c>
      <c r="H1630" s="20">
        <v>4.377118986966657E-3</v>
      </c>
      <c r="I1630" s="2">
        <f ca="1"/>
        <v>1623</v>
      </c>
      <c r="J1630">
        <f ca="1"/>
        <v>2.8309240467348022</v>
      </c>
      <c r="K1630">
        <f ca="1"/>
        <v>-4.7871763457289652E-3</v>
      </c>
    </row>
    <row r="1631" spans="7:11">
      <c r="G1631" s="20">
        <v>2.8326693759867969</v>
      </c>
      <c r="H1631" s="20">
        <v>4.3687869278933415E-3</v>
      </c>
      <c r="I1631" s="2">
        <f ca="1"/>
        <v>1624</v>
      </c>
      <c r="J1631">
        <f ca="1"/>
        <v>2.8326693759867969</v>
      </c>
      <c r="K1631">
        <f ca="1"/>
        <v>-4.7609169069042509E-3</v>
      </c>
    </row>
    <row r="1632" spans="7:11">
      <c r="G1632" s="20">
        <v>2.8344147052387907</v>
      </c>
      <c r="H1632" s="20">
        <v>4.3605002518787893E-3</v>
      </c>
      <c r="I1632" s="2">
        <f ca="1"/>
        <v>1625</v>
      </c>
      <c r="J1632">
        <f ca="1"/>
        <v>2.8344147052387907</v>
      </c>
      <c r="K1632">
        <f ca="1"/>
        <v>-4.7346010185822431E-3</v>
      </c>
    </row>
    <row r="1633" spans="7:11">
      <c r="G1633" s="20">
        <v>2.8361600344907854</v>
      </c>
      <c r="H1633" s="20">
        <v>4.3522600525848351E-3</v>
      </c>
      <c r="I1633" s="2">
        <f ca="1"/>
        <v>1626</v>
      </c>
      <c r="J1633">
        <f ca="1"/>
        <v>2.8361600344907854</v>
      </c>
      <c r="K1633">
        <f ca="1"/>
        <v>-4.7078953134200375E-3</v>
      </c>
    </row>
    <row r="1634" spans="7:11">
      <c r="G1634" s="20">
        <v>2.83790536374278</v>
      </c>
      <c r="H1634" s="20">
        <v>4.3440665970671082E-3</v>
      </c>
      <c r="I1634" s="2">
        <f ca="1"/>
        <v>1627</v>
      </c>
      <c r="J1634">
        <f ca="1"/>
        <v>2.83790536374278</v>
      </c>
      <c r="K1634">
        <f ca="1"/>
        <v>-4.6813677087100209E-3</v>
      </c>
    </row>
    <row r="1635" spans="7:11">
      <c r="G1635" s="20">
        <v>2.8396506929947738</v>
      </c>
      <c r="H1635" s="20">
        <v>4.3359189965821296E-3</v>
      </c>
      <c r="I1635" s="2">
        <f ca="1"/>
        <v>1628</v>
      </c>
      <c r="J1635">
        <f ca="1"/>
        <v>2.8396506929947738</v>
      </c>
      <c r="K1635">
        <f ca="1"/>
        <v>-4.6548819154627139E-3</v>
      </c>
    </row>
    <row r="1636" spans="7:11">
      <c r="G1636" s="20">
        <v>2.8413960222467689</v>
      </c>
      <c r="H1636" s="20">
        <v>4.3278179939238342E-3</v>
      </c>
      <c r="I1636" s="2">
        <f ca="1"/>
        <v>1629</v>
      </c>
      <c r="J1636">
        <f ca="1"/>
        <v>2.8413960222467689</v>
      </c>
      <c r="K1636">
        <f ca="1"/>
        <v>-4.6280150655440659E-3</v>
      </c>
    </row>
    <row r="1637" spans="7:11">
      <c r="G1637" s="20">
        <v>2.8431413514987622</v>
      </c>
      <c r="H1637" s="20">
        <v>4.3197641764370015E-3</v>
      </c>
      <c r="I1637" s="2">
        <f ca="1"/>
        <v>1630</v>
      </c>
      <c r="J1637">
        <f ca="1"/>
        <v>2.8431413514987622</v>
      </c>
      <c r="K1637">
        <f ca="1"/>
        <v>-4.6010789582595383E-3</v>
      </c>
    </row>
    <row r="1638" spans="7:11">
      <c r="G1638" s="20">
        <v>2.8448866807507569</v>
      </c>
      <c r="H1638" s="20">
        <v>4.3117571985306653E-3</v>
      </c>
      <c r="I1638" s="2">
        <f ca="1"/>
        <v>1631</v>
      </c>
      <c r="J1638">
        <f ca="1"/>
        <v>2.8448866807507569</v>
      </c>
      <c r="K1638">
        <f ca="1"/>
        <v>-4.5744553002767009E-3</v>
      </c>
    </row>
    <row r="1639" spans="7:11">
      <c r="G1639" s="20">
        <v>2.8466320100027511</v>
      </c>
      <c r="H1639" s="20">
        <v>4.3037963151419736E-3</v>
      </c>
      <c r="I1639" s="2">
        <f ca="1"/>
        <v>1632</v>
      </c>
      <c r="J1639">
        <f ca="1"/>
        <v>2.8466320100027511</v>
      </c>
      <c r="K1639">
        <f ca="1"/>
        <v>-4.5478483714755241E-3</v>
      </c>
    </row>
    <row r="1640" spans="7:11">
      <c r="G1640" s="20">
        <v>2.8483773392547453</v>
      </c>
      <c r="H1640" s="20">
        <v>4.2958822129379242E-3</v>
      </c>
      <c r="I1640" s="2">
        <f ca="1"/>
        <v>1633</v>
      </c>
      <c r="J1640">
        <f ca="1"/>
        <v>2.8483773392547453</v>
      </c>
      <c r="K1640">
        <f ca="1"/>
        <v>-4.5209316064862195E-3</v>
      </c>
    </row>
    <row r="1641" spans="7:11">
      <c r="G1641" s="20">
        <v>2.8501226685067396</v>
      </c>
      <c r="H1641" s="20">
        <v>4.2880152867838424E-3</v>
      </c>
      <c r="I1641" s="2">
        <f ca="1"/>
        <v>1634</v>
      </c>
      <c r="J1641">
        <f ca="1"/>
        <v>2.8501226685067396</v>
      </c>
      <c r="K1641">
        <f ca="1"/>
        <v>-4.4939900185568434E-3</v>
      </c>
    </row>
    <row r="1642" spans="7:11">
      <c r="G1642" s="20">
        <v>2.8518679977587347</v>
      </c>
      <c r="H1642" s="20">
        <v>4.2801952284628056E-3</v>
      </c>
      <c r="I1642" s="2">
        <f ca="1"/>
        <v>1635</v>
      </c>
      <c r="J1642">
        <f ca="1"/>
        <v>2.8518679977587347</v>
      </c>
      <c r="K1642">
        <f ca="1"/>
        <v>-4.4670549059628809E-3</v>
      </c>
    </row>
    <row r="1643" spans="7:11">
      <c r="G1643" s="20">
        <v>2.8536133270107289</v>
      </c>
      <c r="H1643" s="20">
        <v>4.2724223235885558E-3</v>
      </c>
      <c r="I1643" s="2">
        <f ca="1"/>
        <v>1636</v>
      </c>
      <c r="J1643">
        <f ca="1"/>
        <v>2.8536133270107289</v>
      </c>
      <c r="K1643">
        <f ca="1"/>
        <v>-4.4399295924930108E-3</v>
      </c>
    </row>
    <row r="1644" spans="7:11">
      <c r="G1644" s="20">
        <v>2.8553586562627231</v>
      </c>
      <c r="H1644" s="20">
        <v>4.26469695047366E-3</v>
      </c>
      <c r="I1644" s="2">
        <f ca="1"/>
        <v>1637</v>
      </c>
      <c r="J1644">
        <f ca="1"/>
        <v>2.8553586562627231</v>
      </c>
      <c r="K1644">
        <f ca="1"/>
        <v>-4.4127361657164306E-3</v>
      </c>
    </row>
    <row r="1645" spans="7:11">
      <c r="G1645" s="20">
        <v>2.8571039855147182</v>
      </c>
      <c r="H1645" s="20">
        <v>4.2570189685658365E-3</v>
      </c>
      <c r="I1645" s="2">
        <f ca="1"/>
        <v>1638</v>
      </c>
      <c r="J1645">
        <f ca="1"/>
        <v>2.8571039855147182</v>
      </c>
      <c r="K1645">
        <f ca="1"/>
        <v>-4.3857632959255549E-3</v>
      </c>
    </row>
    <row r="1646" spans="7:11">
      <c r="G1646" s="20">
        <v>2.8588493147667116</v>
      </c>
      <c r="H1646" s="20">
        <v>4.249387748528257E-3</v>
      </c>
      <c r="I1646" s="2">
        <f ca="1"/>
        <v>1639</v>
      </c>
      <c r="J1646">
        <f ca="1"/>
        <v>2.8588493147667116</v>
      </c>
      <c r="K1646">
        <f ca="1"/>
        <v>-4.3588024149428277E-3</v>
      </c>
    </row>
    <row r="1647" spans="7:11">
      <c r="G1647" s="20">
        <v>2.8605946440187058</v>
      </c>
      <c r="H1647" s="20">
        <v>4.2418038778489148E-3</v>
      </c>
      <c r="I1647" s="2">
        <f ca="1"/>
        <v>1640</v>
      </c>
      <c r="J1647">
        <f ca="1"/>
        <v>2.8605946440187058</v>
      </c>
      <c r="K1647">
        <f ca="1"/>
        <v>-4.3314985742570729E-3</v>
      </c>
    </row>
    <row r="1648" spans="7:11">
      <c r="G1648" s="20">
        <v>2.8623399732707</v>
      </c>
      <c r="H1648" s="20">
        <v>4.2342679661950128E-3</v>
      </c>
      <c r="I1648" s="2">
        <f ca="1"/>
        <v>1641</v>
      </c>
      <c r="J1648">
        <f ca="1"/>
        <v>2.8623399732707</v>
      </c>
      <c r="K1648">
        <f ca="1"/>
        <v>-4.3041193898829527E-3</v>
      </c>
    </row>
    <row r="1649" spans="7:11">
      <c r="G1649" s="20">
        <v>2.8640853025226942</v>
      </c>
      <c r="H1649" s="20">
        <v>4.2267796668984383E-3</v>
      </c>
      <c r="I1649" s="2">
        <f ca="1"/>
        <v>1642</v>
      </c>
      <c r="J1649">
        <f ca="1"/>
        <v>2.8640853025226942</v>
      </c>
      <c r="K1649">
        <f ca="1"/>
        <v>-4.2769846843041968E-3</v>
      </c>
    </row>
    <row r="1650" spans="7:11">
      <c r="G1650" s="20">
        <v>2.8658306317746893</v>
      </c>
      <c r="H1650" s="20">
        <v>4.2193384732353142E-3</v>
      </c>
      <c r="I1650" s="2">
        <f ca="1"/>
        <v>1643</v>
      </c>
      <c r="J1650">
        <f ca="1"/>
        <v>2.8658306317746893</v>
      </c>
      <c r="K1650">
        <f ca="1"/>
        <v>-4.2498074056513844E-3</v>
      </c>
    </row>
    <row r="1651" spans="7:11">
      <c r="G1651" s="20">
        <v>2.8675759610266836</v>
      </c>
      <c r="H1651" s="20">
        <v>4.2119450405375845E-3</v>
      </c>
      <c r="I1651" s="2">
        <f ca="1"/>
        <v>1644</v>
      </c>
      <c r="J1651">
        <f ca="1"/>
        <v>2.8675759610266836</v>
      </c>
      <c r="K1651">
        <f ca="1"/>
        <v>-4.2223819058035258E-3</v>
      </c>
    </row>
    <row r="1652" spans="7:11">
      <c r="G1652" s="20">
        <v>2.8693212902786778</v>
      </c>
      <c r="H1652" s="20">
        <v>4.2045995799287342E-3</v>
      </c>
      <c r="I1652" s="2">
        <f ca="1"/>
        <v>1645</v>
      </c>
      <c r="J1652">
        <f ca="1"/>
        <v>2.8693212902786778</v>
      </c>
      <c r="K1652">
        <f ca="1"/>
        <v>-4.195043905876372E-3</v>
      </c>
    </row>
    <row r="1653" spans="7:11">
      <c r="G1653" s="20">
        <v>2.871066619530672</v>
      </c>
      <c r="H1653" s="20">
        <v>4.1973015748529323E-3</v>
      </c>
      <c r="I1653" s="2">
        <f ca="1"/>
        <v>1646</v>
      </c>
      <c r="J1653">
        <f ca="1"/>
        <v>2.871066619530672</v>
      </c>
      <c r="K1653">
        <f ca="1"/>
        <v>-4.1677220015486557E-3</v>
      </c>
    </row>
    <row r="1654" spans="7:11">
      <c r="G1654" s="20">
        <v>2.8728119487826671</v>
      </c>
      <c r="H1654" s="20">
        <v>4.190051485681765E-3</v>
      </c>
      <c r="I1654" s="2">
        <f ca="1"/>
        <v>1647</v>
      </c>
      <c r="J1654">
        <f ca="1"/>
        <v>2.8728119487826671</v>
      </c>
      <c r="K1654">
        <f ca="1"/>
        <v>-4.1401698723696556E-3</v>
      </c>
    </row>
    <row r="1655" spans="7:11">
      <c r="G1655" s="20">
        <v>2.8745572780346604</v>
      </c>
      <c r="H1655" s="20">
        <v>4.1828496556799884E-3</v>
      </c>
      <c r="I1655" s="2">
        <f ca="1"/>
        <v>1648</v>
      </c>
      <c r="J1655">
        <f ca="1"/>
        <v>2.8745572780346604</v>
      </c>
      <c r="K1655">
        <f ca="1"/>
        <v>-4.1125699061371687E-3</v>
      </c>
    </row>
    <row r="1656" spans="7:11">
      <c r="G1656" s="20">
        <v>2.8763026072866555</v>
      </c>
      <c r="H1656" s="20">
        <v>4.1756959085656603E-3</v>
      </c>
      <c r="I1656" s="2">
        <f ca="1"/>
        <v>1649</v>
      </c>
      <c r="J1656">
        <f ca="1"/>
        <v>2.8763026072866555</v>
      </c>
      <c r="K1656">
        <f ca="1"/>
        <v>-4.0851369165669652E-3</v>
      </c>
    </row>
    <row r="1657" spans="7:11">
      <c r="G1657" s="20">
        <v>2.8780479365386493</v>
      </c>
      <c r="H1657" s="20">
        <v>4.168589837762215E-3</v>
      </c>
      <c r="I1657" s="2">
        <f ca="1"/>
        <v>1650</v>
      </c>
      <c r="J1657">
        <f ca="1"/>
        <v>2.8780479365386493</v>
      </c>
      <c r="K1657">
        <f ca="1"/>
        <v>-4.0576675781230668E-3</v>
      </c>
    </row>
    <row r="1658" spans="7:11">
      <c r="G1658" s="20">
        <v>2.8797932657906435</v>
      </c>
      <c r="H1658" s="20">
        <v>4.1615319767277286E-3</v>
      </c>
      <c r="I1658" s="2">
        <f ca="1"/>
        <v>1651</v>
      </c>
      <c r="J1658">
        <f ca="1"/>
        <v>2.8797932657906435</v>
      </c>
      <c r="K1658">
        <f ca="1"/>
        <v>-4.0300005917571482E-3</v>
      </c>
    </row>
    <row r="1659" spans="7:11">
      <c r="G1659" s="20">
        <v>2.8815385950426382</v>
      </c>
      <c r="H1659" s="20">
        <v>4.1545224819255176E-3</v>
      </c>
      <c r="I1659" s="2">
        <f ca="1"/>
        <v>1652</v>
      </c>
      <c r="J1659">
        <f ca="1"/>
        <v>2.8815385950426382</v>
      </c>
      <c r="K1659">
        <f ca="1"/>
        <v>-4.0023988708645913E-3</v>
      </c>
    </row>
    <row r="1660" spans="7:11">
      <c r="G1660" s="20">
        <v>2.883283924294632</v>
      </c>
      <c r="H1660" s="20">
        <v>4.1475609690727914E-3</v>
      </c>
      <c r="I1660" s="2">
        <f ca="1"/>
        <v>1653</v>
      </c>
      <c r="J1660">
        <f ca="1"/>
        <v>2.883283924294632</v>
      </c>
      <c r="K1660">
        <f ca="1"/>
        <v>-3.9748042178543034E-3</v>
      </c>
    </row>
    <row r="1661" spans="7:11">
      <c r="G1661" s="20">
        <v>2.8850292535466266</v>
      </c>
      <c r="H1661" s="20">
        <v>4.1406477977807754E-3</v>
      </c>
      <c r="I1661" s="2">
        <f ca="1"/>
        <v>1654</v>
      </c>
      <c r="J1661">
        <f ca="1"/>
        <v>2.8850292535466266</v>
      </c>
      <c r="K1661">
        <f ca="1"/>
        <v>-3.9470291122609752E-3</v>
      </c>
    </row>
    <row r="1662" spans="7:11">
      <c r="G1662" s="20">
        <v>2.8867745827986204</v>
      </c>
      <c r="H1662" s="20">
        <v>4.1337832383365877E-3</v>
      </c>
      <c r="I1662" s="2">
        <f ca="1"/>
        <v>1655</v>
      </c>
      <c r="J1662">
        <f ca="1"/>
        <v>2.8867745827986204</v>
      </c>
      <c r="K1662">
        <f ca="1"/>
        <v>-3.9192124545468186E-3</v>
      </c>
    </row>
    <row r="1663" spans="7:11">
      <c r="G1663" s="20">
        <v>2.8885199120506155</v>
      </c>
      <c r="H1663" s="20">
        <v>4.1269671654973724E-3</v>
      </c>
      <c r="I1663" s="2">
        <f ca="1"/>
        <v>1656</v>
      </c>
      <c r="J1663">
        <f ca="1"/>
        <v>2.8885199120506155</v>
      </c>
      <c r="K1663">
        <f ca="1"/>
        <v>-3.8915151284846889E-3</v>
      </c>
    </row>
    <row r="1664" spans="7:11">
      <c r="G1664" s="20">
        <v>2.8902652413026098</v>
      </c>
      <c r="H1664" s="20">
        <v>4.1201992879599395E-3</v>
      </c>
      <c r="I1664" s="2">
        <f ca="1"/>
        <v>1657</v>
      </c>
      <c r="J1664">
        <f ca="1"/>
        <v>2.8902652413026098</v>
      </c>
      <c r="K1664">
        <f ca="1"/>
        <v>-3.8638120230418565E-3</v>
      </c>
    </row>
    <row r="1665" spans="7:11">
      <c r="G1665" s="20">
        <v>2.892010570554604</v>
      </c>
      <c r="H1665" s="20">
        <v>4.1134799172013285E-3</v>
      </c>
      <c r="I1665" s="2">
        <f ca="1"/>
        <v>1658</v>
      </c>
      <c r="J1665">
        <f ca="1"/>
        <v>2.892010570554604</v>
      </c>
      <c r="K1665">
        <f ca="1"/>
        <v>-3.8359650042939031E-3</v>
      </c>
    </row>
    <row r="1666" spans="7:11">
      <c r="G1666" s="20">
        <v>2.8937558998065982</v>
      </c>
      <c r="H1666" s="20">
        <v>4.1068092440966989E-3</v>
      </c>
      <c r="I1666" s="2">
        <f ca="1"/>
        <v>1659</v>
      </c>
      <c r="J1666">
        <f ca="1"/>
        <v>2.8937558998065982</v>
      </c>
      <c r="K1666">
        <f ca="1"/>
        <v>-3.808094677619779E-3</v>
      </c>
    </row>
    <row r="1667" spans="7:11">
      <c r="G1667" s="20">
        <v>2.8955012290585929</v>
      </c>
      <c r="H1667" s="20">
        <v>4.1001871591309002E-3</v>
      </c>
      <c r="I1667" s="2">
        <f ca="1"/>
        <v>1660</v>
      </c>
      <c r="J1667">
        <f ca="1"/>
        <v>2.8955012290585929</v>
      </c>
      <c r="K1667">
        <f ca="1"/>
        <v>-3.7802153100967113E-3</v>
      </c>
    </row>
    <row r="1668" spans="7:11">
      <c r="G1668" s="20">
        <v>2.8972465583105871</v>
      </c>
      <c r="H1668" s="20">
        <v>4.0936138033776008E-3</v>
      </c>
      <c r="I1668" s="2">
        <f ca="1"/>
        <v>1661</v>
      </c>
      <c r="J1668">
        <f ca="1"/>
        <v>2.8972465583105871</v>
      </c>
      <c r="K1668">
        <f ca="1"/>
        <v>-3.7522512428882142E-3</v>
      </c>
    </row>
    <row r="1669" spans="7:11">
      <c r="G1669" s="20">
        <v>2.8989918875625813</v>
      </c>
      <c r="H1669" s="20">
        <v>4.0870893314208113E-3</v>
      </c>
      <c r="I1669" s="2">
        <f ca="1"/>
        <v>1662</v>
      </c>
      <c r="J1669">
        <f ca="1"/>
        <v>2.8989918875625813</v>
      </c>
      <c r="K1669">
        <f ca="1"/>
        <v>-3.7242499026958332E-3</v>
      </c>
    </row>
    <row r="1670" spans="7:11">
      <c r="G1670" s="20">
        <v>2.900737216814576</v>
      </c>
      <c r="H1670" s="20">
        <v>4.0806137187837759E-3</v>
      </c>
      <c r="I1670" s="2">
        <f ca="1"/>
        <v>1663</v>
      </c>
      <c r="J1670">
        <f ca="1"/>
        <v>2.900737216814576</v>
      </c>
      <c r="K1670">
        <f ca="1"/>
        <v>-3.6963116104402937E-3</v>
      </c>
    </row>
    <row r="1671" spans="7:11">
      <c r="G1671" s="20">
        <v>2.9024825460665693</v>
      </c>
      <c r="H1671" s="20">
        <v>4.0741867698644383E-3</v>
      </c>
      <c r="I1671" s="2">
        <f ca="1"/>
        <v>1664</v>
      </c>
      <c r="J1671">
        <f ca="1"/>
        <v>2.9024825460665693</v>
      </c>
      <c r="K1671">
        <f ca="1"/>
        <v>-3.6683638702686293E-3</v>
      </c>
    </row>
    <row r="1672" spans="7:11">
      <c r="G1672" s="20">
        <v>2.9042278753185644</v>
      </c>
      <c r="H1672" s="20">
        <v>4.0678087132442987E-3</v>
      </c>
      <c r="I1672" s="2">
        <f ca="1"/>
        <v>1665</v>
      </c>
      <c r="J1672">
        <f ca="1"/>
        <v>2.9042278753185644</v>
      </c>
      <c r="K1672">
        <f ca="1"/>
        <v>-3.6402872159329285E-3</v>
      </c>
    </row>
    <row r="1673" spans="7:11">
      <c r="G1673" s="20">
        <v>2.9059732045705586</v>
      </c>
      <c r="H1673" s="20">
        <v>4.0614797703371784E-3</v>
      </c>
      <c r="I1673" s="2">
        <f ca="1"/>
        <v>1666</v>
      </c>
      <c r="J1673">
        <f ca="1"/>
        <v>2.9059732045705586</v>
      </c>
      <c r="K1673">
        <f ca="1"/>
        <v>-3.6121726123556812E-3</v>
      </c>
    </row>
    <row r="1674" spans="7:11">
      <c r="G1674" s="20">
        <v>2.9077185338225529</v>
      </c>
      <c r="H1674" s="20">
        <v>4.0551998521971052E-3</v>
      </c>
      <c r="I1674" s="2">
        <f ca="1"/>
        <v>1667</v>
      </c>
      <c r="J1674">
        <f ca="1"/>
        <v>2.9077185338225529</v>
      </c>
      <c r="K1674">
        <f ca="1"/>
        <v>-3.5841186504188562E-3</v>
      </c>
    </row>
    <row r="1675" spans="7:11">
      <c r="G1675" s="20">
        <v>2.9094638630745475</v>
      </c>
      <c r="H1675" s="20">
        <v>4.0489688360907886E-3</v>
      </c>
      <c r="I1675" s="2">
        <f ca="1"/>
        <v>1668</v>
      </c>
      <c r="J1675">
        <f ca="1"/>
        <v>2.9094638630745475</v>
      </c>
      <c r="K1675">
        <f ca="1"/>
        <v>-3.5560413116175809E-3</v>
      </c>
    </row>
    <row r="1676" spans="7:11">
      <c r="G1676" s="20">
        <v>2.9112091923265422</v>
      </c>
      <c r="H1676" s="20">
        <v>4.0427869263521699E-3</v>
      </c>
      <c r="I1676" s="2">
        <f ca="1"/>
        <v>1669</v>
      </c>
      <c r="J1676">
        <f ca="1"/>
        <v>2.9112091923265422</v>
      </c>
      <c r="K1676">
        <f ca="1"/>
        <v>-3.5278769669588122E-3</v>
      </c>
    </row>
    <row r="1677" spans="7:11">
      <c r="G1677" s="20">
        <v>2.9129545215785364</v>
      </c>
      <c r="H1677" s="20">
        <v>4.0366542223550473E-3</v>
      </c>
      <c r="I1677" s="2">
        <f ca="1"/>
        <v>1670</v>
      </c>
      <c r="J1677">
        <f ca="1"/>
        <v>2.9129545215785364</v>
      </c>
      <c r="K1677">
        <f ca="1"/>
        <v>-3.4997143917328043E-3</v>
      </c>
    </row>
    <row r="1678" spans="7:11">
      <c r="G1678" s="20">
        <v>2.9146998508305306</v>
      </c>
      <c r="H1678" s="20">
        <v>4.0305706185491371E-3</v>
      </c>
      <c r="I1678" s="2">
        <f ca="1"/>
        <v>1671</v>
      </c>
      <c r="J1678">
        <f ca="1"/>
        <v>2.9146998508305306</v>
      </c>
      <c r="K1678">
        <f ca="1"/>
        <v>-3.4715416824828787E-3</v>
      </c>
    </row>
    <row r="1679" spans="7:11">
      <c r="G1679" s="20">
        <v>2.9164451800825248</v>
      </c>
      <c r="H1679" s="20">
        <v>4.0245362558591381E-3</v>
      </c>
      <c r="I1679" s="2">
        <f ca="1"/>
        <v>1672</v>
      </c>
      <c r="J1679">
        <f ca="1"/>
        <v>2.9164451800825248</v>
      </c>
      <c r="K1679">
        <f ca="1"/>
        <v>-3.4433036010694264E-3</v>
      </c>
    </row>
    <row r="1680" spans="7:11">
      <c r="G1680" s="20">
        <v>2.9181905093345191</v>
      </c>
      <c r="H1680" s="20">
        <v>4.0185512215522501E-3</v>
      </c>
      <c r="I1680" s="2">
        <f ca="1"/>
        <v>1673</v>
      </c>
      <c r="J1680">
        <f ca="1"/>
        <v>2.9181905093345191</v>
      </c>
      <c r="K1680">
        <f ca="1"/>
        <v>-3.4150417685517988E-3</v>
      </c>
    </row>
    <row r="1681" spans="7:11">
      <c r="G1681" s="20">
        <v>2.9199358385865133</v>
      </c>
      <c r="H1681" s="20">
        <v>4.0126155112682671E-3</v>
      </c>
      <c r="I1681" s="2">
        <f ca="1"/>
        <v>1674</v>
      </c>
      <c r="J1681">
        <f ca="1"/>
        <v>2.9199358385865133</v>
      </c>
      <c r="K1681">
        <f ca="1"/>
        <v>-3.3867936007150423E-3</v>
      </c>
    </row>
    <row r="1682" spans="7:11">
      <c r="G1682" s="20">
        <v>2.9216811678385071</v>
      </c>
      <c r="H1682" s="20">
        <v>4.006729081668662E-3</v>
      </c>
      <c r="I1682" s="2">
        <f ca="1"/>
        <v>1675</v>
      </c>
      <c r="J1682">
        <f ca="1"/>
        <v>2.9216811678385071</v>
      </c>
      <c r="K1682">
        <f ca="1"/>
        <v>-3.3585272165861835E-3</v>
      </c>
    </row>
    <row r="1683" spans="7:11">
      <c r="G1683" s="20">
        <v>2.9234264970905017</v>
      </c>
      <c r="H1683" s="20">
        <v>4.0008920396788139E-3</v>
      </c>
      <c r="I1683" s="2">
        <f ca="1"/>
        <v>1676</v>
      </c>
      <c r="J1683">
        <f ca="1"/>
        <v>2.9234264970905017</v>
      </c>
      <c r="K1683">
        <f ca="1"/>
        <v>-3.33021117344592E-3</v>
      </c>
    </row>
    <row r="1684" spans="7:11">
      <c r="G1684" s="20">
        <v>2.9251718263424968</v>
      </c>
      <c r="H1684" s="20">
        <v>3.9951044517159912E-3</v>
      </c>
      <c r="I1684" s="2">
        <f ca="1"/>
        <v>1677</v>
      </c>
      <c r="J1684">
        <f ca="1"/>
        <v>2.9251718263424968</v>
      </c>
      <c r="K1684">
        <f ca="1"/>
        <v>-3.3018799341954E-3</v>
      </c>
    </row>
    <row r="1685" spans="7:11">
      <c r="G1685" s="20">
        <v>2.9269171555944902</v>
      </c>
      <c r="H1685" s="20">
        <v>3.9893663044073659E-3</v>
      </c>
      <c r="I1685" s="2">
        <f ca="1"/>
        <v>1678</v>
      </c>
      <c r="J1685">
        <f ca="1"/>
        <v>2.9269171555944902</v>
      </c>
      <c r="K1685">
        <f ca="1"/>
        <v>-3.2735332280018582E-3</v>
      </c>
    </row>
    <row r="1686" spans="7:11">
      <c r="G1686" s="20">
        <v>2.9286624848464853</v>
      </c>
      <c r="H1686" s="20">
        <v>3.9836776651155778E-3</v>
      </c>
      <c r="I1686" s="2">
        <f ca="1"/>
        <v>1679</v>
      </c>
      <c r="J1686">
        <f ca="1"/>
        <v>2.9286624848464853</v>
      </c>
      <c r="K1686">
        <f ca="1"/>
        <v>-3.245158335633421E-3</v>
      </c>
    </row>
    <row r="1687" spans="7:11">
      <c r="G1687" s="20">
        <v>2.9304078140984791</v>
      </c>
      <c r="H1687" s="20">
        <v>3.9780385648662967E-3</v>
      </c>
      <c r="I1687" s="2">
        <f ca="1"/>
        <v>1680</v>
      </c>
      <c r="J1687">
        <f ca="1"/>
        <v>2.9304078140984791</v>
      </c>
      <c r="K1687">
        <f ca="1"/>
        <v>-3.2167654616935409E-3</v>
      </c>
    </row>
    <row r="1688" spans="7:11">
      <c r="G1688" s="20">
        <v>2.9321531433504737</v>
      </c>
      <c r="H1688" s="20">
        <v>3.9724490354013809E-3</v>
      </c>
      <c r="I1688" s="2">
        <f ca="1"/>
        <v>1681</v>
      </c>
      <c r="J1688">
        <f ca="1"/>
        <v>2.9321531433504737</v>
      </c>
      <c r="K1688">
        <f ca="1"/>
        <v>-3.1883531978572997E-3</v>
      </c>
    </row>
    <row r="1689" spans="7:11">
      <c r="G1689" s="20">
        <v>2.9338984726024679</v>
      </c>
      <c r="H1689" s="20">
        <v>3.9669091126624759E-3</v>
      </c>
      <c r="I1689" s="2">
        <f ca="1"/>
        <v>1682</v>
      </c>
      <c r="J1689">
        <f ca="1"/>
        <v>2.9338984726024679</v>
      </c>
      <c r="K1689">
        <f ca="1"/>
        <v>-3.1599220611674842E-3</v>
      </c>
    </row>
    <row r="1690" spans="7:11">
      <c r="G1690" s="20">
        <v>2.9356438018544622</v>
      </c>
      <c r="H1690" s="20">
        <v>3.9614188265866259E-3</v>
      </c>
      <c r="I1690" s="2">
        <f ca="1"/>
        <v>1683</v>
      </c>
      <c r="J1690">
        <f ca="1"/>
        <v>2.9356438018544622</v>
      </c>
      <c r="K1690">
        <f ca="1"/>
        <v>-3.1314726162669985E-3</v>
      </c>
    </row>
    <row r="1691" spans="7:11">
      <c r="G1691" s="20">
        <v>2.9373891311064564</v>
      </c>
      <c r="H1691" s="20">
        <v>3.9559782111444966E-3</v>
      </c>
      <c r="I1691" s="2">
        <f ca="1"/>
        <v>1684</v>
      </c>
      <c r="J1691">
        <f ca="1"/>
        <v>2.9373891311064564</v>
      </c>
      <c r="K1691">
        <f ca="1"/>
        <v>-3.1030048040650206E-3</v>
      </c>
    </row>
    <row r="1692" spans="7:11">
      <c r="G1692" s="20">
        <v>2.9391344603584506</v>
      </c>
      <c r="H1692" s="20">
        <v>3.9505872964793994E-3</v>
      </c>
      <c r="I1692" s="2">
        <f ca="1"/>
        <v>1685</v>
      </c>
      <c r="J1692">
        <f ca="1"/>
        <v>2.9391344603584506</v>
      </c>
      <c r="K1692">
        <f ca="1"/>
        <v>-3.074519868744846E-3</v>
      </c>
    </row>
    <row r="1693" spans="7:11">
      <c r="G1693" s="20">
        <v>2.9408797896104448</v>
      </c>
      <c r="H1693" s="20">
        <v>3.945246112218981E-3</v>
      </c>
      <c r="I1693" s="2">
        <f ca="1"/>
        <v>1686</v>
      </c>
      <c r="J1693">
        <f ca="1"/>
        <v>2.9408797896104448</v>
      </c>
      <c r="K1693">
        <f ca="1"/>
        <v>-3.0460297285352551E-3</v>
      </c>
    </row>
    <row r="1694" spans="7:11">
      <c r="G1694" s="20">
        <v>2.9426251188624395</v>
      </c>
      <c r="H1694" s="20">
        <v>3.9399546469040848E-3</v>
      </c>
      <c r="I1694" s="2">
        <f ca="1"/>
        <v>1687</v>
      </c>
      <c r="J1694">
        <f ca="1"/>
        <v>2.9426251188624395</v>
      </c>
      <c r="K1694">
        <f ca="1"/>
        <v>-3.0175279458525823E-3</v>
      </c>
    </row>
    <row r="1695" spans="7:11">
      <c r="G1695" s="20">
        <v>2.9443704481144342</v>
      </c>
      <c r="H1695" s="20">
        <v>3.9347129526337652E-3</v>
      </c>
      <c r="I1695" s="2">
        <f ca="1"/>
        <v>1688</v>
      </c>
      <c r="J1695">
        <f ca="1"/>
        <v>2.9443704481144342</v>
      </c>
      <c r="K1695">
        <f ca="1"/>
        <v>-2.9889804566574133E-3</v>
      </c>
    </row>
    <row r="1696" spans="7:11">
      <c r="G1696" s="20">
        <v>2.9461157773664279</v>
      </c>
      <c r="H1696" s="20">
        <v>3.9295211368547984E-3</v>
      </c>
      <c r="I1696" s="2">
        <f ca="1"/>
        <v>1689</v>
      </c>
      <c r="J1696">
        <f ca="1"/>
        <v>2.9461157773664279</v>
      </c>
      <c r="K1696">
        <f ca="1"/>
        <v>-2.9604118557353854E-3</v>
      </c>
    </row>
    <row r="1697" spans="7:11">
      <c r="G1697" s="20">
        <v>2.9478611066184226</v>
      </c>
      <c r="H1697" s="20">
        <v>3.9243791658142343E-3</v>
      </c>
      <c r="I1697" s="2">
        <f ca="1"/>
        <v>1690</v>
      </c>
      <c r="J1697">
        <f ca="1"/>
        <v>2.9478611066184226</v>
      </c>
      <c r="K1697">
        <f ca="1"/>
        <v>-2.9318700359468727E-3</v>
      </c>
    </row>
    <row r="1698" spans="7:11">
      <c r="G1698" s="20">
        <v>2.9496064358704168</v>
      </c>
      <c r="H1698" s="20">
        <v>3.9192869797812302E-3</v>
      </c>
      <c r="I1698" s="2">
        <f ca="1"/>
        <v>1691</v>
      </c>
      <c r="J1698">
        <f ca="1"/>
        <v>2.9496064358704168</v>
      </c>
      <c r="K1698">
        <f ca="1"/>
        <v>-2.9033204293412592E-3</v>
      </c>
    </row>
    <row r="1699" spans="7:11">
      <c r="G1699" s="20">
        <v>2.951351765122411</v>
      </c>
      <c r="H1699" s="20">
        <v>3.9142446656677508E-3</v>
      </c>
      <c r="I1699" s="2">
        <f ca="1"/>
        <v>1692</v>
      </c>
      <c r="J1699">
        <f ca="1"/>
        <v>2.951351765122411</v>
      </c>
      <c r="K1699">
        <f ca="1"/>
        <v>-2.8747060890775551E-3</v>
      </c>
    </row>
    <row r="1700" spans="7:11">
      <c r="G1700" s="20">
        <v>2.9530970943744062</v>
      </c>
      <c r="H1700" s="20">
        <v>3.9092523625249218E-3</v>
      </c>
      <c r="I1700" s="2">
        <f ca="1"/>
        <v>1693</v>
      </c>
      <c r="J1700">
        <f ca="1"/>
        <v>2.9530970943744062</v>
      </c>
      <c r="K1700">
        <f ca="1"/>
        <v>-2.8460851076968852E-3</v>
      </c>
    </row>
    <row r="1701" spans="7:11">
      <c r="G1701" s="20">
        <v>2.9548424236263999</v>
      </c>
      <c r="H1701" s="20">
        <v>3.9043099544834926E-3</v>
      </c>
      <c r="I1701" s="2">
        <f ca="1"/>
        <v>1694</v>
      </c>
      <c r="J1701">
        <f ca="1"/>
        <v>2.9548424236263999</v>
      </c>
      <c r="K1701">
        <f ca="1"/>
        <v>-2.8174936124827667E-3</v>
      </c>
    </row>
    <row r="1702" spans="7:11">
      <c r="G1702" s="20">
        <v>2.9565877528783941</v>
      </c>
      <c r="H1702" s="20">
        <v>3.8994174544865769E-3</v>
      </c>
      <c r="I1702" s="2">
        <f ca="1"/>
        <v>1695</v>
      </c>
      <c r="J1702">
        <f ca="1"/>
        <v>2.9565877528783941</v>
      </c>
      <c r="K1702">
        <f ca="1"/>
        <v>-2.7888492279752202E-3</v>
      </c>
    </row>
    <row r="1703" spans="7:11">
      <c r="G1703" s="20">
        <v>2.9583330821303884</v>
      </c>
      <c r="H1703" s="20">
        <v>3.8945750342095193E-3</v>
      </c>
      <c r="I1703" s="2">
        <f ca="1"/>
        <v>1696</v>
      </c>
      <c r="J1703">
        <f ca="1"/>
        <v>2.9583330821303884</v>
      </c>
      <c r="K1703">
        <f ca="1"/>
        <v>-2.7601802897179806E-3</v>
      </c>
    </row>
    <row r="1704" spans="7:11">
      <c r="G1704" s="20">
        <v>2.960078411382383</v>
      </c>
      <c r="H1704" s="20">
        <v>3.8897826076857303E-3</v>
      </c>
      <c r="I1704" s="2">
        <f ca="1"/>
        <v>1697</v>
      </c>
      <c r="J1704">
        <f ca="1"/>
        <v>2.960078411382383</v>
      </c>
      <c r="K1704">
        <f ca="1"/>
        <v>-2.7315625862193074E-3</v>
      </c>
    </row>
    <row r="1705" spans="7:11">
      <c r="G1705" s="20">
        <v>2.9618237406343768</v>
      </c>
      <c r="H1705" s="20">
        <v>3.8850400820387562E-3</v>
      </c>
      <c r="I1705" s="2">
        <f ca="1"/>
        <v>1698</v>
      </c>
      <c r="J1705">
        <f ca="1"/>
        <v>2.9618237406343768</v>
      </c>
      <c r="K1705">
        <f ca="1"/>
        <v>-2.7029413389309757E-3</v>
      </c>
    </row>
    <row r="1706" spans="7:11">
      <c r="G1706" s="20">
        <v>2.9635690698863715</v>
      </c>
      <c r="H1706" s="20">
        <v>3.880347562515209E-3</v>
      </c>
      <c r="I1706" s="2">
        <f ca="1"/>
        <v>1699</v>
      </c>
      <c r="J1706">
        <f ca="1"/>
        <v>2.9635690698863715</v>
      </c>
      <c r="K1706">
        <f ca="1"/>
        <v>-2.6742342790850027E-3</v>
      </c>
    </row>
    <row r="1707" spans="7:11">
      <c r="G1707" s="20">
        <v>2.9653143991383653</v>
      </c>
      <c r="H1707" s="20">
        <v>3.8757052434108107E-3</v>
      </c>
      <c r="I1707" s="2">
        <f ca="1"/>
        <v>1700</v>
      </c>
      <c r="J1707">
        <f ca="1"/>
        <v>2.9653143991383653</v>
      </c>
      <c r="K1707">
        <f ca="1"/>
        <v>-2.645524679987949E-3</v>
      </c>
    </row>
    <row r="1708" spans="7:11">
      <c r="G1708" s="20">
        <v>2.9670597283903604</v>
      </c>
      <c r="H1708" s="20">
        <v>3.8711129392934966E-3</v>
      </c>
      <c r="I1708" s="2">
        <f ca="1"/>
        <v>1701</v>
      </c>
      <c r="J1708">
        <f ca="1"/>
        <v>2.9670597283903604</v>
      </c>
      <c r="K1708">
        <f ca="1"/>
        <v>-2.6168690124751628E-3</v>
      </c>
    </row>
    <row r="1709" spans="7:11">
      <c r="G1709" s="20">
        <v>2.968805057642355</v>
      </c>
      <c r="H1709" s="20">
        <v>3.866570647338587E-3</v>
      </c>
      <c r="I1709" s="2">
        <f ca="1"/>
        <v>1702</v>
      </c>
      <c r="J1709">
        <f ca="1"/>
        <v>2.968805057642355</v>
      </c>
      <c r="K1709">
        <f ca="1"/>
        <v>-2.5881497110442136E-3</v>
      </c>
    </row>
    <row r="1710" spans="7:11">
      <c r="G1710" s="20">
        <v>2.9705503868943488</v>
      </c>
      <c r="H1710" s="20">
        <v>3.8620785924950449E-3</v>
      </c>
      <c r="I1710" s="2">
        <f ca="1"/>
        <v>1703</v>
      </c>
      <c r="J1710">
        <f ca="1"/>
        <v>2.9705503868943488</v>
      </c>
      <c r="K1710">
        <f ca="1"/>
        <v>-2.5594039879460336E-3</v>
      </c>
    </row>
    <row r="1711" spans="7:11">
      <c r="G1711" s="20">
        <v>2.9722957161463435</v>
      </c>
      <c r="H1711" s="20">
        <v>3.8576366420429212E-3</v>
      </c>
      <c r="I1711" s="2">
        <f ca="1"/>
        <v>1704</v>
      </c>
      <c r="J1711">
        <f ca="1"/>
        <v>2.9722957161463435</v>
      </c>
      <c r="K1711">
        <f ca="1"/>
        <v>-2.5307337677530385E-3</v>
      </c>
    </row>
    <row r="1712" spans="7:11">
      <c r="G1712" s="20">
        <v>2.9740410453983372</v>
      </c>
      <c r="H1712" s="20">
        <v>3.8532446651473071E-3</v>
      </c>
      <c r="I1712" s="2">
        <f ca="1"/>
        <v>1705</v>
      </c>
      <c r="J1712">
        <f ca="1"/>
        <v>2.9740410453983372</v>
      </c>
      <c r="K1712">
        <f ca="1"/>
        <v>-2.5020650198985107E-3</v>
      </c>
    </row>
    <row r="1713" spans="7:11">
      <c r="G1713" s="20">
        <v>2.9757863746503315</v>
      </c>
      <c r="H1713" s="20">
        <v>3.8489027875036816E-3</v>
      </c>
      <c r="I1713" s="2">
        <f ca="1"/>
        <v>1706</v>
      </c>
      <c r="J1713">
        <f ca="1"/>
        <v>2.9757863746503315</v>
      </c>
      <c r="K1713">
        <f ca="1"/>
        <v>-2.4732919378920265E-3</v>
      </c>
    </row>
    <row r="1714" spans="7:11">
      <c r="G1714" s="20">
        <v>2.9775317039023257</v>
      </c>
      <c r="H1714" s="20">
        <v>3.8446112476114582E-3</v>
      </c>
      <c r="I1714" s="2">
        <f ca="1"/>
        <v>1707</v>
      </c>
      <c r="J1714">
        <f ca="1"/>
        <v>2.9775317039023257</v>
      </c>
      <c r="K1714">
        <f ca="1"/>
        <v>-2.4444959648772212E-3</v>
      </c>
    </row>
    <row r="1715" spans="7:11">
      <c r="G1715" s="20">
        <v>2.9792770331543199</v>
      </c>
      <c r="H1715" s="20">
        <v>3.8403698868759175E-3</v>
      </c>
      <c r="I1715" s="2">
        <f ca="1"/>
        <v>1708</v>
      </c>
      <c r="J1715">
        <f ca="1"/>
        <v>2.9792770331543199</v>
      </c>
      <c r="K1715">
        <f ca="1"/>
        <v>-2.415766792047783E-3</v>
      </c>
    </row>
    <row r="1716" spans="7:11">
      <c r="G1716" s="20">
        <v>2.9810223624063141</v>
      </c>
      <c r="H1716" s="20">
        <v>3.8361786307151437E-3</v>
      </c>
      <c r="I1716" s="2">
        <f ca="1"/>
        <v>1709</v>
      </c>
      <c r="J1716">
        <f ca="1"/>
        <v>2.9810223624063141</v>
      </c>
      <c r="K1716">
        <f ca="1"/>
        <v>-2.3870267990884907E-3</v>
      </c>
    </row>
    <row r="1717" spans="7:11">
      <c r="G1717" s="20">
        <v>2.9827676916583092</v>
      </c>
      <c r="H1717" s="20">
        <v>3.8320375914804288E-3</v>
      </c>
      <c r="I1717" s="2">
        <f ca="1"/>
        <v>1710</v>
      </c>
      <c r="J1717">
        <f ca="1"/>
        <v>2.9827676916583092</v>
      </c>
      <c r="K1717">
        <f ca="1"/>
        <v>-2.3582688278399764E-3</v>
      </c>
    </row>
    <row r="1718" spans="7:11">
      <c r="G1718" s="20">
        <v>2.9845130209103035</v>
      </c>
      <c r="H1718" s="20">
        <v>3.8279467195765512E-3</v>
      </c>
      <c r="I1718" s="2">
        <f ca="1"/>
        <v>1711</v>
      </c>
      <c r="J1718">
        <f ca="1"/>
        <v>2.9845130209103035</v>
      </c>
      <c r="K1718">
        <f ca="1"/>
        <v>-2.3295594716705257E-3</v>
      </c>
    </row>
    <row r="1719" spans="7:11">
      <c r="G1719" s="20">
        <v>2.9862583501622977</v>
      </c>
      <c r="H1719" s="20">
        <v>3.8239058949000953E-3</v>
      </c>
      <c r="I1719" s="2">
        <f ca="1"/>
        <v>1712</v>
      </c>
      <c r="J1719">
        <f ca="1"/>
        <v>2.9862583501622977</v>
      </c>
      <c r="K1719">
        <f ca="1"/>
        <v>-2.3008585621620715E-3</v>
      </c>
    </row>
    <row r="1720" spans="7:11">
      <c r="G1720" s="20">
        <v>2.9880036794142928</v>
      </c>
      <c r="H1720" s="20">
        <v>3.8199152080700635E-3</v>
      </c>
      <c r="I1720" s="2">
        <f ca="1"/>
        <v>1713</v>
      </c>
      <c r="J1720">
        <f ca="1"/>
        <v>2.9880036794142928</v>
      </c>
      <c r="K1720">
        <f ca="1"/>
        <v>-2.2720508104384358E-3</v>
      </c>
    </row>
    <row r="1721" spans="7:11">
      <c r="G1721" s="20">
        <v>2.9897490086662861</v>
      </c>
      <c r="H1721" s="20">
        <v>3.8159749414171445E-3</v>
      </c>
      <c r="I1721" s="2">
        <f ca="1"/>
        <v>1714</v>
      </c>
      <c r="J1721">
        <f ca="1"/>
        <v>2.9897490086662861</v>
      </c>
      <c r="K1721">
        <f ca="1"/>
        <v>-2.243219639174043E-3</v>
      </c>
    </row>
    <row r="1722" spans="7:11">
      <c r="G1722" s="20">
        <v>2.9914943379182812</v>
      </c>
      <c r="H1722" s="20">
        <v>3.8120848943602667E-3</v>
      </c>
      <c r="I1722" s="2">
        <f ca="1"/>
        <v>1715</v>
      </c>
      <c r="J1722">
        <f ca="1"/>
        <v>2.9914943379182812</v>
      </c>
      <c r="K1722">
        <f ca="1"/>
        <v>-2.2144687472971211E-3</v>
      </c>
    </row>
    <row r="1723" spans="7:11">
      <c r="G1723" s="20">
        <v>2.9932396671702755</v>
      </c>
      <c r="H1723" s="20">
        <v>3.8082449872525732E-3</v>
      </c>
      <c r="I1723" s="2">
        <f ca="1"/>
        <v>1716</v>
      </c>
      <c r="J1723">
        <f ca="1"/>
        <v>2.9932396671702755</v>
      </c>
      <c r="K1723">
        <f ca="1"/>
        <v>-2.1857541484861668E-3</v>
      </c>
    </row>
    <row r="1724" spans="7:11">
      <c r="G1724" s="20">
        <v>2.9949849964222697</v>
      </c>
      <c r="H1724" s="20">
        <v>3.8044551730542255E-3</v>
      </c>
      <c r="I1724" s="2">
        <f ca="1"/>
        <v>1717</v>
      </c>
      <c r="J1724">
        <f ca="1"/>
        <v>2.9949849964222697</v>
      </c>
      <c r="K1724">
        <f ca="1"/>
        <v>-2.1570399189912164E-3</v>
      </c>
    </row>
    <row r="1725" spans="7:11">
      <c r="G1725" s="20">
        <v>2.9967303256742639</v>
      </c>
      <c r="H1725" s="20">
        <v>3.800715497515904E-3</v>
      </c>
      <c r="I1725" s="2">
        <f ca="1"/>
        <v>1718</v>
      </c>
      <c r="J1725">
        <f ca="1"/>
        <v>2.9967303256742639</v>
      </c>
      <c r="K1725">
        <f ca="1"/>
        <v>-2.128306499851428E-3</v>
      </c>
    </row>
    <row r="1726" spans="7:11">
      <c r="G1726" s="20">
        <v>2.9984756549262581</v>
      </c>
      <c r="H1726" s="20">
        <v>3.7970259818714252E-3</v>
      </c>
      <c r="I1726" s="2">
        <f ca="1"/>
        <v>1719</v>
      </c>
      <c r="J1726">
        <f ca="1"/>
        <v>2.9984756549262581</v>
      </c>
      <c r="K1726">
        <f ca="1"/>
        <v>-2.0995632601963151E-3</v>
      </c>
    </row>
    <row r="1727" spans="7:11">
      <c r="G1727" s="20">
        <v>3.0002209841782523</v>
      </c>
      <c r="H1727" s="20">
        <v>3.793386639167038E-3</v>
      </c>
      <c r="I1727" s="2">
        <f ca="1"/>
        <v>1720</v>
      </c>
      <c r="J1727">
        <f ca="1"/>
        <v>3.0002209841782523</v>
      </c>
      <c r="K1727">
        <f ca="1"/>
        <v>-2.0707110149565302E-3</v>
      </c>
    </row>
    <row r="1728" spans="7:11">
      <c r="G1728" s="20">
        <v>3.0019663134302466</v>
      </c>
      <c r="H1728" s="20">
        <v>3.7897978368577646E-3</v>
      </c>
      <c r="I1728" s="2">
        <f ca="1"/>
        <v>1721</v>
      </c>
      <c r="J1728">
        <f ca="1"/>
        <v>3.0019663134302466</v>
      </c>
      <c r="K1728">
        <f ca="1"/>
        <v>-2.0418415513974429E-3</v>
      </c>
    </row>
    <row r="1729" spans="7:11">
      <c r="G1729" s="20">
        <v>3.0037116426822417</v>
      </c>
      <c r="H1729" s="20">
        <v>3.7862592675918538E-3</v>
      </c>
      <c r="I1729" s="2">
        <f ca="1"/>
        <v>1722</v>
      </c>
      <c r="J1729">
        <f ca="1"/>
        <v>3.0037116426822417</v>
      </c>
      <c r="K1729">
        <f ca="1"/>
        <v>-2.0131468529586533E-3</v>
      </c>
    </row>
    <row r="1730" spans="7:11">
      <c r="G1730" s="20">
        <v>3.005456971934235</v>
      </c>
      <c r="H1730" s="20">
        <v>3.7827706286757069E-3</v>
      </c>
      <c r="I1730" s="2">
        <f ca="1"/>
        <v>1723</v>
      </c>
      <c r="J1730">
        <f ca="1"/>
        <v>3.005456971934235</v>
      </c>
      <c r="K1730">
        <f ca="1"/>
        <v>-1.9844718628477965E-3</v>
      </c>
    </row>
    <row r="1731" spans="7:11">
      <c r="G1731" s="20">
        <v>3.0072023011862301</v>
      </c>
      <c r="H1731" s="20">
        <v>3.7793321540078783E-3</v>
      </c>
      <c r="I1731" s="2">
        <f ca="1"/>
        <v>1724</v>
      </c>
      <c r="J1731">
        <f ca="1"/>
        <v>3.0072023011862301</v>
      </c>
      <c r="K1731">
        <f ca="1"/>
        <v>-1.9556456502623403E-3</v>
      </c>
    </row>
    <row r="1732" spans="7:11">
      <c r="G1732" s="20">
        <v>3.0089476304382239</v>
      </c>
      <c r="H1732" s="20">
        <v>3.7759441375558298E-3</v>
      </c>
      <c r="I1732" s="2">
        <f ca="1"/>
        <v>1725</v>
      </c>
      <c r="J1732">
        <f ca="1"/>
        <v>3.0089476304382239</v>
      </c>
      <c r="K1732">
        <f ca="1"/>
        <v>-1.9268306156324472E-3</v>
      </c>
    </row>
    <row r="1733" spans="7:11">
      <c r="G1733" s="20">
        <v>3.0106929596902186</v>
      </c>
      <c r="H1733" s="20">
        <v>3.7726062463336756E-3</v>
      </c>
      <c r="I1733" s="2">
        <f ca="1"/>
        <v>1726</v>
      </c>
      <c r="J1733">
        <f ca="1"/>
        <v>3.0106929596902186</v>
      </c>
      <c r="K1733">
        <f ca="1"/>
        <v>-1.8981314492942955E-3</v>
      </c>
    </row>
    <row r="1734" spans="7:11">
      <c r="G1734" s="20">
        <v>3.0124382889422128</v>
      </c>
      <c r="H1734" s="20">
        <v>3.769318408870662E-3</v>
      </c>
      <c r="I1734" s="2">
        <f ca="1"/>
        <v>1727</v>
      </c>
      <c r="J1734">
        <f ca="1"/>
        <v>3.0124382889422128</v>
      </c>
      <c r="K1734">
        <f ca="1"/>
        <v>-1.8693555818269135E-3</v>
      </c>
    </row>
    <row r="1735" spans="7:11">
      <c r="G1735" s="20">
        <v>3.014183618194207</v>
      </c>
      <c r="H1735" s="20">
        <v>3.7660809643749933E-3</v>
      </c>
      <c r="I1735" s="2">
        <f ca="1"/>
        <v>1728</v>
      </c>
      <c r="J1735">
        <f ca="1"/>
        <v>3.014183618194207</v>
      </c>
      <c r="K1735">
        <f ca="1"/>
        <v>-1.8405528232512626E-3</v>
      </c>
    </row>
    <row r="1736" spans="7:11">
      <c r="G1736" s="20">
        <v>3.0159289474462012</v>
      </c>
      <c r="H1736" s="20">
        <v>3.76289366750614E-3</v>
      </c>
      <c r="I1736" s="2">
        <f ca="1"/>
        <v>1729</v>
      </c>
      <c r="J1736">
        <f ca="1"/>
        <v>3.0159289474462012</v>
      </c>
      <c r="K1736">
        <f ca="1"/>
        <v>-1.8118808073631695E-3</v>
      </c>
    </row>
    <row r="1737" spans="7:11">
      <c r="G1737" s="20">
        <v>3.017674276698195</v>
      </c>
      <c r="H1737" s="20">
        <v>3.7597563072265584E-3</v>
      </c>
      <c r="I1737" s="2">
        <f ca="1"/>
        <v>1730</v>
      </c>
      <c r="J1737">
        <f ca="1"/>
        <v>3.017674276698195</v>
      </c>
      <c r="K1737">
        <f ca="1"/>
        <v>-1.7832244307643098E-3</v>
      </c>
    </row>
    <row r="1738" spans="7:11">
      <c r="G1738" s="20">
        <v>3.0194196059501901</v>
      </c>
      <c r="H1738" s="20">
        <v>3.7566690399823718E-3</v>
      </c>
      <c r="I1738" s="2">
        <f ca="1"/>
        <v>1731</v>
      </c>
      <c r="J1738">
        <f ca="1"/>
        <v>3.0194196059501901</v>
      </c>
      <c r="K1738">
        <f ca="1"/>
        <v>-1.7544310166968564E-3</v>
      </c>
    </row>
    <row r="1739" spans="7:11">
      <c r="G1739" s="20">
        <v>3.0211649352021843</v>
      </c>
      <c r="H1739" s="20">
        <v>3.7536321876784629E-3</v>
      </c>
      <c r="I1739" s="2">
        <f ca="1"/>
        <v>1732</v>
      </c>
      <c r="J1739">
        <f ca="1"/>
        <v>3.0211649352021843</v>
      </c>
      <c r="K1739">
        <f ca="1"/>
        <v>-1.7256190383596831E-3</v>
      </c>
    </row>
    <row r="1740" spans="7:11">
      <c r="G1740" s="20">
        <v>3.0229102644541785</v>
      </c>
      <c r="H1740" s="20">
        <v>3.7506454932114772E-3</v>
      </c>
      <c r="I1740" s="2">
        <f ca="1"/>
        <v>1733</v>
      </c>
      <c r="J1740">
        <f ca="1"/>
        <v>3.0229102644541785</v>
      </c>
      <c r="K1740">
        <f ca="1"/>
        <v>-1.6969195650792376E-3</v>
      </c>
    </row>
    <row r="1741" spans="7:11">
      <c r="G1741" s="20">
        <v>3.0246555937061728</v>
      </c>
      <c r="H1741" s="20">
        <v>3.7477088209680346E-3</v>
      </c>
      <c r="I1741" s="2">
        <f ca="1"/>
        <v>1734</v>
      </c>
      <c r="J1741">
        <f ca="1"/>
        <v>3.0246555937061728</v>
      </c>
      <c r="K1741">
        <f ca="1"/>
        <v>-1.6682734078565134E-3</v>
      </c>
    </row>
    <row r="1742" spans="7:11">
      <c r="G1742" s="20">
        <v>3.0264009229581674</v>
      </c>
      <c r="H1742" s="20">
        <v>3.7448221204533644E-3</v>
      </c>
      <c r="I1742" s="2">
        <f ca="1"/>
        <v>1735</v>
      </c>
      <c r="J1742">
        <f ca="1"/>
        <v>3.0264009229581674</v>
      </c>
      <c r="K1742">
        <f ca="1"/>
        <v>-1.6396325851939994E-3</v>
      </c>
    </row>
    <row r="1743" spans="7:11">
      <c r="G1743" s="20">
        <v>3.0281462522101616</v>
      </c>
      <c r="H1743" s="20">
        <v>3.7419854235411099E-3</v>
      </c>
      <c r="I1743" s="2">
        <f ca="1"/>
        <v>1736</v>
      </c>
      <c r="J1743">
        <f ca="1"/>
        <v>3.0281462522101616</v>
      </c>
      <c r="K1743">
        <f ca="1"/>
        <v>-1.6109781881272383E-3</v>
      </c>
    </row>
    <row r="1744" spans="7:11">
      <c r="G1744" s="20">
        <v>3.0298915814621563</v>
      </c>
      <c r="H1744" s="20">
        <v>3.7391987457412374E-3</v>
      </c>
      <c r="I1744" s="2">
        <f ca="1"/>
        <v>1737</v>
      </c>
      <c r="J1744">
        <f ca="1"/>
        <v>3.0298915814621563</v>
      </c>
      <c r="K1744">
        <f ca="1"/>
        <v>-1.5823203851489602E-3</v>
      </c>
    </row>
    <row r="1745" spans="7:11">
      <c r="G1745" s="20">
        <v>3.0316369107141505</v>
      </c>
      <c r="H1745" s="20">
        <v>3.7364620834326547E-3</v>
      </c>
      <c r="I1745" s="2">
        <f ca="1"/>
        <v>1738</v>
      </c>
      <c r="J1745">
        <f ca="1"/>
        <v>3.0316369107141505</v>
      </c>
      <c r="K1745">
        <f ca="1"/>
        <v>-1.5535482764949783E-3</v>
      </c>
    </row>
    <row r="1746" spans="7:11">
      <c r="G1746" s="20">
        <v>3.0333822399661448</v>
      </c>
      <c r="H1746" s="20">
        <v>3.7337758392385336E-3</v>
      </c>
      <c r="I1746" s="2">
        <f ca="1"/>
        <v>1739</v>
      </c>
      <c r="J1746">
        <f ca="1"/>
        <v>3.0333822399661448</v>
      </c>
      <c r="K1746">
        <f ca="1"/>
        <v>-1.5247651129905886E-3</v>
      </c>
    </row>
    <row r="1747" spans="7:11">
      <c r="G1747" s="20">
        <v>3.035127569218139</v>
      </c>
      <c r="H1747" s="20">
        <v>3.7311396491244092E-3</v>
      </c>
      <c r="I1747" s="2">
        <f ca="1"/>
        <v>1740</v>
      </c>
      <c r="J1747">
        <f ca="1"/>
        <v>3.035127569218139</v>
      </c>
      <c r="K1747">
        <f ca="1"/>
        <v>-1.4961333968330967E-3</v>
      </c>
    </row>
    <row r="1748" spans="7:11">
      <c r="G1748" s="20">
        <v>3.0368728984701332</v>
      </c>
      <c r="H1748" s="20">
        <v>3.7285533484737771E-3</v>
      </c>
      <c r="I1748" s="2">
        <f ca="1"/>
        <v>1741</v>
      </c>
      <c r="J1748">
        <f ca="1"/>
        <v>3.0368728984701332</v>
      </c>
      <c r="K1748">
        <f ca="1"/>
        <v>-1.4674989034213447E-3</v>
      </c>
    </row>
    <row r="1749" spans="7:11">
      <c r="G1749" s="20">
        <v>3.0386182277221274</v>
      </c>
      <c r="H1749" s="20">
        <v>3.7260171115975878E-3</v>
      </c>
      <c r="I1749" s="2">
        <f ca="1"/>
        <v>1742</v>
      </c>
      <c r="J1749">
        <f ca="1"/>
        <v>3.0386182277221274</v>
      </c>
      <c r="K1749">
        <f ca="1"/>
        <v>-1.4388508208324797E-3</v>
      </c>
    </row>
    <row r="1750" spans="7:11">
      <c r="G1750" s="20">
        <v>3.0403635569741221</v>
      </c>
      <c r="H1750" s="20">
        <v>3.7235308116200668E-3</v>
      </c>
      <c r="I1750" s="2">
        <f ca="1"/>
        <v>1743</v>
      </c>
      <c r="J1750">
        <f ca="1"/>
        <v>3.0403635569741221</v>
      </c>
      <c r="K1750">
        <f ca="1"/>
        <v>-1.4102883538334872E-3</v>
      </c>
    </row>
    <row r="1751" spans="7:11">
      <c r="G1751" s="20">
        <v>3.0421088862261167</v>
      </c>
      <c r="H1751" s="20">
        <v>3.7210942765622018E-3</v>
      </c>
      <c r="I1751" s="2">
        <f ca="1"/>
        <v>1744</v>
      </c>
      <c r="J1751">
        <f ca="1"/>
        <v>3.0421088862261167</v>
      </c>
      <c r="K1751">
        <f ca="1"/>
        <v>-1.3817498119271735E-3</v>
      </c>
    </row>
    <row r="1752" spans="7:11">
      <c r="G1752" s="20">
        <v>3.043854215478111</v>
      </c>
      <c r="H1752" s="20">
        <v>3.7187075948886782E-3</v>
      </c>
      <c r="I1752" s="2">
        <f ca="1"/>
        <v>1745</v>
      </c>
      <c r="J1752">
        <f ca="1"/>
        <v>3.043854215478111</v>
      </c>
      <c r="K1752">
        <f ca="1"/>
        <v>-1.3530912998625405E-3</v>
      </c>
    </row>
    <row r="1753" spans="7:11">
      <c r="G1753" s="20">
        <v>3.0455995447301052</v>
      </c>
      <c r="H1753" s="20">
        <v>3.7163710969096639E-3</v>
      </c>
      <c r="I1753" s="2">
        <f ca="1"/>
        <v>1746</v>
      </c>
      <c r="J1753">
        <f ca="1"/>
        <v>3.0455995447301052</v>
      </c>
      <c r="K1753">
        <f ca="1"/>
        <v>-1.3244187981189756E-3</v>
      </c>
    </row>
    <row r="1754" spans="7:11">
      <c r="G1754" s="20">
        <v>3.0473448739820999</v>
      </c>
      <c r="H1754" s="20">
        <v>3.7140845011481814E-3</v>
      </c>
      <c r="I1754" s="2">
        <f ca="1"/>
        <v>1747</v>
      </c>
      <c r="J1754">
        <f ca="1"/>
        <v>3.0473448739820999</v>
      </c>
      <c r="K1754">
        <f ca="1"/>
        <v>-1.2959165049603101E-3</v>
      </c>
    </row>
    <row r="1755" spans="7:11">
      <c r="G1755" s="20">
        <v>3.0490902032340936</v>
      </c>
      <c r="H1755" s="20">
        <v>3.7118474949411652E-3</v>
      </c>
      <c r="I1755" s="2">
        <f ca="1"/>
        <v>1748</v>
      </c>
      <c r="J1755">
        <f ca="1"/>
        <v>3.0490902032340936</v>
      </c>
      <c r="K1755">
        <f ca="1"/>
        <v>-1.2674472696615059E-3</v>
      </c>
    </row>
    <row r="1756" spans="7:11">
      <c r="G1756" s="20">
        <v>3.0508355324860883</v>
      </c>
      <c r="H1756" s="20">
        <v>3.7096602755579806E-3</v>
      </c>
      <c r="I1756" s="2">
        <f ca="1"/>
        <v>1749</v>
      </c>
      <c r="J1756">
        <f ca="1"/>
        <v>3.0508355324860883</v>
      </c>
      <c r="K1756">
        <f ca="1"/>
        <v>-1.2388354473103647E-3</v>
      </c>
    </row>
    <row r="1757" spans="7:11">
      <c r="G1757" s="20">
        <v>3.0525808617380821</v>
      </c>
      <c r="H1757" s="20">
        <v>3.7075231434519689E-3</v>
      </c>
      <c r="I1757" s="2">
        <f ca="1"/>
        <v>1750</v>
      </c>
      <c r="J1757">
        <f ca="1"/>
        <v>3.0525808617380821</v>
      </c>
      <c r="K1757">
        <f ca="1"/>
        <v>-1.2102450288565643E-3</v>
      </c>
    </row>
    <row r="1758" spans="7:11">
      <c r="G1758" s="20">
        <v>3.0543261909900763</v>
      </c>
      <c r="H1758" s="20">
        <v>3.7054357234560932E-3</v>
      </c>
      <c r="I1758" s="2">
        <f ca="1"/>
        <v>1751</v>
      </c>
      <c r="J1758">
        <f ca="1"/>
        <v>3.0543261909900763</v>
      </c>
      <c r="K1758">
        <f ca="1"/>
        <v>-1.1817878841336503E-3</v>
      </c>
    </row>
    <row r="1759" spans="7:11">
      <c r="G1759" s="20">
        <v>3.0560715202420714</v>
      </c>
      <c r="H1759" s="20">
        <v>3.7033979255243063E-3</v>
      </c>
      <c r="I1759" s="2">
        <f ca="1"/>
        <v>1752</v>
      </c>
      <c r="J1759">
        <f ca="1"/>
        <v>3.0560715202420714</v>
      </c>
      <c r="K1759">
        <f ca="1"/>
        <v>-1.1533400363183109E-3</v>
      </c>
    </row>
    <row r="1760" spans="7:11">
      <c r="G1760" s="20">
        <v>3.0578168494940647</v>
      </c>
      <c r="H1760" s="20">
        <v>3.7014098072503283E-3</v>
      </c>
      <c r="I1760" s="2">
        <f ca="1"/>
        <v>1753</v>
      </c>
      <c r="J1760">
        <f ca="1"/>
        <v>3.0578168494940647</v>
      </c>
      <c r="K1760">
        <f ca="1"/>
        <v>-1.1248883623922966E-3</v>
      </c>
    </row>
    <row r="1761" spans="7:11">
      <c r="G1761" s="20">
        <v>3.0595621787460598</v>
      </c>
      <c r="H1761" s="20">
        <v>3.699471324396084E-3</v>
      </c>
      <c r="I1761" s="2">
        <f ca="1"/>
        <v>1754</v>
      </c>
      <c r="J1761">
        <f ca="1"/>
        <v>3.0595621787460598</v>
      </c>
      <c r="K1761">
        <f ca="1"/>
        <v>-1.0964466025412108E-3</v>
      </c>
    </row>
    <row r="1762" spans="7:11">
      <c r="G1762" s="20">
        <v>3.0613075079980536</v>
      </c>
      <c r="H1762" s="20">
        <v>3.6975824865929981E-3</v>
      </c>
      <c r="I1762" s="2">
        <f ca="1"/>
        <v>1755</v>
      </c>
      <c r="J1762">
        <f ca="1"/>
        <v>3.0613075079980536</v>
      </c>
      <c r="K1762">
        <f ca="1"/>
        <v>-1.0680120336774243E-3</v>
      </c>
    </row>
    <row r="1763" spans="7:11">
      <c r="G1763" s="20">
        <v>3.0630528372500483</v>
      </c>
      <c r="H1763" s="20">
        <v>3.6957432591083659E-3</v>
      </c>
      <c r="I1763" s="2">
        <f ca="1"/>
        <v>1756</v>
      </c>
      <c r="J1763">
        <f ca="1"/>
        <v>3.0630528372500483</v>
      </c>
      <c r="K1763">
        <f ca="1"/>
        <v>-1.0394783749455997E-3</v>
      </c>
    </row>
    <row r="1764" spans="7:11">
      <c r="G1764" s="20">
        <v>3.0647981665020425</v>
      </c>
      <c r="H1764" s="20">
        <v>3.6939540225637817E-3</v>
      </c>
      <c r="I1764" s="2">
        <f ca="1"/>
        <v>1757</v>
      </c>
      <c r="J1764">
        <f ca="1"/>
        <v>3.0647981665020425</v>
      </c>
      <c r="K1764">
        <f ca="1"/>
        <v>-1.0109442582621219E-3</v>
      </c>
    </row>
    <row r="1765" spans="7:11">
      <c r="G1765" s="20">
        <v>3.0665434957540367</v>
      </c>
      <c r="H1765" s="20">
        <v>3.6922143979362049E-3</v>
      </c>
      <c r="I1765" s="2">
        <f ca="1"/>
        <v>1758</v>
      </c>
      <c r="J1765">
        <f ca="1"/>
        <v>3.0665434957540367</v>
      </c>
      <c r="K1765">
        <f ca="1"/>
        <v>-9.8257112876063519E-4</v>
      </c>
    </row>
    <row r="1766" spans="7:11">
      <c r="G1766" s="20">
        <v>3.068288825006031</v>
      </c>
      <c r="H1766" s="20">
        <v>3.6905242022973999E-3</v>
      </c>
      <c r="I1766" s="2">
        <f ca="1"/>
        <v>1759</v>
      </c>
      <c r="J1766">
        <f ca="1"/>
        <v>3.068288825006031</v>
      </c>
      <c r="K1766">
        <f ca="1"/>
        <v>-9.5420388861386189E-4</v>
      </c>
    </row>
    <row r="1767" spans="7:11">
      <c r="G1767" s="20">
        <v>3.0700341542580261</v>
      </c>
      <c r="H1767" s="20">
        <v>3.6888835980178752E-3</v>
      </c>
      <c r="I1767" s="2">
        <f ca="1"/>
        <v>1760</v>
      </c>
      <c r="J1767">
        <f ca="1"/>
        <v>3.0700341542580261</v>
      </c>
      <c r="K1767">
        <f ca="1"/>
        <v>-9.2583048007398956E-4</v>
      </c>
    </row>
    <row r="1768" spans="7:11">
      <c r="G1768" s="20">
        <v>3.0717794835100198</v>
      </c>
      <c r="H1768" s="20">
        <v>3.6872924442588775E-3</v>
      </c>
      <c r="I1768" s="2">
        <f ca="1"/>
        <v>1761</v>
      </c>
      <c r="J1768">
        <f ca="1"/>
        <v>3.0717794835100198</v>
      </c>
      <c r="K1768">
        <f ca="1"/>
        <v>-8.9754521980860342E-4</v>
      </c>
    </row>
    <row r="1769" spans="7:11">
      <c r="G1769" s="20">
        <v>3.0735248127620141</v>
      </c>
      <c r="H1769" s="20">
        <v>3.6857505741636366E-3</v>
      </c>
      <c r="I1769" s="2">
        <f ca="1"/>
        <v>1762</v>
      </c>
      <c r="J1769">
        <f ca="1"/>
        <v>3.0735248127620141</v>
      </c>
      <c r="K1769">
        <f ca="1"/>
        <v>-8.6928947361398004E-4</v>
      </c>
    </row>
    <row r="1770" spans="7:11">
      <c r="G1770" s="20">
        <v>3.0752701420140087</v>
      </c>
      <c r="H1770" s="20">
        <v>3.6842580515653789E-3</v>
      </c>
      <c r="I1770" s="2">
        <f ca="1"/>
        <v>1763</v>
      </c>
      <c r="J1770">
        <f ca="1"/>
        <v>3.0752701420140087</v>
      </c>
      <c r="K1770">
        <f ca="1"/>
        <v>-8.4093610660664845E-4</v>
      </c>
    </row>
    <row r="1771" spans="7:11">
      <c r="G1771" s="20">
        <v>3.0770154712660025</v>
      </c>
      <c r="H1771" s="20">
        <v>3.6828151533917991E-3</v>
      </c>
      <c r="I1771" s="2">
        <f ca="1"/>
        <v>1764</v>
      </c>
      <c r="J1771">
        <f ca="1"/>
        <v>3.0770154712660025</v>
      </c>
      <c r="K1771">
        <f ca="1"/>
        <v>-8.1257947813133803E-4</v>
      </c>
    </row>
    <row r="1772" spans="7:11">
      <c r="G1772" s="20">
        <v>3.0787608005179972</v>
      </c>
      <c r="H1772" s="20">
        <v>3.6814216140998732E-3</v>
      </c>
      <c r="I1772" s="2">
        <f ca="1"/>
        <v>1765</v>
      </c>
      <c r="J1772">
        <f ca="1"/>
        <v>3.0787608005179972</v>
      </c>
      <c r="K1772">
        <f ca="1"/>
        <v>-7.8433698134306427E-4</v>
      </c>
    </row>
    <row r="1773" spans="7:11">
      <c r="G1773" s="20">
        <v>3.0805061297699914</v>
      </c>
      <c r="H1773" s="20">
        <v>3.680077300837881E-3</v>
      </c>
      <c r="I1773" s="2">
        <f ca="1"/>
        <v>1766</v>
      </c>
      <c r="J1773">
        <f ca="1"/>
        <v>3.0805061297699914</v>
      </c>
      <c r="K1773">
        <f ca="1"/>
        <v>-7.5610753370976486E-4</v>
      </c>
    </row>
    <row r="1774" spans="7:11">
      <c r="G1774" s="20">
        <v>3.0822514590219856</v>
      </c>
      <c r="H1774" s="20">
        <v>3.6787823009073995E-3</v>
      </c>
      <c r="I1774" s="2">
        <f ca="1"/>
        <v>1767</v>
      </c>
      <c r="J1774">
        <f ca="1"/>
        <v>3.0822514590219856</v>
      </c>
      <c r="K1774">
        <f ca="1"/>
        <v>-7.2788392454785291E-4</v>
      </c>
    </row>
    <row r="1775" spans="7:11">
      <c r="G1775" s="20">
        <v>3.0839967882739807</v>
      </c>
      <c r="H1775" s="20">
        <v>3.6775365066267409E-3</v>
      </c>
      <c r="I1775" s="2">
        <f ca="1"/>
        <v>1768</v>
      </c>
      <c r="J1775">
        <f ca="1"/>
        <v>3.0839967882739807</v>
      </c>
      <c r="K1775">
        <f ca="1"/>
        <v>-6.9973883518968866E-4</v>
      </c>
    </row>
    <row r="1776" spans="7:11">
      <c r="G1776" s="20">
        <v>3.0857421175259749</v>
      </c>
      <c r="H1776" s="20">
        <v>3.676339751591773E-3</v>
      </c>
      <c r="I1776" s="2">
        <f ca="1"/>
        <v>1769</v>
      </c>
      <c r="J1776">
        <f ca="1"/>
        <v>3.0857421175259749</v>
      </c>
      <c r="K1776">
        <f ca="1"/>
        <v>-6.7162769004895249E-4</v>
      </c>
    </row>
    <row r="1777" spans="7:11">
      <c r="G1777" s="20">
        <v>3.0874874467779692</v>
      </c>
      <c r="H1777" s="20">
        <v>3.6751920837189574E-3</v>
      </c>
      <c r="I1777" s="2">
        <f ca="1"/>
        <v>1770</v>
      </c>
      <c r="J1777">
        <f ca="1"/>
        <v>3.0874874467779692</v>
      </c>
      <c r="K1777">
        <f ca="1"/>
        <v>-6.4343354243232996E-4</v>
      </c>
    </row>
    <row r="1778" spans="7:11">
      <c r="G1778" s="20">
        <v>3.0892327760299634</v>
      </c>
      <c r="H1778" s="20">
        <v>3.6740937448251302E-3</v>
      </c>
      <c r="I1778" s="2">
        <f ca="1"/>
        <v>1771</v>
      </c>
      <c r="J1778">
        <f ca="1"/>
        <v>3.0892327760299634</v>
      </c>
      <c r="K1778">
        <f ca="1"/>
        <v>-6.1524111336506689E-4</v>
      </c>
    </row>
    <row r="1779" spans="7:11">
      <c r="G1779" s="20">
        <v>3.0909781052819576</v>
      </c>
      <c r="H1779" s="20">
        <v>3.6730444870945863E-3</v>
      </c>
      <c r="I1779" s="2">
        <f ca="1"/>
        <v>1772</v>
      </c>
      <c r="J1779">
        <f ca="1"/>
        <v>3.0909781052819576</v>
      </c>
      <c r="K1779">
        <f ca="1"/>
        <v>-5.8719589025881935E-4</v>
      </c>
    </row>
    <row r="1780" spans="7:11">
      <c r="G1780" s="20">
        <v>3.0927234345339514</v>
      </c>
      <c r="H1780" s="20">
        <v>3.6720440444972914E-3</v>
      </c>
      <c r="I1780" s="2">
        <f ca="1"/>
        <v>1773</v>
      </c>
      <c r="J1780">
        <f ca="1"/>
        <v>3.0927234345339514</v>
      </c>
      <c r="K1780">
        <f ca="1"/>
        <v>-5.5918969972000739E-4</v>
      </c>
    </row>
    <row r="1781" spans="7:11">
      <c r="G1781" s="20">
        <v>3.0944687637859465</v>
      </c>
      <c r="H1781" s="20">
        <v>3.6710925468139157E-3</v>
      </c>
      <c r="I1781" s="2">
        <f ca="1"/>
        <v>1774</v>
      </c>
      <c r="J1781">
        <f ca="1"/>
        <v>3.0944687637859465</v>
      </c>
      <c r="K1781">
        <f ca="1"/>
        <v>-5.3108904314552437E-4</v>
      </c>
    </row>
    <row r="1782" spans="7:11">
      <c r="G1782" s="20">
        <v>3.0962140930379398</v>
      </c>
      <c r="H1782" s="20">
        <v>3.6701901940124604E-3</v>
      </c>
      <c r="I1782" s="2">
        <f ca="1"/>
        <v>1775</v>
      </c>
      <c r="J1782">
        <f ca="1"/>
        <v>3.0962140930379398</v>
      </c>
      <c r="K1782">
        <f ca="1"/>
        <v>-5.030174607457595E-4</v>
      </c>
    </row>
    <row r="1783" spans="7:11">
      <c r="G1783" s="20">
        <v>3.0979594222899349</v>
      </c>
      <c r="H1783" s="20">
        <v>3.6693366846369088E-3</v>
      </c>
      <c r="I1783" s="2">
        <f ca="1"/>
        <v>1776</v>
      </c>
      <c r="J1783">
        <f ca="1"/>
        <v>3.0979594222899349</v>
      </c>
      <c r="K1783">
        <f ca="1"/>
        <v>-4.7505971293870352E-4</v>
      </c>
    </row>
    <row r="1784" spans="7:11">
      <c r="G1784" s="20">
        <v>3.0997047515419296</v>
      </c>
      <c r="H1784" s="20">
        <v>3.668531922785588E-3</v>
      </c>
      <c r="I1784" s="2">
        <f ca="1"/>
        <v>1777</v>
      </c>
      <c r="J1784">
        <f ca="1"/>
        <v>3.0997047515419296</v>
      </c>
      <c r="K1784">
        <f ca="1"/>
        <v>-4.4706885474685902E-4</v>
      </c>
    </row>
    <row r="1785" spans="7:11">
      <c r="G1785" s="20">
        <v>3.1014500807939234</v>
      </c>
      <c r="H1785" s="20">
        <v>3.6677761199372183E-3</v>
      </c>
      <c r="I1785" s="2">
        <f ca="1"/>
        <v>1778</v>
      </c>
      <c r="J1785">
        <f ca="1"/>
        <v>3.1014500807939234</v>
      </c>
      <c r="K1785">
        <f ca="1"/>
        <v>-4.1908015992451911E-4</v>
      </c>
    </row>
    <row r="1786" spans="7:11">
      <c r="G1786" s="20">
        <v>3.103195410045918</v>
      </c>
      <c r="H1786" s="20">
        <v>3.6670690570614946E-3</v>
      </c>
      <c r="I1786" s="2">
        <f ca="1"/>
        <v>1779</v>
      </c>
      <c r="J1786">
        <f ca="1"/>
        <v>3.103195410045918</v>
      </c>
      <c r="K1786">
        <f ca="1"/>
        <v>-3.9120631572375954E-4</v>
      </c>
    </row>
    <row r="1787" spans="7:11">
      <c r="G1787" s="20">
        <v>3.1049407392979118</v>
      </c>
      <c r="H1787" s="20">
        <v>3.6664105522844232E-3</v>
      </c>
      <c r="I1787" s="2">
        <f ca="1"/>
        <v>1780</v>
      </c>
      <c r="J1787">
        <f ca="1"/>
        <v>3.1049407392979118</v>
      </c>
      <c r="K1787">
        <f ca="1"/>
        <v>-3.633656492051633E-4</v>
      </c>
    </row>
    <row r="1788" spans="7:11">
      <c r="G1788" s="20">
        <v>3.1066860685499069</v>
      </c>
      <c r="H1788" s="20">
        <v>3.6658006716680392E-3</v>
      </c>
      <c r="I1788" s="2">
        <f ca="1"/>
        <v>1781</v>
      </c>
      <c r="J1788">
        <f ca="1"/>
        <v>3.1066860685499069</v>
      </c>
      <c r="K1788">
        <f ca="1"/>
        <v>-3.3545932327671852E-4</v>
      </c>
    </row>
    <row r="1789" spans="7:11">
      <c r="G1789" s="20">
        <v>3.1084313978019011</v>
      </c>
      <c r="H1789" s="20">
        <v>3.6652395783448848E-3</v>
      </c>
      <c r="I1789" s="2">
        <f ca="1"/>
        <v>1782</v>
      </c>
      <c r="J1789">
        <f ca="1"/>
        <v>3.1084313978019011</v>
      </c>
      <c r="K1789">
        <f ca="1"/>
        <v>-3.0756477769915434E-4</v>
      </c>
    </row>
    <row r="1790" spans="7:11">
      <c r="G1790" s="20">
        <v>3.1101767270538954</v>
      </c>
      <c r="H1790" s="20">
        <v>3.6647270680612363E-3</v>
      </c>
      <c r="I1790" s="2">
        <f ca="1"/>
        <v>1783</v>
      </c>
      <c r="J1790">
        <f ca="1"/>
        <v>3.1101767270538954</v>
      </c>
      <c r="K1790">
        <f ca="1"/>
        <v>-2.7976605395604252E-4</v>
      </c>
    </row>
    <row r="1791" spans="7:11">
      <c r="G1791" s="20">
        <v>3.1119220563058896</v>
      </c>
      <c r="H1791" s="20">
        <v>3.6642630105895159E-3</v>
      </c>
      <c r="I1791" s="2">
        <f ca="1"/>
        <v>1784</v>
      </c>
      <c r="J1791">
        <f ca="1"/>
        <v>3.1119220563058896</v>
      </c>
      <c r="K1791">
        <f ca="1"/>
        <v>-2.5199204153774642E-4</v>
      </c>
    </row>
    <row r="1792" spans="7:11">
      <c r="G1792" s="20">
        <v>3.1136673855578838</v>
      </c>
      <c r="H1792" s="20">
        <v>3.6638474498985052E-3</v>
      </c>
      <c r="I1792" s="2">
        <f ca="1"/>
        <v>1785</v>
      </c>
      <c r="J1792">
        <f ca="1"/>
        <v>3.1136673855578838</v>
      </c>
      <c r="K1792">
        <f ca="1"/>
        <v>-2.2423421335480178E-4</v>
      </c>
    </row>
    <row r="1793" spans="7:11">
      <c r="G1793" s="20">
        <v>3.115412714809878</v>
      </c>
      <c r="H1793" s="20">
        <v>3.6634802855257838E-3</v>
      </c>
      <c r="I1793" s="2">
        <f ca="1"/>
        <v>1786</v>
      </c>
      <c r="J1793">
        <f ca="1"/>
        <v>3.115412714809878</v>
      </c>
      <c r="K1793">
        <f ca="1"/>
        <v>-1.965420954648726E-4</v>
      </c>
    </row>
    <row r="1794" spans="7:11">
      <c r="G1794" s="20">
        <v>3.1171580440618722</v>
      </c>
      <c r="H1794" s="20">
        <v>3.663161388561579E-3</v>
      </c>
      <c r="I1794" s="2">
        <f ca="1"/>
        <v>1787</v>
      </c>
      <c r="J1794">
        <f ca="1"/>
        <v>3.1171580440618722</v>
      </c>
      <c r="K1794">
        <f ca="1"/>
        <v>-1.68885981753811E-4</v>
      </c>
    </row>
    <row r="1795" spans="7:11">
      <c r="G1795" s="20">
        <v>3.1189033733138674</v>
      </c>
      <c r="H1795" s="20">
        <v>3.6628907622373703E-3</v>
      </c>
      <c r="I1795" s="2">
        <f ca="1"/>
        <v>1788</v>
      </c>
      <c r="J1795">
        <f ca="1"/>
        <v>3.1189033733138674</v>
      </c>
      <c r="K1795">
        <f ca="1"/>
        <v>-1.4119528203648211E-4</v>
      </c>
    </row>
    <row r="1796" spans="7:11">
      <c r="G1796" s="20">
        <v>3.1206487025658607</v>
      </c>
      <c r="H1796" s="20">
        <v>3.6626685240496153E-3</v>
      </c>
      <c r="I1796" s="2">
        <f ca="1"/>
        <v>1789</v>
      </c>
      <c r="J1796">
        <f ca="1"/>
        <v>3.1206487025658607</v>
      </c>
      <c r="K1796">
        <f ca="1"/>
        <v>-1.1352166111913501E-4</v>
      </c>
    </row>
    <row r="1797" spans="7:11">
      <c r="G1797" s="20">
        <v>3.1223940318178558</v>
      </c>
      <c r="H1797" s="20">
        <v>3.6624944968855979E-3</v>
      </c>
      <c r="I1797" s="2">
        <f ca="1"/>
        <v>1790</v>
      </c>
      <c r="J1797">
        <f ca="1"/>
        <v>3.1223940318178558</v>
      </c>
      <c r="K1797">
        <f ca="1"/>
        <v>-8.5929330693972474E-5</v>
      </c>
    </row>
    <row r="1798" spans="7:11">
      <c r="G1798" s="20">
        <v>3.12413936106985</v>
      </c>
      <c r="H1798" s="20">
        <v>3.6623685741006863E-3</v>
      </c>
      <c r="I1798" s="2">
        <f ca="1"/>
        <v>1791</v>
      </c>
      <c r="J1798">
        <f ca="1"/>
        <v>3.12413936106985</v>
      </c>
      <c r="K1798">
        <f ca="1"/>
        <v>-5.8364579124868089E-5</v>
      </c>
    </row>
    <row r="1799" spans="7:11">
      <c r="G1799" s="20">
        <v>3.1258846903218442</v>
      </c>
      <c r="H1799" s="20">
        <v>3.6622907660711439E-3</v>
      </c>
      <c r="I1799" s="2">
        <f ca="1"/>
        <v>1792</v>
      </c>
      <c r="J1799">
        <f ca="1"/>
        <v>3.1258846903218442</v>
      </c>
      <c r="K1799">
        <f ca="1"/>
        <v>-3.0822687378297318E-5</v>
      </c>
    </row>
    <row r="1800" spans="7:11">
      <c r="G1800" s="20">
        <v>3.1276300195738385</v>
      </c>
      <c r="H1800" s="20">
        <v>3.6622609826248735E-3</v>
      </c>
      <c r="I1800" s="2">
        <f ca="1"/>
        <v>1793</v>
      </c>
      <c r="J1800">
        <f ca="1"/>
        <v>3.1276300195738385</v>
      </c>
      <c r="K1800">
        <f ca="1"/>
        <v>-3.3376981549300652E-6</v>
      </c>
    </row>
    <row r="1801" spans="7:11">
      <c r="G1801" s="20">
        <v>3.1293753488258327</v>
      </c>
      <c r="H1801" s="20">
        <v>3.6622791153066957E-3</v>
      </c>
      <c r="I1801" s="2">
        <f ca="1"/>
        <v>1794</v>
      </c>
      <c r="J1801">
        <f ca="1"/>
        <v>3.1293753488258327</v>
      </c>
      <c r="K1801">
        <f ca="1"/>
        <v>2.4110945477729743E-5</v>
      </c>
    </row>
    <row r="1802" spans="7:11">
      <c r="G1802" s="20">
        <v>3.1311206780778269</v>
      </c>
      <c r="H1802" s="20">
        <v>3.6623451457017445E-3</v>
      </c>
      <c r="I1802" s="2">
        <f ca="1"/>
        <v>1795</v>
      </c>
      <c r="J1802">
        <f ca="1"/>
        <v>3.1311206780778269</v>
      </c>
      <c r="K1802">
        <f ca="1"/>
        <v>5.1570602925476841E-5</v>
      </c>
    </row>
    <row r="1803" spans="7:11">
      <c r="G1803" s="20">
        <v>3.1328660073298211</v>
      </c>
      <c r="H1803" s="20">
        <v>3.6624591306703533E-3</v>
      </c>
      <c r="I1803" s="2">
        <f ca="1"/>
        <v>1796</v>
      </c>
      <c r="J1803">
        <f ca="1"/>
        <v>3.1328660073298211</v>
      </c>
      <c r="K1803">
        <f ca="1"/>
        <v>7.9006448537578846E-5</v>
      </c>
    </row>
    <row r="1804" spans="7:11">
      <c r="G1804" s="20">
        <v>3.1346113365818162</v>
      </c>
      <c r="H1804" s="20">
        <v>3.6626209302332022E-3</v>
      </c>
      <c r="I1804" s="2">
        <f ca="1"/>
        <v>1797</v>
      </c>
      <c r="J1804">
        <f ca="1"/>
        <v>3.1346113365818162</v>
      </c>
      <c r="K1804">
        <f ca="1"/>
        <v>1.0636246286456965E-4</v>
      </c>
    </row>
    <row r="1805" spans="7:11">
      <c r="G1805" s="20">
        <v>3.1363566658338096</v>
      </c>
      <c r="H1805" s="20">
        <v>3.6628304057058567E-3</v>
      </c>
      <c r="I1805" s="2">
        <f ca="1"/>
        <v>1798</v>
      </c>
      <c r="J1805">
        <f ca="1"/>
        <v>3.1363566658338096</v>
      </c>
      <c r="K1805">
        <f ca="1"/>
        <v>1.3367989436885227E-4</v>
      </c>
    </row>
    <row r="1806" spans="7:11">
      <c r="G1806" s="20">
        <v>3.1381019950858047</v>
      </c>
      <c r="H1806" s="20">
        <v>3.6630875610932931E-3</v>
      </c>
      <c r="I1806" s="2">
        <f ca="1"/>
        <v>1799</v>
      </c>
      <c r="J1806">
        <f ca="1"/>
        <v>3.1381019950858047</v>
      </c>
      <c r="K1806">
        <f ca="1"/>
        <v>1.6100165917734994E-4</v>
      </c>
    </row>
    <row r="1807" spans="7:11">
      <c r="G1807" s="20">
        <v>3.1398473243377985</v>
      </c>
      <c r="H1807" s="20">
        <v>3.6633924075166204E-3</v>
      </c>
      <c r="I1807" s="2">
        <f ca="1"/>
        <v>1800</v>
      </c>
      <c r="J1807">
        <f ca="1"/>
        <v>3.1398473243377985</v>
      </c>
      <c r="K1807">
        <f ca="1"/>
        <v>1.8828944529874887E-4</v>
      </c>
    </row>
    <row r="1808" spans="7:11">
      <c r="G1808" s="20">
        <v>3.1415926535897931</v>
      </c>
      <c r="H1808" s="20">
        <v>3.6637448152467365E-3</v>
      </c>
      <c r="I1808" s="2">
        <f ca="1"/>
        <v>1801</v>
      </c>
      <c r="J1808">
        <f ca="1"/>
        <v>3.1415926535897931</v>
      </c>
      <c r="K1808">
        <f ca="1"/>
        <v>2.15516947605924E-4</v>
      </c>
    </row>
    <row r="1809" spans="7:11">
      <c r="G1809" s="20">
        <v>3.1433379828417882</v>
      </c>
      <c r="H1809" s="20">
        <v>3.6641447035825349E-3</v>
      </c>
      <c r="I1809" s="2">
        <f ca="1"/>
        <v>1802</v>
      </c>
      <c r="J1809">
        <f ca="1"/>
        <v>3.1433379828417882</v>
      </c>
      <c r="K1809">
        <f ca="1"/>
        <v>2.4272087115626437E-4</v>
      </c>
    </row>
    <row r="1810" spans="7:11">
      <c r="G1810" s="20">
        <v>3.1450833120937816</v>
      </c>
      <c r="H1810" s="20">
        <v>3.6645920709197336E-3</v>
      </c>
      <c r="I1810" s="2">
        <f ca="1"/>
        <v>1803</v>
      </c>
      <c r="J1810">
        <f ca="1"/>
        <v>3.1450833120937816</v>
      </c>
      <c r="K1810">
        <f ca="1"/>
        <v>2.6989618833218854E-4</v>
      </c>
    </row>
    <row r="1811" spans="7:11">
      <c r="G1811" s="20">
        <v>3.1468286413457767</v>
      </c>
      <c r="H1811" s="20">
        <v>3.6650868190075308E-3</v>
      </c>
      <c r="I1811" s="2">
        <f ca="1"/>
        <v>1804</v>
      </c>
      <c r="J1811">
        <f ca="1"/>
        <v>3.1468286413457767</v>
      </c>
      <c r="K1811">
        <f ca="1"/>
        <v>2.9702116367267401E-4</v>
      </c>
    </row>
    <row r="1812" spans="7:11">
      <c r="G1812" s="20">
        <v>3.1485739705977704</v>
      </c>
      <c r="H1812" s="20">
        <v>3.6656288703705723E-3</v>
      </c>
      <c r="I1812" s="2">
        <f ca="1"/>
        <v>1805</v>
      </c>
      <c r="J1812">
        <f ca="1"/>
        <v>3.1485739705977704</v>
      </c>
      <c r="K1812">
        <f ca="1"/>
        <v>3.2411038432775957E-4</v>
      </c>
    </row>
    <row r="1813" spans="7:11">
      <c r="G1813" s="20">
        <v>3.1503192998497647</v>
      </c>
      <c r="H1813" s="20">
        <v>3.6662181776768153E-3</v>
      </c>
      <c r="I1813" s="2">
        <f ca="1"/>
        <v>1806</v>
      </c>
      <c r="J1813">
        <f ca="1"/>
        <v>3.1503192998497647</v>
      </c>
      <c r="K1813">
        <f ca="1"/>
        <v>3.5117059318159481E-4</v>
      </c>
    </row>
    <row r="1814" spans="7:11">
      <c r="G1814" s="20">
        <v>3.1520646291017589</v>
      </c>
      <c r="H1814" s="20">
        <v>3.6668546869880123E-3</v>
      </c>
      <c r="I1814" s="2">
        <f ca="1"/>
        <v>1807</v>
      </c>
      <c r="J1814">
        <f ca="1"/>
        <v>3.1520646291017589</v>
      </c>
      <c r="K1814">
        <f ca="1"/>
        <v>3.7819513598617437E-4</v>
      </c>
    </row>
    <row r="1815" spans="7:11">
      <c r="G1815" s="20">
        <v>3.1538099583537531</v>
      </c>
      <c r="H1815" s="20">
        <v>3.6675383277444125E-3</v>
      </c>
      <c r="I1815" s="2">
        <f ca="1"/>
        <v>1808</v>
      </c>
      <c r="J1815">
        <f ca="1"/>
        <v>3.1538099583537531</v>
      </c>
      <c r="K1815">
        <f ca="1"/>
        <v>4.0517915418774876E-4</v>
      </c>
    </row>
    <row r="1816" spans="7:11">
      <c r="G1816" s="20">
        <v>3.1555552876057473</v>
      </c>
      <c r="H1816" s="20">
        <v>3.6682690290482166E-3</v>
      </c>
      <c r="I1816" s="2">
        <f ca="1"/>
        <v>1809</v>
      </c>
      <c r="J1816">
        <f ca="1"/>
        <v>3.1555552876057473</v>
      </c>
      <c r="K1816">
        <f ca="1"/>
        <v>4.3212402164052416E-4</v>
      </c>
    </row>
    <row r="1817" spans="7:11">
      <c r="G1817" s="20">
        <v>3.157300616857742</v>
      </c>
      <c r="H1817" s="20">
        <v>3.6690467251353298E-3</v>
      </c>
      <c r="I1817" s="2">
        <f ca="1"/>
        <v>1810</v>
      </c>
      <c r="J1817">
        <f ca="1"/>
        <v>3.157300616857742</v>
      </c>
      <c r="K1817">
        <f ca="1"/>
        <v>4.5903191976978013E-4</v>
      </c>
    </row>
    <row r="1818" spans="7:11">
      <c r="G1818" s="20">
        <v>3.1590459461097362</v>
      </c>
      <c r="H1818" s="20">
        <v>3.6698713527225633E-3</v>
      </c>
      <c r="I1818" s="2">
        <f ca="1"/>
        <v>1811</v>
      </c>
      <c r="J1818">
        <f ca="1"/>
        <v>3.1590459461097362</v>
      </c>
      <c r="K1818">
        <f ca="1"/>
        <v>4.8590968173666611E-4</v>
      </c>
    </row>
    <row r="1819" spans="7:11">
      <c r="G1819" s="20">
        <v>3.1607912753617309</v>
      </c>
      <c r="H1819" s="20">
        <v>3.6707428698980545E-3</v>
      </c>
      <c r="I1819" s="2">
        <f ca="1"/>
        <v>1812</v>
      </c>
      <c r="J1819">
        <f ca="1"/>
        <v>3.1607912753617309</v>
      </c>
      <c r="K1819">
        <f ca="1"/>
        <v>5.1275229797877241E-4</v>
      </c>
    </row>
    <row r="1820" spans="7:11">
      <c r="G1820" s="20">
        <v>3.1625366046137255</v>
      </c>
      <c r="H1820" s="20">
        <v>3.671661195891943E-3</v>
      </c>
      <c r="I1820" s="2">
        <f ca="1"/>
        <v>1813</v>
      </c>
      <c r="J1820">
        <f ca="1"/>
        <v>3.1625366046137255</v>
      </c>
      <c r="K1820">
        <f ca="1"/>
        <v>5.3953506209544375E-4</v>
      </c>
    </row>
    <row r="1821" spans="7:11">
      <c r="G1821" s="20">
        <v>3.1642819338657193</v>
      </c>
      <c r="H1821" s="20">
        <v>3.6726262025507579E-3</v>
      </c>
      <c r="I1821" s="2">
        <f ca="1"/>
        <v>1814</v>
      </c>
      <c r="J1821">
        <f ca="1"/>
        <v>3.1642819338657193</v>
      </c>
      <c r="K1821">
        <f ca="1"/>
        <v>5.6627490023639896E-4</v>
      </c>
    </row>
    <row r="1822" spans="7:11">
      <c r="G1822" s="20">
        <v>3.166027263117714</v>
      </c>
      <c r="H1822" s="20">
        <v>3.6736378681880484E-3</v>
      </c>
      <c r="I1822" s="2">
        <f ca="1"/>
        <v>1815</v>
      </c>
      <c r="J1822">
        <f ca="1"/>
        <v>3.166027263117714</v>
      </c>
      <c r="K1822">
        <f ca="1"/>
        <v>5.9299354622104712E-4</v>
      </c>
    </row>
    <row r="1823" spans="7:11">
      <c r="G1823" s="20">
        <v>3.1677725923697082</v>
      </c>
      <c r="H1823" s="20">
        <v>3.6746961405156849E-3</v>
      </c>
      <c r="I1823" s="2">
        <f ca="1"/>
        <v>1816</v>
      </c>
      <c r="J1823">
        <f ca="1"/>
        <v>3.1677725923697082</v>
      </c>
      <c r="K1823">
        <f ca="1"/>
        <v>6.196686769659916E-4</v>
      </c>
    </row>
    <row r="1824" spans="7:11">
      <c r="G1824" s="20">
        <v>3.169517921621702</v>
      </c>
      <c r="H1824" s="20">
        <v>3.6758009199249547E-3</v>
      </c>
      <c r="I1824" s="2">
        <f ca="1"/>
        <v>1817</v>
      </c>
      <c r="J1824">
        <f ca="1"/>
        <v>3.169517921621702</v>
      </c>
      <c r="K1824">
        <f ca="1"/>
        <v>6.4630088830064424E-4</v>
      </c>
    </row>
    <row r="1825" spans="7:11">
      <c r="G1825" s="20">
        <v>3.1712632508736971</v>
      </c>
      <c r="H1825" s="20">
        <v>3.6769521562075671E-3</v>
      </c>
      <c r="I1825" s="2">
        <f ca="1"/>
        <v>1818</v>
      </c>
      <c r="J1825">
        <f ca="1"/>
        <v>3.1712632508736971</v>
      </c>
      <c r="K1825">
        <f ca="1"/>
        <v>6.7291559571184493E-4</v>
      </c>
    </row>
    <row r="1826" spans="7:11">
      <c r="G1826" s="20">
        <v>3.1730085801256913</v>
      </c>
      <c r="H1826" s="20">
        <v>3.6781498384715933E-3</v>
      </c>
      <c r="I1826" s="2">
        <f ca="1"/>
        <v>1819</v>
      </c>
      <c r="J1826">
        <f ca="1"/>
        <v>3.1730085801256913</v>
      </c>
      <c r="K1826">
        <f ca="1"/>
        <v>6.9949629160787215E-4</v>
      </c>
    </row>
    <row r="1827" spans="7:11">
      <c r="G1827" s="20">
        <v>3.1747539093776855</v>
      </c>
      <c r="H1827" s="20">
        <v>3.6793938588863765E-3</v>
      </c>
      <c r="I1827" s="2">
        <f ca="1"/>
        <v>1820</v>
      </c>
      <c r="J1827">
        <f ca="1"/>
        <v>3.1747539093776855</v>
      </c>
      <c r="K1827">
        <f ca="1"/>
        <v>7.2598582068901692E-4</v>
      </c>
    </row>
    <row r="1828" spans="7:11">
      <c r="G1828" s="20">
        <v>3.1764992386296798</v>
      </c>
      <c r="H1828" s="20">
        <v>3.6806840070503564E-3</v>
      </c>
      <c r="I1828" s="2">
        <f ca="1"/>
        <v>1821</v>
      </c>
      <c r="J1828">
        <f ca="1"/>
        <v>3.1764992386296798</v>
      </c>
      <c r="K1828">
        <f ca="1"/>
        <v>7.5242437763581955E-4</v>
      </c>
    </row>
    <row r="1829" spans="7:11">
      <c r="G1829" s="20">
        <v>3.1782445678816744</v>
      </c>
      <c r="H1829" s="20">
        <v>3.6820203154387795E-3</v>
      </c>
      <c r="I1829" s="2">
        <f ca="1"/>
        <v>1822</v>
      </c>
      <c r="J1829">
        <f ca="1"/>
        <v>3.1782445678816744</v>
      </c>
      <c r="K1829">
        <f ca="1"/>
        <v>7.7888921180564578E-4</v>
      </c>
    </row>
    <row r="1830" spans="7:11">
      <c r="G1830" s="20">
        <v>3.1799898971336682</v>
      </c>
      <c r="H1830" s="20">
        <v>3.6834028433012107E-3</v>
      </c>
      <c r="I1830" s="2">
        <f ca="1"/>
        <v>1823</v>
      </c>
      <c r="J1830">
        <f ca="1"/>
        <v>3.1799898971336682</v>
      </c>
      <c r="K1830">
        <f ca="1"/>
        <v>8.0532182523174753E-4</v>
      </c>
    </row>
    <row r="1831" spans="7:11">
      <c r="G1831" s="20">
        <v>3.1817352263856629</v>
      </c>
      <c r="H1831" s="20">
        <v>3.6848314189164722E-3</v>
      </c>
      <c r="I1831" s="2">
        <f ca="1"/>
        <v>1824</v>
      </c>
      <c r="J1831">
        <f ca="1"/>
        <v>3.1817352263856629</v>
      </c>
      <c r="K1831">
        <f ca="1"/>
        <v>8.3163292065638697E-4</v>
      </c>
    </row>
    <row r="1832" spans="7:11">
      <c r="G1832" s="20">
        <v>3.1834805556376566</v>
      </c>
      <c r="H1832" s="20">
        <v>3.6863057898278966E-3</v>
      </c>
      <c r="I1832" s="2">
        <f ca="1"/>
        <v>1825</v>
      </c>
      <c r="J1832">
        <f ca="1"/>
        <v>3.1834805556376566</v>
      </c>
      <c r="K1832">
        <f ca="1"/>
        <v>8.5790767049020978E-4</v>
      </c>
    </row>
    <row r="1833" spans="7:11">
      <c r="G1833" s="20">
        <v>3.1852258848896517</v>
      </c>
      <c r="H1833" s="20">
        <v>3.6878260816221062E-3</v>
      </c>
      <c r="I1833" s="2">
        <f ca="1"/>
        <v>1826</v>
      </c>
      <c r="J1833">
        <f ca="1"/>
        <v>3.1852258848896517</v>
      </c>
      <c r="K1833">
        <f ca="1"/>
        <v>8.8420500603221552E-4</v>
      </c>
    </row>
    <row r="1834" spans="7:11">
      <c r="G1834" s="20">
        <v>3.186971214141646</v>
      </c>
      <c r="H1834" s="20">
        <v>3.6893922475514729E-3</v>
      </c>
      <c r="I1834" s="2">
        <f ca="1"/>
        <v>1827</v>
      </c>
      <c r="J1834">
        <f ca="1"/>
        <v>3.186971214141646</v>
      </c>
      <c r="K1834">
        <f ca="1"/>
        <v>9.1040438919813538E-4</v>
      </c>
    </row>
    <row r="1835" spans="7:11">
      <c r="G1835" s="20">
        <v>3.1887165433936402</v>
      </c>
      <c r="H1835" s="20">
        <v>3.691003992445329E-3</v>
      </c>
      <c r="I1835" s="2">
        <f ca="1"/>
        <v>1828</v>
      </c>
      <c r="J1835">
        <f ca="1"/>
        <v>3.1887165433936402</v>
      </c>
      <c r="K1835">
        <f ca="1"/>
        <v>9.3654260383320095E-4</v>
      </c>
    </row>
    <row r="1836" spans="7:11">
      <c r="G1836" s="20">
        <v>3.1904618726456344</v>
      </c>
      <c r="H1836" s="20">
        <v>3.6926613979558908E-3</v>
      </c>
      <c r="I1836" s="2">
        <f ca="1"/>
        <v>1829</v>
      </c>
      <c r="J1836">
        <f ca="1"/>
        <v>3.1904618726456344</v>
      </c>
      <c r="K1836">
        <f ca="1"/>
        <v>9.6272563041649038E-4</v>
      </c>
    </row>
    <row r="1837" spans="7:11">
      <c r="G1837" s="20">
        <v>3.1922072018976282</v>
      </c>
      <c r="H1837" s="20">
        <v>3.6943645388541496E-3</v>
      </c>
      <c r="I1837" s="2">
        <f ca="1"/>
        <v>1830</v>
      </c>
      <c r="J1837">
        <f ca="1"/>
        <v>3.1922072018976282</v>
      </c>
      <c r="K1837">
        <f ca="1"/>
        <v>9.8887388059051796E-4</v>
      </c>
    </row>
    <row r="1838" spans="7:11">
      <c r="G1838" s="20">
        <v>3.1939525311496229</v>
      </c>
      <c r="H1838" s="20">
        <v>3.6961132189765461E-3</v>
      </c>
      <c r="I1838" s="2">
        <f ca="1"/>
        <v>1831</v>
      </c>
      <c r="J1838">
        <f ca="1"/>
        <v>3.1939525311496229</v>
      </c>
      <c r="K1838">
        <f ca="1"/>
        <v>1.014867298844789E-3</v>
      </c>
    </row>
    <row r="1839" spans="7:11">
      <c r="G1839" s="20">
        <v>3.1956978604016171</v>
      </c>
      <c r="H1839" s="20">
        <v>3.6979070940212824E-3</v>
      </c>
      <c r="I1839" s="2">
        <f ca="1"/>
        <v>1832</v>
      </c>
      <c r="J1839">
        <f ca="1"/>
        <v>3.1956978604016171</v>
      </c>
      <c r="K1839">
        <f ca="1"/>
        <v>1.0407968780052662E-3</v>
      </c>
    </row>
    <row r="1840" spans="7:11">
      <c r="G1840" s="20">
        <v>3.1974431896536113</v>
      </c>
      <c r="H1840" s="20">
        <v>3.6997462854496798E-3</v>
      </c>
      <c r="I1840" s="2">
        <f ca="1"/>
        <v>1833</v>
      </c>
      <c r="J1840">
        <f ca="1"/>
        <v>3.1974431896536113</v>
      </c>
      <c r="K1840">
        <f ca="1"/>
        <v>1.0667667930071715E-3</v>
      </c>
    </row>
    <row r="1841" spans="7:11">
      <c r="G1841" s="20">
        <v>3.1991885189056055</v>
      </c>
      <c r="H1841" s="20">
        <v>3.7016308125990653E-3</v>
      </c>
      <c r="I1841" s="2">
        <f ca="1"/>
        <v>1834</v>
      </c>
      <c r="J1841">
        <f ca="1"/>
        <v>3.1991885189056055</v>
      </c>
      <c r="K1841">
        <f ca="1"/>
        <v>1.0926825909466805E-3</v>
      </c>
    </row>
    <row r="1842" spans="7:11">
      <c r="G1842" s="20">
        <v>3.2009338481576006</v>
      </c>
      <c r="H1842" s="20">
        <v>3.7035604672279289E-3</v>
      </c>
      <c r="I1842" s="2">
        <f ca="1"/>
        <v>1835</v>
      </c>
      <c r="J1842">
        <f ca="1"/>
        <v>3.2009338481576006</v>
      </c>
      <c r="K1842">
        <f ca="1"/>
        <v>1.11853746984848E-3</v>
      </c>
    </row>
    <row r="1843" spans="7:11">
      <c r="G1843" s="20">
        <v>3.2026791774095948</v>
      </c>
      <c r="H1843" s="20">
        <v>3.7055352449302226E-3</v>
      </c>
      <c r="I1843" s="2">
        <f ca="1"/>
        <v>1836</v>
      </c>
      <c r="J1843">
        <f ca="1"/>
        <v>3.2026791774095948</v>
      </c>
      <c r="K1843">
        <f ca="1"/>
        <v>1.1444140004995629E-3</v>
      </c>
    </row>
    <row r="1844" spans="7:11">
      <c r="G1844" s="20">
        <v>3.2044245066615891</v>
      </c>
      <c r="H1844" s="20">
        <v>3.7075552256908562E-3</v>
      </c>
      <c r="I1844" s="2">
        <f ca="1"/>
        <v>1837</v>
      </c>
      <c r="J1844">
        <f ca="1"/>
        <v>3.2044245066615891</v>
      </c>
      <c r="K1844">
        <f ca="1"/>
        <v>1.1702605049626268E-3</v>
      </c>
    </row>
    <row r="1845" spans="7:11">
      <c r="G1845" s="20">
        <v>3.2061698359135833</v>
      </c>
      <c r="H1845" s="20">
        <v>3.7096202247137522E-3</v>
      </c>
      <c r="I1845" s="2">
        <f ca="1"/>
        <v>1838</v>
      </c>
      <c r="J1845">
        <f ca="1"/>
        <v>3.2061698359135833</v>
      </c>
      <c r="K1845">
        <f ca="1"/>
        <v>1.1959265289394957E-3</v>
      </c>
    </row>
    <row r="1846" spans="7:11">
      <c r="G1846" s="20">
        <v>3.2079151651655775</v>
      </c>
      <c r="H1846" s="20">
        <v>3.7117297967992442E-3</v>
      </c>
      <c r="I1846" s="2">
        <f ca="1"/>
        <v>1839</v>
      </c>
      <c r="J1846">
        <f ca="1"/>
        <v>3.2079151651655775</v>
      </c>
      <c r="K1846">
        <f ca="1"/>
        <v>1.2215195958279056E-3</v>
      </c>
    </row>
    <row r="1847" spans="7:11">
      <c r="G1847" s="20">
        <v>3.2096604944175717</v>
      </c>
      <c r="H1847" s="20">
        <v>3.7138841324787174E-3</v>
      </c>
      <c r="I1847" s="2">
        <f ca="1"/>
        <v>1840</v>
      </c>
      <c r="J1847">
        <f ca="1"/>
        <v>3.2096604944175717</v>
      </c>
      <c r="K1847">
        <f ca="1"/>
        <v>1.2471749162146545E-3</v>
      </c>
    </row>
    <row r="1848" spans="7:11">
      <c r="G1848" s="20">
        <v>3.211405823669566</v>
      </c>
      <c r="H1848" s="20">
        <v>3.7160832585264899E-3</v>
      </c>
      <c r="I1848" s="2">
        <f ca="1"/>
        <v>1841</v>
      </c>
      <c r="J1848">
        <f ca="1"/>
        <v>3.211405823669566</v>
      </c>
      <c r="K1848">
        <f ca="1"/>
        <v>1.2727699380141893E-3</v>
      </c>
    </row>
    <row r="1849" spans="7:11">
      <c r="G1849" s="20">
        <v>3.2131511529215606</v>
      </c>
      <c r="H1849" s="20">
        <v>3.7183269376864681E-3</v>
      </c>
      <c r="I1849" s="2">
        <f ca="1"/>
        <v>1842</v>
      </c>
      <c r="J1849">
        <f ca="1"/>
        <v>3.2131511529215606</v>
      </c>
      <c r="K1849">
        <f ca="1"/>
        <v>1.2982996352502983E-3</v>
      </c>
    </row>
    <row r="1850" spans="7:11">
      <c r="G1850" s="20">
        <v>3.2148964821735553</v>
      </c>
      <c r="H1850" s="20">
        <v>3.7206151791890026E-3</v>
      </c>
      <c r="I1850" s="2">
        <f ca="1"/>
        <v>1843</v>
      </c>
      <c r="J1850">
        <f ca="1"/>
        <v>3.2148964821735553</v>
      </c>
      <c r="K1850">
        <f ca="1"/>
        <v>1.3238662656994587E-3</v>
      </c>
    </row>
    <row r="1851" spans="7:11">
      <c r="G1851" s="20">
        <v>3.2166418114255495</v>
      </c>
      <c r="H1851" s="20">
        <v>3.7229481027249759E-3</v>
      </c>
      <c r="I1851" s="2">
        <f ca="1"/>
        <v>1844</v>
      </c>
      <c r="J1851">
        <f ca="1"/>
        <v>3.2166418114255495</v>
      </c>
      <c r="K1851">
        <f ca="1"/>
        <v>1.34940541249357E-3</v>
      </c>
    </row>
    <row r="1852" spans="7:11">
      <c r="G1852" s="20">
        <v>3.2183871406775437</v>
      </c>
      <c r="H1852" s="20">
        <v>3.7253254926674514E-3</v>
      </c>
      <c r="I1852" s="2">
        <f ca="1"/>
        <v>1845</v>
      </c>
      <c r="J1852">
        <f ca="1"/>
        <v>3.2183871406775437</v>
      </c>
      <c r="K1852">
        <f ca="1"/>
        <v>1.3747267106169329E-3</v>
      </c>
    </row>
    <row r="1853" spans="7:11">
      <c r="G1853" s="20">
        <v>3.2201324699295379</v>
      </c>
      <c r="H1853" s="20">
        <v>3.7277468042080509E-3</v>
      </c>
      <c r="I1853" s="2">
        <f ca="1"/>
        <v>1846</v>
      </c>
      <c r="J1853">
        <f ca="1"/>
        <v>3.2201324699295379</v>
      </c>
      <c r="K1853">
        <f ca="1"/>
        <v>1.3999659927479285E-3</v>
      </c>
    </row>
    <row r="1854" spans="7:11">
      <c r="G1854" s="20">
        <v>3.2218777991815331</v>
      </c>
      <c r="H1854" s="20">
        <v>3.7302122958653328E-3</v>
      </c>
      <c r="I1854" s="2">
        <f ca="1"/>
        <v>1847</v>
      </c>
      <c r="J1854">
        <f ca="1"/>
        <v>3.2218777991815331</v>
      </c>
      <c r="K1854">
        <f ca="1"/>
        <v>1.4253696761794804E-3</v>
      </c>
    </row>
    <row r="1855" spans="7:11">
      <c r="G1855" s="20">
        <v>3.2236231284335264</v>
      </c>
      <c r="H1855" s="20">
        <v>3.7327222829895341E-3</v>
      </c>
      <c r="I1855" s="2">
        <f ca="1"/>
        <v>1848</v>
      </c>
      <c r="J1855">
        <f ca="1"/>
        <v>3.2236231284335264</v>
      </c>
      <c r="K1855">
        <f ca="1"/>
        <v>1.4507525548256893E-3</v>
      </c>
    </row>
    <row r="1856" spans="7:11">
      <c r="G1856" s="20">
        <v>3.2253684576855211</v>
      </c>
      <c r="H1856" s="20">
        <v>3.7352763776080174E-3</v>
      </c>
      <c r="I1856" s="2">
        <f ca="1"/>
        <v>1849</v>
      </c>
      <c r="J1856">
        <f ca="1"/>
        <v>3.2253684576855211</v>
      </c>
      <c r="K1856">
        <f ca="1"/>
        <v>1.4758592181457367E-3</v>
      </c>
    </row>
    <row r="1857" spans="7:11">
      <c r="G1857" s="20">
        <v>3.2271137869375153</v>
      </c>
      <c r="H1857" s="20">
        <v>3.7378740035200449E-3</v>
      </c>
      <c r="I1857" s="2">
        <f ca="1"/>
        <v>1850</v>
      </c>
      <c r="J1857">
        <f ca="1"/>
        <v>3.2271137869375153</v>
      </c>
      <c r="K1857">
        <f ca="1"/>
        <v>1.5009296097385524E-3</v>
      </c>
    </row>
    <row r="1858" spans="7:11">
      <c r="G1858" s="20">
        <v>3.2288591161895095</v>
      </c>
      <c r="H1858" s="20">
        <v>3.7405156103141393E-3</v>
      </c>
      <c r="I1858" s="2">
        <f ca="1"/>
        <v>1851</v>
      </c>
      <c r="J1858">
        <f ca="1"/>
        <v>3.2288591161895095</v>
      </c>
      <c r="K1858">
        <f ca="1"/>
        <v>1.526129686954629E-3</v>
      </c>
    </row>
    <row r="1859" spans="7:11">
      <c r="G1859" s="20">
        <v>3.2306044454415042</v>
      </c>
      <c r="H1859" s="20">
        <v>3.743201201090003E-3</v>
      </c>
      <c r="I1859" s="2">
        <f ca="1"/>
        <v>1852</v>
      </c>
      <c r="J1859">
        <f ca="1"/>
        <v>3.2306044454415042</v>
      </c>
      <c r="K1859">
        <f ca="1"/>
        <v>1.5511433762743312E-3</v>
      </c>
    </row>
    <row r="1860" spans="7:11">
      <c r="G1860" s="20">
        <v>3.2323497746934979</v>
      </c>
      <c r="H1860" s="20">
        <v>3.7459301221314367E-3</v>
      </c>
      <c r="I1860" s="2">
        <f ca="1"/>
        <v>1853</v>
      </c>
      <c r="J1860">
        <f ca="1"/>
        <v>3.2323497746934979</v>
      </c>
      <c r="K1860">
        <f ca="1"/>
        <v>1.5760586224390647E-3</v>
      </c>
    </row>
    <row r="1861" spans="7:11">
      <c r="G1861" s="20">
        <v>3.2340951039454926</v>
      </c>
      <c r="H1861" s="20">
        <v>3.7487026835232042E-3</v>
      </c>
      <c r="I1861" s="2">
        <f ca="1"/>
        <v>1854</v>
      </c>
      <c r="J1861">
        <f ca="1"/>
        <v>3.2340951039454926</v>
      </c>
      <c r="K1861">
        <f ca="1"/>
        <v>1.601138931389938E-3</v>
      </c>
    </row>
    <row r="1862" spans="7:11">
      <c r="G1862" s="20">
        <v>3.2358404331974864</v>
      </c>
      <c r="H1862" s="20">
        <v>3.7515191513583599E-3</v>
      </c>
      <c r="I1862" s="2">
        <f ca="1"/>
        <v>1855</v>
      </c>
      <c r="J1862">
        <f ca="1"/>
        <v>3.2358404331974864</v>
      </c>
      <c r="K1862">
        <f ca="1"/>
        <v>1.6261885592323071E-3</v>
      </c>
    </row>
    <row r="1863" spans="7:11">
      <c r="G1863" s="20">
        <v>3.2375857624494815</v>
      </c>
      <c r="H1863" s="20">
        <v>3.7543791524465779E-3</v>
      </c>
      <c r="I1863" s="2">
        <f ca="1"/>
        <v>1856</v>
      </c>
      <c r="J1863">
        <f ca="1"/>
        <v>3.2375857624494815</v>
      </c>
      <c r="K1863">
        <f ca="1"/>
        <v>1.6511173469730294E-3</v>
      </c>
    </row>
    <row r="1864" spans="7:11">
      <c r="G1864" s="20">
        <v>3.2393310917014757</v>
      </c>
      <c r="H1864" s="20">
        <v>3.7572826381666556E-3</v>
      </c>
      <c r="I1864" s="2">
        <f ca="1"/>
        <v>1857</v>
      </c>
      <c r="J1864">
        <f ca="1"/>
        <v>3.2393310917014757</v>
      </c>
      <c r="K1864">
        <f ca="1"/>
        <v>1.6759833559665735E-3</v>
      </c>
    </row>
    <row r="1865" spans="7:11">
      <c r="G1865" s="20">
        <v>3.2410764209534699</v>
      </c>
      <c r="H1865" s="20">
        <v>3.7602294380006257E-3</v>
      </c>
      <c r="I1865" s="2">
        <f ca="1"/>
        <v>1858</v>
      </c>
      <c r="J1865">
        <f ca="1"/>
        <v>3.2410764209534699</v>
      </c>
      <c r="K1865">
        <f ca="1"/>
        <v>1.7005497202447625E-3</v>
      </c>
    </row>
    <row r="1866" spans="7:11">
      <c r="G1866" s="20">
        <v>3.2428217502054641</v>
      </c>
      <c r="H1866" s="20">
        <v>3.7632186765090832E-3</v>
      </c>
      <c r="I1866" s="2">
        <f ca="1"/>
        <v>1859</v>
      </c>
      <c r="J1866">
        <f ca="1"/>
        <v>3.2428217502054641</v>
      </c>
      <c r="K1866">
        <f ca="1"/>
        <v>1.7250292690678384E-3</v>
      </c>
    </row>
    <row r="1867" spans="7:11">
      <c r="G1867" s="20">
        <v>3.2445670794574584</v>
      </c>
      <c r="H1867" s="20">
        <v>3.7662509260883263E-3</v>
      </c>
      <c r="I1867" s="2">
        <f ca="1"/>
        <v>1860</v>
      </c>
      <c r="J1867">
        <f ca="1"/>
        <v>3.2445670794574584</v>
      </c>
      <c r="K1867">
        <f ca="1"/>
        <v>1.7497343040106788E-3</v>
      </c>
    </row>
    <row r="1868" spans="7:11">
      <c r="G1868" s="20">
        <v>3.2463124087094526</v>
      </c>
      <c r="H1868" s="20">
        <v>3.7693264014370983E-3</v>
      </c>
      <c r="I1868" s="2">
        <f ca="1"/>
        <v>1861</v>
      </c>
      <c r="J1868">
        <f ca="1"/>
        <v>3.2463124087094526</v>
      </c>
      <c r="K1868">
        <f ca="1"/>
        <v>1.7744720422700371E-3</v>
      </c>
    </row>
    <row r="1869" spans="7:11">
      <c r="G1869" s="20">
        <v>3.2480577379614468</v>
      </c>
      <c r="H1869" s="20">
        <v>3.772445002012766E-3</v>
      </c>
      <c r="I1869" s="2">
        <f ca="1"/>
        <v>1862</v>
      </c>
      <c r="J1869">
        <f ca="1"/>
        <v>3.2480577379614468</v>
      </c>
      <c r="K1869">
        <f ca="1"/>
        <v>1.7991413176032553E-3</v>
      </c>
    </row>
    <row r="1870" spans="7:11">
      <c r="G1870" s="20">
        <v>3.2498030672134419</v>
      </c>
      <c r="H1870" s="20">
        <v>3.7756065893772687E-3</v>
      </c>
      <c r="I1870" s="2">
        <f ca="1"/>
        <v>1863</v>
      </c>
      <c r="J1870">
        <f ca="1"/>
        <v>3.2498030672134419</v>
      </c>
      <c r="K1870">
        <f ca="1"/>
        <v>1.8235251562073575E-3</v>
      </c>
    </row>
    <row r="1871" spans="7:11">
      <c r="G1871" s="20">
        <v>3.2515483964654353</v>
      </c>
      <c r="H1871" s="20">
        <v>3.778810305606518E-3</v>
      </c>
      <c r="I1871" s="2">
        <f ca="1"/>
        <v>1864</v>
      </c>
      <c r="J1871">
        <f ca="1"/>
        <v>3.2515483964654353</v>
      </c>
      <c r="K1871">
        <f ca="1"/>
        <v>1.8478022149690538E-3</v>
      </c>
    </row>
    <row r="1872" spans="7:11">
      <c r="G1872" s="20">
        <v>3.2532937257174304</v>
      </c>
      <c r="H1872" s="20">
        <v>3.7820566358926391E-3</v>
      </c>
      <c r="I1872" s="2">
        <f ca="1"/>
        <v>1865</v>
      </c>
      <c r="J1872">
        <f ca="1"/>
        <v>3.2532937257174304</v>
      </c>
      <c r="K1872">
        <f ca="1"/>
        <v>1.8722419597649292E-3</v>
      </c>
    </row>
    <row r="1873" spans="7:11">
      <c r="G1873" s="20">
        <v>3.2550390549694246</v>
      </c>
      <c r="H1873" s="20">
        <v>3.7853456629248971E-3</v>
      </c>
      <c r="I1873" s="2">
        <f ca="1"/>
        <v>1866</v>
      </c>
      <c r="J1873">
        <f ca="1"/>
        <v>3.2550390549694246</v>
      </c>
      <c r="K1873">
        <f ca="1"/>
        <v>1.8965986249392104E-3</v>
      </c>
    </row>
    <row r="1874" spans="7:11">
      <c r="G1874" s="20">
        <v>3.2567843842214188</v>
      </c>
      <c r="H1874" s="20">
        <v>3.788677014011436E-3</v>
      </c>
      <c r="I1874" s="2">
        <f ca="1"/>
        <v>1867</v>
      </c>
      <c r="J1874">
        <f ca="1"/>
        <v>3.2567843842214188</v>
      </c>
      <c r="K1874">
        <f ca="1"/>
        <v>1.9208708366372093E-3</v>
      </c>
    </row>
    <row r="1875" spans="7:11">
      <c r="G1875" s="20">
        <v>3.2585297134734139</v>
      </c>
      <c r="H1875" s="20">
        <v>3.7920507670458699E-3</v>
      </c>
      <c r="I1875" s="2">
        <f ca="1"/>
        <v>1868</v>
      </c>
      <c r="J1875">
        <f ca="1"/>
        <v>3.2585297134734139</v>
      </c>
      <c r="K1875">
        <f ca="1"/>
        <v>1.945244237558268E-3</v>
      </c>
    </row>
    <row r="1876" spans="7:11">
      <c r="G1876" s="20">
        <v>3.2602750427254081</v>
      </c>
      <c r="H1876" s="20">
        <v>3.795467197351605E-3</v>
      </c>
      <c r="I1876" s="2">
        <f ca="1"/>
        <v>1869</v>
      </c>
      <c r="J1876">
        <f ca="1"/>
        <v>3.2602750427254081</v>
      </c>
      <c r="K1876">
        <f ca="1"/>
        <v>1.9696004808921219E-3</v>
      </c>
    </row>
    <row r="1877" spans="7:11">
      <c r="G1877" s="20">
        <v>3.2620203719774024</v>
      </c>
      <c r="H1877" s="20">
        <v>3.7989259697139557E-3</v>
      </c>
      <c r="I1877" s="2">
        <f ca="1"/>
        <v>1870</v>
      </c>
      <c r="J1877">
        <f ca="1"/>
        <v>3.2620203719774024</v>
      </c>
      <c r="K1877">
        <f ca="1"/>
        <v>1.9935939051852207E-3</v>
      </c>
    </row>
    <row r="1878" spans="7:11">
      <c r="G1878" s="20">
        <v>3.2637657012293966</v>
      </c>
      <c r="H1878" s="20">
        <v>3.8024261528702393E-3</v>
      </c>
      <c r="I1878" s="2">
        <f ca="1"/>
        <v>1871</v>
      </c>
      <c r="J1878">
        <f ca="1"/>
        <v>3.2637657012293966</v>
      </c>
      <c r="K1878">
        <f ca="1"/>
        <v>2.0174715301256052E-3</v>
      </c>
    </row>
    <row r="1879" spans="7:11">
      <c r="G1879" s="20">
        <v>3.2655110304813908</v>
      </c>
      <c r="H1879" s="20">
        <v>3.8059682738671432E-3</v>
      </c>
      <c r="I1879" s="2">
        <f ca="1"/>
        <v>1872</v>
      </c>
      <c r="J1879">
        <f ca="1"/>
        <v>3.2655110304813908</v>
      </c>
      <c r="K1879">
        <f ca="1"/>
        <v>2.0416767233321729E-3</v>
      </c>
    </row>
    <row r="1880" spans="7:11">
      <c r="G1880" s="20">
        <v>3.2672563597333846</v>
      </c>
      <c r="H1880" s="20">
        <v>3.8095529490869331E-3</v>
      </c>
      <c r="I1880" s="2">
        <f ca="1"/>
        <v>1873</v>
      </c>
      <c r="J1880">
        <f ca="1"/>
        <v>3.2672563597333846</v>
      </c>
      <c r="K1880">
        <f ca="1"/>
        <v>2.0658767132905325E-3</v>
      </c>
    </row>
    <row r="1881" spans="7:11">
      <c r="G1881" s="20">
        <v>3.2690016889853792</v>
      </c>
      <c r="H1881" s="20">
        <v>3.8131795439845825E-3</v>
      </c>
      <c r="I1881" s="2">
        <f ca="1"/>
        <v>1874</v>
      </c>
      <c r="J1881">
        <f ca="1"/>
        <v>3.2690016889853792</v>
      </c>
      <c r="K1881">
        <f ca="1"/>
        <v>2.0896239106931985E-3</v>
      </c>
    </row>
    <row r="1882" spans="7:11">
      <c r="G1882" s="20">
        <v>3.270747018237373</v>
      </c>
      <c r="H1882" s="20">
        <v>3.8168471125609319E-3</v>
      </c>
      <c r="I1882" s="2">
        <f ca="1"/>
        <v>1875</v>
      </c>
      <c r="J1882">
        <f ca="1"/>
        <v>3.270747018237373</v>
      </c>
      <c r="K1882">
        <f ca="1"/>
        <v>2.113336968551302E-3</v>
      </c>
    </row>
    <row r="1883" spans="7:11">
      <c r="G1883" s="20">
        <v>3.2724923474893677</v>
      </c>
      <c r="H1883" s="20">
        <v>3.8205564816456493E-3</v>
      </c>
      <c r="I1883" s="2">
        <f ca="1"/>
        <v>1876</v>
      </c>
      <c r="J1883">
        <f ca="1"/>
        <v>3.2724923474893677</v>
      </c>
      <c r="K1883">
        <f ca="1"/>
        <v>2.1373057701554866E-3</v>
      </c>
    </row>
    <row r="1884" spans="7:11">
      <c r="G1884" s="20">
        <v>3.2742376767413628</v>
      </c>
      <c r="H1884" s="20">
        <v>3.8243077171231515E-3</v>
      </c>
      <c r="I1884" s="2">
        <f ca="1"/>
        <v>1877</v>
      </c>
      <c r="J1884">
        <f ca="1"/>
        <v>3.2742376767413628</v>
      </c>
      <c r="K1884">
        <f ca="1"/>
        <v>2.1609894058615894E-3</v>
      </c>
    </row>
    <row r="1885" spans="7:11">
      <c r="G1885" s="20">
        <v>3.2759830059933561</v>
      </c>
      <c r="H1885" s="20">
        <v>3.828099757692249E-3</v>
      </c>
      <c r="I1885" s="2">
        <f ca="1"/>
        <v>1878</v>
      </c>
      <c r="J1885">
        <f ca="1"/>
        <v>3.2759830059933561</v>
      </c>
      <c r="K1885">
        <f ca="1"/>
        <v>2.1845340557539827E-3</v>
      </c>
    </row>
    <row r="1886" spans="7:11">
      <c r="G1886" s="20">
        <v>3.2777283352453512</v>
      </c>
      <c r="H1886" s="20">
        <v>3.8319331795021215E-3</v>
      </c>
      <c r="I1886" s="2">
        <f ca="1"/>
        <v>1879</v>
      </c>
      <c r="J1886">
        <f ca="1"/>
        <v>3.2777283352453512</v>
      </c>
      <c r="K1886">
        <f ca="1"/>
        <v>2.2083833911108255E-3</v>
      </c>
    </row>
    <row r="1887" spans="7:11">
      <c r="G1887" s="20">
        <v>3.279473664497345</v>
      </c>
      <c r="H1887" s="20">
        <v>3.8358084699564978E-3</v>
      </c>
      <c r="I1887" s="2">
        <f ca="1"/>
        <v>1880</v>
      </c>
      <c r="J1887">
        <f ca="1"/>
        <v>3.279473664497345</v>
      </c>
      <c r="K1887">
        <f ca="1"/>
        <v>2.2322088112234541E-3</v>
      </c>
    </row>
    <row r="1888" spans="7:11">
      <c r="G1888" s="20">
        <v>3.2812189937493397</v>
      </c>
      <c r="H1888" s="20">
        <v>3.8397250581716966E-3</v>
      </c>
      <c r="I1888" s="2">
        <f ca="1"/>
        <v>1881</v>
      </c>
      <c r="J1888">
        <f ca="1"/>
        <v>3.2812189937493397</v>
      </c>
      <c r="K1888">
        <f ca="1"/>
        <v>2.2555598264248455E-3</v>
      </c>
    </row>
    <row r="1889" spans="7:11">
      <c r="G1889" s="20">
        <v>3.2829643230013339</v>
      </c>
      <c r="H1889" s="20">
        <v>3.8436818590458634E-3</v>
      </c>
      <c r="I1889" s="2">
        <f ca="1"/>
        <v>1882</v>
      </c>
      <c r="J1889">
        <f ca="1"/>
        <v>3.2829643230013339</v>
      </c>
      <c r="K1889">
        <f ca="1"/>
        <v>2.2787823739235298E-3</v>
      </c>
    </row>
    <row r="1890" spans="7:11">
      <c r="G1890" s="20">
        <v>3.2847096522533281</v>
      </c>
      <c r="H1890" s="20">
        <v>3.8476795092439718E-3</v>
      </c>
      <c r="I1890" s="2">
        <f ca="1"/>
        <v>1883</v>
      </c>
      <c r="J1890">
        <f ca="1"/>
        <v>3.2847096522533281</v>
      </c>
      <c r="K1890">
        <f ca="1"/>
        <v>2.3022648294081104E-3</v>
      </c>
    </row>
    <row r="1891" spans="7:11">
      <c r="G1891" s="20">
        <v>3.2864549815053219</v>
      </c>
      <c r="H1891" s="20">
        <v>3.8517182793510693E-3</v>
      </c>
      <c r="I1891" s="2">
        <f ca="1"/>
        <v>1884</v>
      </c>
      <c r="J1891">
        <f ca="1"/>
        <v>3.2864549815053219</v>
      </c>
      <c r="K1891">
        <f ca="1"/>
        <v>2.3256633517414948E-3</v>
      </c>
    </row>
    <row r="1892" spans="7:11">
      <c r="G1892" s="20">
        <v>3.2882003107573166</v>
      </c>
      <c r="H1892" s="20">
        <v>3.8557976058001425E-3</v>
      </c>
      <c r="I1892" s="2">
        <f ca="1"/>
        <v>1885</v>
      </c>
      <c r="J1892">
        <f ca="1"/>
        <v>3.2882003107573166</v>
      </c>
      <c r="K1892">
        <f ca="1"/>
        <v>2.3489471531240843E-3</v>
      </c>
    </row>
    <row r="1893" spans="7:11">
      <c r="G1893" s="20">
        <v>3.2899456400093112</v>
      </c>
      <c r="H1893" s="20">
        <v>3.8599176517065434E-3</v>
      </c>
      <c r="I1893" s="2">
        <f ca="1"/>
        <v>1886</v>
      </c>
      <c r="J1893">
        <f ca="1"/>
        <v>3.2899456400093112</v>
      </c>
      <c r="K1893">
        <f ca="1"/>
        <v>2.3723926261537544E-3</v>
      </c>
    </row>
    <row r="1894" spans="7:11">
      <c r="G1894" s="20">
        <v>3.2916909692613054</v>
      </c>
      <c r="H1894" s="20">
        <v>3.8640788182954266E-3</v>
      </c>
      <c r="I1894" s="2">
        <f ca="1"/>
        <v>1887</v>
      </c>
      <c r="J1894">
        <f ca="1"/>
        <v>3.2916909692613054</v>
      </c>
      <c r="K1894">
        <f ca="1"/>
        <v>2.3958286808120413E-3</v>
      </c>
    </row>
    <row r="1895" spans="7:11">
      <c r="G1895" s="20">
        <v>3.2934362985133001</v>
      </c>
      <c r="H1895" s="20">
        <v>3.8682806714653204E-3</v>
      </c>
      <c r="I1895" s="2">
        <f ca="1"/>
        <v>1888</v>
      </c>
      <c r="J1895">
        <f ca="1"/>
        <v>3.2934362985133001</v>
      </c>
      <c r="K1895">
        <f ca="1"/>
        <v>2.4187873596196166E-3</v>
      </c>
    </row>
    <row r="1896" spans="7:11">
      <c r="G1896" s="20">
        <v>3.2951816277652939</v>
      </c>
      <c r="H1896" s="20">
        <v>3.8725219789616226E-3</v>
      </c>
      <c r="I1896" s="2">
        <f ca="1"/>
        <v>1889</v>
      </c>
      <c r="J1896">
        <f ca="1"/>
        <v>3.2951816277652939</v>
      </c>
      <c r="K1896">
        <f ca="1"/>
        <v>2.4416050189146519E-3</v>
      </c>
    </row>
    <row r="1897" spans="7:11">
      <c r="G1897" s="20">
        <v>3.2969269570172886</v>
      </c>
      <c r="H1897" s="20">
        <v>3.8768034807879757E-3</v>
      </c>
      <c r="I1897" s="2">
        <f ca="1"/>
        <v>1890</v>
      </c>
      <c r="J1897">
        <f ca="1"/>
        <v>3.2969269570172886</v>
      </c>
      <c r="K1897">
        <f ca="1"/>
        <v>2.4647037701444221E-3</v>
      </c>
    </row>
    <row r="1898" spans="7:11">
      <c r="G1898" s="20">
        <v>3.2986722862692828</v>
      </c>
      <c r="H1898" s="20">
        <v>3.8811254181366907E-3</v>
      </c>
      <c r="I1898" s="2">
        <f ca="1"/>
        <v>1891</v>
      </c>
      <c r="J1898">
        <f ca="1"/>
        <v>3.2986722862692828</v>
      </c>
      <c r="K1898">
        <f ca="1"/>
        <v>2.4877081406919741E-3</v>
      </c>
    </row>
    <row r="1899" spans="7:11">
      <c r="G1899" s="20">
        <v>3.300417615521277</v>
      </c>
      <c r="H1899" s="20">
        <v>3.8854872203647234E-3</v>
      </c>
      <c r="I1899" s="2">
        <f ca="1"/>
        <v>1892</v>
      </c>
      <c r="J1899">
        <f ca="1"/>
        <v>3.300417615521277</v>
      </c>
      <c r="K1899">
        <f ca="1"/>
        <v>2.5105983467243321E-3</v>
      </c>
    </row>
    <row r="1900" spans="7:11">
      <c r="G1900" s="20">
        <v>3.3021629447732717</v>
      </c>
      <c r="H1900" s="20">
        <v>3.8898890596057844E-3</v>
      </c>
      <c r="I1900" s="2">
        <f ca="1"/>
        <v>1893</v>
      </c>
      <c r="J1900">
        <f ca="1"/>
        <v>3.3021629447732717</v>
      </c>
      <c r="K1900">
        <f ca="1"/>
        <v>2.5336676364089363E-3</v>
      </c>
    </row>
    <row r="1901" spans="7:11">
      <c r="G1901" s="20">
        <v>3.3039082740252659</v>
      </c>
      <c r="H1901" s="20">
        <v>3.8943313888460357E-3</v>
      </c>
      <c r="I1901" s="2">
        <f ca="1"/>
        <v>1894</v>
      </c>
      <c r="J1901">
        <f ca="1"/>
        <v>3.3039082740252659</v>
      </c>
      <c r="K1901">
        <f ca="1"/>
        <v>2.5567325074360905E-3</v>
      </c>
    </row>
    <row r="1902" spans="7:11">
      <c r="G1902" s="20">
        <v>3.3056536032772601</v>
      </c>
      <c r="H1902" s="20">
        <v>3.8988137396752899E-3</v>
      </c>
      <c r="I1902" s="2">
        <f ca="1"/>
        <v>1895</v>
      </c>
      <c r="J1902">
        <f ca="1"/>
        <v>3.3056536032772601</v>
      </c>
      <c r="K1902">
        <f ca="1"/>
        <v>2.5792753088451385E-3</v>
      </c>
    </row>
    <row r="1903" spans="7:11">
      <c r="G1903" s="20">
        <v>3.3073989325292543</v>
      </c>
      <c r="H1903" s="20">
        <v>3.9033347581369834E-3</v>
      </c>
      <c r="I1903" s="2">
        <f ca="1"/>
        <v>1896</v>
      </c>
      <c r="J1903">
        <f ca="1"/>
        <v>3.3073989325292543</v>
      </c>
      <c r="K1903">
        <f ca="1"/>
        <v>2.6016670256579157E-3</v>
      </c>
    </row>
    <row r="1904" spans="7:11">
      <c r="G1904" s="20">
        <v>3.309144261781249</v>
      </c>
      <c r="H1904" s="20">
        <v>3.9078952708029501E-3</v>
      </c>
      <c r="I1904" s="2">
        <f ca="1"/>
        <v>1897</v>
      </c>
      <c r="J1904">
        <f ca="1"/>
        <v>3.309144261781249</v>
      </c>
      <c r="K1904">
        <f ca="1"/>
        <v>2.6245683193688034E-3</v>
      </c>
    </row>
    <row r="1905" spans="7:11">
      <c r="G1905" s="20">
        <v>3.3108895910332428</v>
      </c>
      <c r="H1905" s="20">
        <v>3.9124962298602867E-3</v>
      </c>
      <c r="I1905" s="2">
        <f ca="1"/>
        <v>1898</v>
      </c>
      <c r="J1905">
        <f ca="1"/>
        <v>3.3108895910332428</v>
      </c>
      <c r="K1905">
        <f ca="1"/>
        <v>2.6474835387438537E-3</v>
      </c>
    </row>
    <row r="1906" spans="7:11">
      <c r="G1906" s="20">
        <v>3.3126349202852379</v>
      </c>
      <c r="H1906" s="20">
        <v>3.917136731731637E-3</v>
      </c>
      <c r="I1906" s="2">
        <f ca="1"/>
        <v>1899</v>
      </c>
      <c r="J1906">
        <f ca="1"/>
        <v>3.3126349202852379</v>
      </c>
      <c r="K1906">
        <f ca="1"/>
        <v>2.669753875432882E-3</v>
      </c>
    </row>
    <row r="1907" spans="7:11">
      <c r="G1907" s="20">
        <v>3.3143802495372312</v>
      </c>
      <c r="H1907" s="20">
        <v>3.9218154289291226E-3</v>
      </c>
      <c r="I1907" s="2">
        <f ca="1"/>
        <v>1900</v>
      </c>
      <c r="J1907">
        <f ca="1"/>
        <v>3.3143802495372312</v>
      </c>
      <c r="K1907">
        <f ca="1"/>
        <v>2.6919939741928836E-3</v>
      </c>
    </row>
    <row r="1908" spans="7:11">
      <c r="G1908" s="20">
        <v>3.3161255787892263</v>
      </c>
      <c r="H1908" s="20">
        <v>3.926533563390339E-3</v>
      </c>
      <c r="I1908" s="2">
        <f ca="1"/>
        <v>1901</v>
      </c>
      <c r="J1908">
        <f ca="1"/>
        <v>3.3161255787892263</v>
      </c>
      <c r="K1908">
        <f ca="1"/>
        <v>2.71462964455231E-3</v>
      </c>
    </row>
    <row r="1909" spans="7:11">
      <c r="G1909" s="20">
        <v>3.317870908041221</v>
      </c>
      <c r="H1909" s="20">
        <v>3.9312912739830619E-3</v>
      </c>
      <c r="I1909" s="2">
        <f ca="1"/>
        <v>1902</v>
      </c>
      <c r="J1909">
        <f ca="1"/>
        <v>3.317870908041221</v>
      </c>
      <c r="K1909">
        <f ca="1"/>
        <v>2.7368746297692175E-3</v>
      </c>
    </row>
    <row r="1910" spans="7:11">
      <c r="G1910" s="20">
        <v>3.3196162372932148</v>
      </c>
      <c r="H1910" s="20">
        <v>3.9360870580910931E-3</v>
      </c>
      <c r="I1910" s="2">
        <f ca="1"/>
        <v>1903</v>
      </c>
      <c r="J1910">
        <f ca="1"/>
        <v>3.3196162372932148</v>
      </c>
      <c r="K1910">
        <f ca="1"/>
        <v>2.7589381184715488E-3</v>
      </c>
    </row>
    <row r="1911" spans="7:11">
      <c r="G1911" s="20">
        <v>3.321361566545209</v>
      </c>
      <c r="H1911" s="20">
        <v>3.9409217847882812E-3</v>
      </c>
      <c r="I1911" s="2">
        <f ca="1"/>
        <v>1904</v>
      </c>
      <c r="J1911">
        <f ca="1"/>
        <v>3.321361566545209</v>
      </c>
      <c r="K1911">
        <f ca="1"/>
        <v>2.7814597605523078E-3</v>
      </c>
    </row>
    <row r="1912" spans="7:11">
      <c r="G1912" s="20">
        <v>3.3231068957972032</v>
      </c>
      <c r="H1912" s="20">
        <v>3.9457961842577667E-3</v>
      </c>
      <c r="I1912" s="2">
        <f ca="1"/>
        <v>1905</v>
      </c>
      <c r="J1912">
        <f ca="1"/>
        <v>3.3231068957972032</v>
      </c>
      <c r="K1912">
        <f ca="1"/>
        <v>2.8039665085406256E-3</v>
      </c>
    </row>
    <row r="1913" spans="7:11">
      <c r="G1913" s="20">
        <v>3.3248522250491974</v>
      </c>
      <c r="H1913" s="20">
        <v>3.9507094743262174E-3</v>
      </c>
      <c r="I1913" s="2">
        <f ca="1"/>
        <v>1906</v>
      </c>
      <c r="J1913">
        <f ca="1"/>
        <v>3.3248522250491974</v>
      </c>
      <c r="K1913">
        <f ca="1"/>
        <v>2.8258174880566615E-3</v>
      </c>
    </row>
    <row r="1914" spans="7:11">
      <c r="G1914" s="20">
        <v>3.3265975543011916</v>
      </c>
      <c r="H1914" s="20">
        <v>3.955660148103171E-3</v>
      </c>
      <c r="I1914" s="2">
        <f ca="1"/>
        <v>1907</v>
      </c>
      <c r="J1914">
        <f ca="1"/>
        <v>3.3265975543011916</v>
      </c>
      <c r="K1914">
        <f ca="1"/>
        <v>2.8475055566661175E-3</v>
      </c>
    </row>
    <row r="1915" spans="7:11">
      <c r="G1915" s="20">
        <v>3.3283428835531859</v>
      </c>
      <c r="H1915" s="20">
        <v>3.9606491438127483E-3</v>
      </c>
      <c r="I1915" s="2">
        <f ca="1"/>
        <v>1908</v>
      </c>
      <c r="J1915">
        <f ca="1"/>
        <v>3.3283428835531859</v>
      </c>
      <c r="K1915">
        <f ca="1"/>
        <v>2.8695828922458678E-3</v>
      </c>
    </row>
    <row r="1916" spans="7:11">
      <c r="G1916" s="20">
        <v>3.3300882128051801</v>
      </c>
      <c r="H1916" s="20">
        <v>3.9656768820288887E-3</v>
      </c>
      <c r="I1916" s="2">
        <f ca="1"/>
        <v>1909</v>
      </c>
      <c r="J1916">
        <f ca="1"/>
        <v>3.3300882128051801</v>
      </c>
      <c r="K1916">
        <f ca="1"/>
        <v>2.8915620948953237E-3</v>
      </c>
    </row>
    <row r="1917" spans="7:11">
      <c r="G1917" s="20">
        <v>3.3318335420571752</v>
      </c>
      <c r="H1917" s="20">
        <v>3.9707425996291078E-3</v>
      </c>
      <c r="I1917" s="2">
        <f ca="1"/>
        <v>1910</v>
      </c>
      <c r="J1917">
        <f ca="1"/>
        <v>3.3318335420571752</v>
      </c>
      <c r="K1917">
        <f ca="1"/>
        <v>2.9133983428178216E-3</v>
      </c>
    </row>
    <row r="1918" spans="7:11">
      <c r="G1918" s="20">
        <v>3.3335788713091694</v>
      </c>
      <c r="H1918" s="20">
        <v>3.9758465607297542E-3</v>
      </c>
      <c r="I1918" s="2">
        <f ca="1"/>
        <v>1911</v>
      </c>
      <c r="J1918">
        <f ca="1"/>
        <v>3.3335788713091694</v>
      </c>
      <c r="K1918">
        <f ca="1"/>
        <v>2.9354785295143712E-3</v>
      </c>
    </row>
    <row r="1919" spans="7:11">
      <c r="G1919" s="20">
        <v>3.3353242005611636</v>
      </c>
      <c r="H1919" s="20">
        <v>3.9809893527214327E-3</v>
      </c>
      <c r="I1919" s="2">
        <f ca="1"/>
        <v>1912</v>
      </c>
      <c r="J1919">
        <f ca="1"/>
        <v>3.3353242005611636</v>
      </c>
      <c r="K1919">
        <f ca="1"/>
        <v>2.9575635173156082E-3</v>
      </c>
    </row>
    <row r="1920" spans="7:11">
      <c r="G1920" s="20">
        <v>3.3370695298131587</v>
      </c>
      <c r="H1920" s="20">
        <v>3.9861704049725605E-3</v>
      </c>
      <c r="I1920" s="2">
        <f ca="1"/>
        <v>1913</v>
      </c>
      <c r="J1920">
        <f ca="1"/>
        <v>3.3370695298131587</v>
      </c>
      <c r="K1920">
        <f ca="1"/>
        <v>2.9790058202692356E-3</v>
      </c>
    </row>
    <row r="1921" spans="7:11">
      <c r="G1921" s="20">
        <v>3.3388148590651521</v>
      </c>
      <c r="H1921" s="20">
        <v>3.9913880447213865E-3</v>
      </c>
      <c r="I1921" s="2">
        <f ca="1"/>
        <v>1914</v>
      </c>
      <c r="J1921">
        <f ca="1"/>
        <v>3.3388148590651521</v>
      </c>
      <c r="K1921">
        <f ca="1"/>
        <v>3.0002712406924301E-3</v>
      </c>
    </row>
    <row r="1922" spans="7:11">
      <c r="G1922" s="20">
        <v>3.3405601883171472</v>
      </c>
      <c r="H1922" s="20">
        <v>3.9966433272931555E-3</v>
      </c>
      <c r="I1922" s="2">
        <f ca="1"/>
        <v>1915</v>
      </c>
      <c r="J1922">
        <f ca="1"/>
        <v>3.3405601883171472</v>
      </c>
      <c r="K1922">
        <f ca="1"/>
        <v>3.0219441673576606E-3</v>
      </c>
    </row>
    <row r="1923" spans="7:11">
      <c r="G1923" s="20">
        <v>3.3423055175691405</v>
      </c>
      <c r="H1923" s="20">
        <v>4.0019366198277518E-3</v>
      </c>
      <c r="I1923" s="2">
        <f ca="1"/>
        <v>1916</v>
      </c>
      <c r="J1923">
        <f ca="1"/>
        <v>3.3423055175691405</v>
      </c>
      <c r="K1923">
        <f ca="1"/>
        <v>3.0435060317600066E-3</v>
      </c>
    </row>
    <row r="1924" spans="7:11">
      <c r="G1924" s="20">
        <v>3.3440508468211352</v>
      </c>
      <c r="H1924" s="20">
        <v>4.0072671675048573E-3</v>
      </c>
      <c r="I1924" s="2">
        <f ca="1"/>
        <v>1917</v>
      </c>
      <c r="J1924">
        <f ca="1"/>
        <v>3.3440508468211352</v>
      </c>
      <c r="K1924">
        <f ca="1"/>
        <v>3.0649287462084225E-3</v>
      </c>
    </row>
    <row r="1925" spans="7:11">
      <c r="G1925" s="20">
        <v>3.3457961760731298</v>
      </c>
      <c r="H1925" s="20">
        <v>4.0126352394198256E-3</v>
      </c>
      <c r="I1925" s="2">
        <f ca="1"/>
        <v>1918</v>
      </c>
      <c r="J1925">
        <f ca="1"/>
        <v>3.3457961760731298</v>
      </c>
      <c r="K1925">
        <f ca="1"/>
        <v>3.0866126456535119E-3</v>
      </c>
    </row>
    <row r="1926" spans="7:11">
      <c r="G1926" s="20">
        <v>3.3475415053251241</v>
      </c>
      <c r="H1926" s="20">
        <v>4.0180414781849274E-3</v>
      </c>
      <c r="I1926" s="2">
        <f ca="1"/>
        <v>1919</v>
      </c>
      <c r="J1926">
        <f ca="1"/>
        <v>3.3475415053251241</v>
      </c>
      <c r="K1926">
        <f ca="1"/>
        <v>3.108307337324946E-3</v>
      </c>
    </row>
    <row r="1927" spans="7:11">
      <c r="G1927" s="20">
        <v>3.3492868345771183</v>
      </c>
      <c r="H1927" s="20">
        <v>4.0234852788598686E-3</v>
      </c>
      <c r="I1927" s="2">
        <f ca="1"/>
        <v>1920</v>
      </c>
      <c r="J1927">
        <f ca="1"/>
        <v>3.3492868345771183</v>
      </c>
      <c r="K1927">
        <f ca="1"/>
        <v>3.1293131731189323E-3</v>
      </c>
    </row>
    <row r="1928" spans="7:11">
      <c r="G1928" s="20">
        <v>3.3510321638291125</v>
      </c>
      <c r="H1928" s="20">
        <v>4.028964841824318E-3</v>
      </c>
      <c r="I1928" s="2">
        <f ca="1"/>
        <v>1921</v>
      </c>
      <c r="J1928">
        <f ca="1"/>
        <v>3.3510321638291125</v>
      </c>
      <c r="K1928">
        <f ca="1"/>
        <v>3.1501318183699539E-3</v>
      </c>
    </row>
    <row r="1929" spans="7:11">
      <c r="G1929" s="20">
        <v>3.3527774930811076</v>
      </c>
      <c r="H1929" s="20">
        <v>4.0344813132803491E-3</v>
      </c>
      <c r="I1929" s="2">
        <f ca="1"/>
        <v>1922</v>
      </c>
      <c r="J1929">
        <f ca="1"/>
        <v>3.3527774930811076</v>
      </c>
      <c r="K1929">
        <f ca="1"/>
        <v>3.1716539181391168E-3</v>
      </c>
    </row>
    <row r="1930" spans="7:11">
      <c r="G1930" s="20">
        <v>3.3545228223331014</v>
      </c>
      <c r="H1930" s="20">
        <v>4.04003600254538E-3</v>
      </c>
      <c r="I1930" s="2">
        <f ca="1"/>
        <v>1923</v>
      </c>
      <c r="J1930">
        <f ca="1"/>
        <v>3.3545228223331014</v>
      </c>
      <c r="K1930">
        <f ca="1"/>
        <v>3.1932116757508811E-3</v>
      </c>
    </row>
    <row r="1931" spans="7:11">
      <c r="G1931" s="20">
        <v>3.3562681515850961</v>
      </c>
      <c r="H1931" s="20">
        <v>4.0456277247713441E-3</v>
      </c>
      <c r="I1931" s="2">
        <f ca="1"/>
        <v>1924</v>
      </c>
      <c r="J1931">
        <f ca="1"/>
        <v>3.3562681515850961</v>
      </c>
      <c r="K1931">
        <f ca="1"/>
        <v>3.2139233901514988E-3</v>
      </c>
    </row>
    <row r="1932" spans="7:11">
      <c r="G1932" s="20">
        <v>3.3580134808370898</v>
      </c>
      <c r="H1932" s="20">
        <v>4.0512547115583797E-3</v>
      </c>
      <c r="I1932" s="2">
        <f ca="1"/>
        <v>1925</v>
      </c>
      <c r="J1932">
        <f ca="1"/>
        <v>3.3580134808370898</v>
      </c>
      <c r="K1932">
        <f ca="1"/>
        <v>3.2346102258038962E-3</v>
      </c>
    </row>
    <row r="1933" spans="7:11">
      <c r="G1933" s="20">
        <v>3.3597588100890845</v>
      </c>
      <c r="H1933" s="20">
        <v>4.0569186444631344E-3</v>
      </c>
      <c r="I1933" s="2">
        <f ca="1"/>
        <v>1926</v>
      </c>
      <c r="J1933">
        <f ca="1"/>
        <v>3.3597588100890845</v>
      </c>
      <c r="K1933">
        <f ca="1"/>
        <v>3.2558414672880865E-3</v>
      </c>
    </row>
    <row r="1934" spans="7:11">
      <c r="G1934" s="20">
        <v>3.3615041393410787</v>
      </c>
      <c r="H1934" s="20">
        <v>4.0626197422638085E-3</v>
      </c>
      <c r="I1934" s="2">
        <f ca="1"/>
        <v>1927</v>
      </c>
      <c r="J1934">
        <f ca="1"/>
        <v>3.3615041393410787</v>
      </c>
      <c r="K1934">
        <f ca="1"/>
        <v>3.27657272915895E-3</v>
      </c>
    </row>
    <row r="1935" spans="7:11">
      <c r="G1935" s="20">
        <v>3.3632494685930725</v>
      </c>
      <c r="H1935" s="20">
        <v>4.0683560409241083E-3</v>
      </c>
      <c r="I1935" s="2">
        <f ca="1"/>
        <v>1928</v>
      </c>
      <c r="J1935">
        <f ca="1"/>
        <v>3.3632494685930725</v>
      </c>
      <c r="K1935">
        <f ca="1"/>
        <v>3.2970791893757231E-3</v>
      </c>
    </row>
    <row r="1936" spans="7:11">
      <c r="G1936" s="20">
        <v>3.3649947978450672</v>
      </c>
      <c r="H1936" s="20">
        <v>4.0741287197745262E-3</v>
      </c>
      <c r="I1936" s="2">
        <f ca="1"/>
        <v>1929</v>
      </c>
      <c r="J1936">
        <f ca="1"/>
        <v>3.3649947978450672</v>
      </c>
      <c r="K1936">
        <f ca="1"/>
        <v>3.3182060622396229E-3</v>
      </c>
    </row>
    <row r="1937" spans="7:11">
      <c r="G1937" s="20">
        <v>3.3667401270970609</v>
      </c>
      <c r="H1937" s="20">
        <v>4.079938765133251E-3</v>
      </c>
      <c r="I1937" s="2">
        <f ca="1"/>
        <v>1930</v>
      </c>
      <c r="J1937">
        <f ca="1"/>
        <v>3.3667401270970609</v>
      </c>
      <c r="K1937">
        <f ca="1"/>
        <v>3.33932877742934E-3</v>
      </c>
    </row>
    <row r="1938" spans="7:11">
      <c r="G1938" s="20">
        <v>3.3684854563490561</v>
      </c>
      <c r="H1938" s="20">
        <v>4.0857851761690748E-3</v>
      </c>
      <c r="I1938" s="2">
        <f ca="1"/>
        <v>1931</v>
      </c>
      <c r="J1938">
        <f ca="1"/>
        <v>3.3684854563490561</v>
      </c>
      <c r="K1938">
        <f ca="1"/>
        <v>3.3596075799490789E-3</v>
      </c>
    </row>
    <row r="1939" spans="7:11">
      <c r="G1939" s="20">
        <v>3.3702307856010503</v>
      </c>
      <c r="H1939" s="20">
        <v>4.0916660079022673E-3</v>
      </c>
      <c r="I1939" s="2">
        <f ca="1"/>
        <v>1932</v>
      </c>
      <c r="J1939">
        <f ca="1"/>
        <v>3.3702307856010503</v>
      </c>
      <c r="K1939">
        <f ca="1"/>
        <v>3.3796888478039855E-3</v>
      </c>
    </row>
    <row r="1940" spans="7:11">
      <c r="G1940" s="20">
        <v>3.3719761148530445</v>
      </c>
      <c r="H1940" s="20">
        <v>4.0975825157864966E-3</v>
      </c>
      <c r="I1940" s="2">
        <f ca="1"/>
        <v>1933</v>
      </c>
      <c r="J1940">
        <f ca="1"/>
        <v>3.3719761148530445</v>
      </c>
      <c r="K1940">
        <f ca="1"/>
        <v>3.4002958144197866E-3</v>
      </c>
    </row>
    <row r="1941" spans="7:11">
      <c r="G1941" s="20">
        <v>3.3737214441050387</v>
      </c>
      <c r="H1941" s="20">
        <v>4.103535279402948E-3</v>
      </c>
      <c r="I1941" s="2">
        <f ca="1"/>
        <v>1934</v>
      </c>
      <c r="J1941">
        <f ca="1"/>
        <v>3.3737214441050387</v>
      </c>
      <c r="K1941">
        <f ca="1"/>
        <v>3.4207911130938831E-3</v>
      </c>
    </row>
    <row r="1942" spans="7:11">
      <c r="G1942" s="20">
        <v>3.3754667733570334</v>
      </c>
      <c r="H1942" s="20">
        <v>4.1095233293757874E-3</v>
      </c>
      <c r="I1942" s="2">
        <f ca="1"/>
        <v>1935</v>
      </c>
      <c r="J1942">
        <f ca="1"/>
        <v>3.3754667733570334</v>
      </c>
      <c r="K1942">
        <f ca="1"/>
        <v>3.4411153660675077E-3</v>
      </c>
    </row>
    <row r="1943" spans="7:11">
      <c r="G1943" s="20">
        <v>3.377212102609028</v>
      </c>
      <c r="H1943" s="20">
        <v>4.1155470380187199E-3</v>
      </c>
      <c r="I1943" s="2">
        <f ca="1"/>
        <v>1936</v>
      </c>
      <c r="J1943">
        <f ca="1"/>
        <v>3.377212102609028</v>
      </c>
      <c r="K1943">
        <f ca="1"/>
        <v>3.4617704553417819E-3</v>
      </c>
    </row>
    <row r="1944" spans="7:11">
      <c r="G1944" s="20">
        <v>3.3789574318610223</v>
      </c>
      <c r="H1944" s="20">
        <v>4.1216071878545837E-3</v>
      </c>
      <c r="I1944" s="2">
        <f ca="1"/>
        <v>1937</v>
      </c>
      <c r="J1944">
        <f ca="1"/>
        <v>3.3789574318610223</v>
      </c>
      <c r="K1944">
        <f ca="1"/>
        <v>3.4824462706131779E-3</v>
      </c>
    </row>
    <row r="1945" spans="7:11">
      <c r="G1945" s="20">
        <v>3.3807027611130165</v>
      </c>
      <c r="H1945" s="20">
        <v>4.1277030687079186E-3</v>
      </c>
      <c r="I1945" s="2">
        <f ca="1"/>
        <v>1938</v>
      </c>
      <c r="J1945">
        <f ca="1"/>
        <v>3.3807027611130165</v>
      </c>
      <c r="K1945">
        <f ca="1"/>
        <v>3.5023094435865784E-3</v>
      </c>
    </row>
    <row r="1946" spans="7:11">
      <c r="G1946" s="20">
        <v>3.3824480903650098</v>
      </c>
      <c r="H1946" s="20">
        <v>4.1338325540974351E-3</v>
      </c>
      <c r="I1946" s="2">
        <f ca="1"/>
        <v>1939</v>
      </c>
      <c r="J1946">
        <f ca="1"/>
        <v>3.3824480903650098</v>
      </c>
      <c r="K1946">
        <f ca="1"/>
        <v>3.5219598677291354E-3</v>
      </c>
    </row>
    <row r="1947" spans="7:11">
      <c r="G1947" s="20">
        <v>3.3841934196170049</v>
      </c>
      <c r="H1947" s="20">
        <v>4.1399970278709133E-3</v>
      </c>
      <c r="I1947" s="2">
        <f ca="1"/>
        <v>1940</v>
      </c>
      <c r="J1947">
        <f ca="1"/>
        <v>3.3841934196170049</v>
      </c>
      <c r="K1947">
        <f ca="1"/>
        <v>3.5421498785443333E-3</v>
      </c>
    </row>
    <row r="1948" spans="7:11">
      <c r="G1948" s="20">
        <v>3.3859387488689991</v>
      </c>
      <c r="H1948" s="20">
        <v>4.1461969896933806E-3</v>
      </c>
      <c r="I1948" s="2">
        <f ca="1"/>
        <v>1941</v>
      </c>
      <c r="J1948">
        <f ca="1"/>
        <v>3.3859387488689991</v>
      </c>
      <c r="K1948">
        <f ca="1"/>
        <v>3.5622130515706959E-3</v>
      </c>
    </row>
    <row r="1949" spans="7:11">
      <c r="G1949" s="20">
        <v>3.3876840781209934</v>
      </c>
      <c r="H1949" s="20">
        <v>4.1524314971523972E-3</v>
      </c>
      <c r="I1949" s="2">
        <f ca="1"/>
        <v>1942</v>
      </c>
      <c r="J1949">
        <f ca="1"/>
        <v>3.3876840781209934</v>
      </c>
      <c r="K1949">
        <f ca="1"/>
        <v>3.5821125898316919E-3</v>
      </c>
    </row>
    <row r="1950" spans="7:11">
      <c r="G1950" s="20">
        <v>3.3894294073729885</v>
      </c>
      <c r="H1950" s="20">
        <v>4.1587009214673239E-3</v>
      </c>
      <c r="I1950" s="2">
        <f ca="1"/>
        <v>1943</v>
      </c>
      <c r="J1950">
        <f ca="1"/>
        <v>3.3894294073729885</v>
      </c>
      <c r="K1950">
        <f ca="1"/>
        <v>3.6023588925687229E-3</v>
      </c>
    </row>
    <row r="1951" spans="7:11">
      <c r="G1951" s="20">
        <v>3.3911747366249827</v>
      </c>
      <c r="H1951" s="20">
        <v>4.1650061018551638E-3</v>
      </c>
      <c r="I1951" s="2">
        <f ca="1"/>
        <v>1944</v>
      </c>
      <c r="J1951">
        <f ca="1"/>
        <v>3.3911747366249827</v>
      </c>
      <c r="K1951">
        <f ca="1"/>
        <v>3.6226327035817087E-3</v>
      </c>
    </row>
    <row r="1952" spans="7:11">
      <c r="G1952" s="20">
        <v>3.3929200658769769</v>
      </c>
      <c r="H1952" s="20">
        <v>4.171346295120908E-3</v>
      </c>
      <c r="I1952" s="2">
        <f ca="1"/>
        <v>1945</v>
      </c>
      <c r="J1952">
        <f ca="1"/>
        <v>3.3929200658769769</v>
      </c>
      <c r="K1952">
        <f ca="1"/>
        <v>3.6420475354852033E-3</v>
      </c>
    </row>
    <row r="1953" spans="7:11">
      <c r="G1953" s="20">
        <v>3.3946653951289711</v>
      </c>
      <c r="H1953" s="20">
        <v>4.1777192460568354E-3</v>
      </c>
      <c r="I1953" s="2">
        <f ca="1"/>
        <v>1946</v>
      </c>
      <c r="J1953">
        <f ca="1"/>
        <v>3.3946653951289711</v>
      </c>
      <c r="K1953">
        <f ca="1"/>
        <v>3.661239504230758E-3</v>
      </c>
    </row>
    <row r="1954" spans="7:11">
      <c r="G1954" s="20">
        <v>3.3964107243809654</v>
      </c>
      <c r="H1954" s="20">
        <v>4.1841264319314895E-3</v>
      </c>
      <c r="I1954" s="2">
        <f ca="1"/>
        <v>1947</v>
      </c>
      <c r="J1954">
        <f ca="1"/>
        <v>3.3964107243809654</v>
      </c>
      <c r="K1954">
        <f ca="1"/>
        <v>3.6813350506520611E-3</v>
      </c>
    </row>
    <row r="1955" spans="7:11">
      <c r="G1955" s="20">
        <v>3.3981560536329596</v>
      </c>
      <c r="H1955" s="20">
        <v>4.1905695295574247E-3</v>
      </c>
      <c r="I1955" s="2">
        <f ca="1"/>
        <v>1948</v>
      </c>
      <c r="J1955">
        <f ca="1"/>
        <v>3.3981560536329596</v>
      </c>
      <c r="K1955">
        <f ca="1"/>
        <v>3.7014894906192007E-3</v>
      </c>
    </row>
    <row r="1956" spans="7:11">
      <c r="G1956" s="20">
        <v>3.3999013828849538</v>
      </c>
      <c r="H1956" s="20">
        <v>4.1970470676993433E-3</v>
      </c>
      <c r="I1956" s="2">
        <f ca="1"/>
        <v>1949</v>
      </c>
      <c r="J1956">
        <f ca="1"/>
        <v>3.3999013828849538</v>
      </c>
      <c r="K1956">
        <f ca="1"/>
        <v>3.7205932076818469E-3</v>
      </c>
    </row>
    <row r="1957" spans="7:11">
      <c r="G1957" s="20">
        <v>3.401646712136948</v>
      </c>
      <c r="H1957" s="20">
        <v>4.203556849877701E-3</v>
      </c>
      <c r="I1957" s="2">
        <f ca="1"/>
        <v>1950</v>
      </c>
      <c r="J1957">
        <f ca="1"/>
        <v>3.401646712136948</v>
      </c>
      <c r="K1957">
        <f ca="1"/>
        <v>3.7396785623671461E-3</v>
      </c>
    </row>
    <row r="1958" spans="7:11">
      <c r="G1958" s="20">
        <v>3.4033920413889422</v>
      </c>
      <c r="H1958" s="20">
        <v>4.2101010084752534E-3</v>
      </c>
      <c r="I1958" s="2">
        <f ca="1"/>
        <v>1951</v>
      </c>
      <c r="J1958">
        <f ca="1"/>
        <v>3.4033920413889422</v>
      </c>
      <c r="K1958">
        <f ca="1"/>
        <v>3.7594616726184978E-3</v>
      </c>
    </row>
    <row r="1959" spans="7:11">
      <c r="G1959" s="20">
        <v>3.4051373706409374</v>
      </c>
      <c r="H1959" s="20">
        <v>4.2166798467356487E-3</v>
      </c>
      <c r="I1959" s="2">
        <f ca="1"/>
        <v>1952</v>
      </c>
      <c r="J1959">
        <f ca="1"/>
        <v>3.4051373706409374</v>
      </c>
      <c r="K1959">
        <f ca="1"/>
        <v>3.7786346782333123E-3</v>
      </c>
    </row>
    <row r="1960" spans="7:11">
      <c r="G1960" s="20">
        <v>3.4068826998929307</v>
      </c>
      <c r="H1960" s="20">
        <v>4.2232909317482942E-3</v>
      </c>
      <c r="I1960" s="2">
        <f ca="1"/>
        <v>1953</v>
      </c>
      <c r="J1960">
        <f ca="1"/>
        <v>3.4068826998929307</v>
      </c>
      <c r="K1960">
        <f ca="1"/>
        <v>3.7975398347538558E-3</v>
      </c>
    </row>
    <row r="1961" spans="7:11">
      <c r="G1961" s="20">
        <v>3.4086280291449258</v>
      </c>
      <c r="H1961" s="20">
        <v>4.2299357614540671E-3</v>
      </c>
      <c r="I1961" s="2">
        <f ca="1"/>
        <v>1954</v>
      </c>
      <c r="J1961">
        <f ca="1"/>
        <v>3.4086280291449258</v>
      </c>
      <c r="K1961">
        <f ca="1"/>
        <v>3.817231748644484E-3</v>
      </c>
    </row>
    <row r="1962" spans="7:11">
      <c r="G1962" s="20">
        <v>3.4103733583969196</v>
      </c>
      <c r="H1962" s="20">
        <v>4.2366155842133964E-3</v>
      </c>
      <c r="I1962" s="2">
        <f ca="1"/>
        <v>1955</v>
      </c>
      <c r="J1962">
        <f ca="1"/>
        <v>3.4103733583969196</v>
      </c>
      <c r="K1962">
        <f ca="1"/>
        <v>3.8369313951851086E-3</v>
      </c>
    </row>
    <row r="1963" spans="7:11">
      <c r="G1963" s="20">
        <v>3.4121186876489142</v>
      </c>
      <c r="H1963" s="20">
        <v>4.2433291786578902E-3</v>
      </c>
      <c r="I1963" s="2">
        <f ca="1"/>
        <v>1956</v>
      </c>
      <c r="J1963">
        <f ca="1"/>
        <v>3.4121186876489142</v>
      </c>
      <c r="K1963">
        <f ca="1"/>
        <v>3.8555970988870623E-3</v>
      </c>
    </row>
    <row r="1964" spans="7:11">
      <c r="G1964" s="20">
        <v>3.4138640169009085</v>
      </c>
      <c r="H1964" s="20">
        <v>4.2500741570145814E-3</v>
      </c>
      <c r="I1964" s="2">
        <f ca="1"/>
        <v>1957</v>
      </c>
      <c r="J1964">
        <f ca="1"/>
        <v>3.4138640169009085</v>
      </c>
      <c r="K1964">
        <f ca="1"/>
        <v>3.8740311513582038E-3</v>
      </c>
    </row>
    <row r="1965" spans="7:11">
      <c r="G1965" s="20">
        <v>3.4156093461529027</v>
      </c>
      <c r="H1965" s="20">
        <v>4.2568520984410949E-3</v>
      </c>
      <c r="I1965" s="2">
        <f ca="1"/>
        <v>1958</v>
      </c>
      <c r="J1965">
        <f ca="1"/>
        <v>3.4156093461529027</v>
      </c>
      <c r="K1965">
        <f ca="1"/>
        <v>3.8931306089795303E-3</v>
      </c>
    </row>
    <row r="1966" spans="7:11">
      <c r="G1966" s="20">
        <v>3.4173546754048969</v>
      </c>
      <c r="H1966" s="20">
        <v>4.2636637464819535E-3</v>
      </c>
      <c r="I1966" s="2">
        <f ca="1"/>
        <v>1959</v>
      </c>
      <c r="J1966">
        <f ca="1"/>
        <v>3.4173546754048969</v>
      </c>
      <c r="K1966">
        <f ca="1"/>
        <v>3.9121059863695155E-3</v>
      </c>
    </row>
    <row r="1967" spans="7:11">
      <c r="G1967" s="20">
        <v>3.4191000046568911</v>
      </c>
      <c r="H1967" s="20">
        <v>4.2705079244709197E-3</v>
      </c>
      <c r="I1967" s="2">
        <f ca="1"/>
        <v>1960</v>
      </c>
      <c r="J1967">
        <f ca="1"/>
        <v>3.4191000046568911</v>
      </c>
      <c r="K1967">
        <f ca="1"/>
        <v>3.9308827736717804E-3</v>
      </c>
    </row>
    <row r="1968" spans="7:11">
      <c r="G1968" s="20">
        <v>3.4208453339088858</v>
      </c>
      <c r="H1968" s="20">
        <v>4.2773851158640543E-3</v>
      </c>
      <c r="I1968" s="2">
        <f ca="1"/>
        <v>1961</v>
      </c>
      <c r="J1968">
        <f ca="1"/>
        <v>3.4208453339088858</v>
      </c>
      <c r="K1968">
        <f ca="1"/>
        <v>3.9500792349383964E-3</v>
      </c>
    </row>
    <row r="1969" spans="7:11">
      <c r="G1969" s="20">
        <v>3.42259066316088</v>
      </c>
      <c r="H1969" s="20">
        <v>4.2842963021437874E-3</v>
      </c>
      <c r="I1969" s="2">
        <f ca="1"/>
        <v>1962</v>
      </c>
      <c r="J1969">
        <f ca="1"/>
        <v>3.42259066316088</v>
      </c>
      <c r="K1969">
        <f ca="1"/>
        <v>3.9693137028956899E-3</v>
      </c>
    </row>
    <row r="1970" spans="7:11">
      <c r="G1970" s="20">
        <v>3.4243359924128747</v>
      </c>
      <c r="H1970" s="20">
        <v>4.2912406344960668E-3</v>
      </c>
      <c r="I1970" s="2">
        <f ca="1"/>
        <v>1963</v>
      </c>
      <c r="J1970">
        <f ca="1"/>
        <v>3.4243359924128747</v>
      </c>
      <c r="K1970">
        <f ca="1"/>
        <v>3.9875650031784143E-3</v>
      </c>
    </row>
    <row r="1971" spans="7:11">
      <c r="G1971" s="20">
        <v>3.4260813216648685</v>
      </c>
      <c r="H1971" s="20">
        <v>4.2982155298323388E-3</v>
      </c>
      <c r="I1971" s="2">
        <f ca="1"/>
        <v>1964</v>
      </c>
      <c r="J1971">
        <f ca="1"/>
        <v>3.4260813216648685</v>
      </c>
      <c r="K1971">
        <f ca="1"/>
        <v>4.0055682743103819E-3</v>
      </c>
    </row>
    <row r="1972" spans="7:11">
      <c r="G1972" s="20">
        <v>3.4278266509168631</v>
      </c>
      <c r="H1972" s="20">
        <v>4.3052227054560946E-3</v>
      </c>
      <c r="I1972" s="2">
        <f ca="1"/>
        <v>1965</v>
      </c>
      <c r="J1972">
        <f ca="1"/>
        <v>3.4278266509168631</v>
      </c>
      <c r="K1972">
        <f ca="1"/>
        <v>4.0242457156861138E-3</v>
      </c>
    </row>
    <row r="1973" spans="7:11">
      <c r="G1973" s="20">
        <v>3.4295719801688573</v>
      </c>
      <c r="H1973" s="20">
        <v>4.3122627973619394E-3</v>
      </c>
      <c r="I1973" s="2">
        <f ca="1"/>
        <v>1966</v>
      </c>
      <c r="J1973">
        <f ca="1"/>
        <v>3.4295719801688573</v>
      </c>
      <c r="K1973">
        <f ca="1"/>
        <v>4.0427814596494293E-3</v>
      </c>
    </row>
    <row r="1974" spans="7:11">
      <c r="G1974" s="20">
        <v>3.431317309420852</v>
      </c>
      <c r="H1974" s="20">
        <v>4.3193346749379885E-3</v>
      </c>
      <c r="I1974" s="2">
        <f ca="1"/>
        <v>1967</v>
      </c>
      <c r="J1974">
        <f ca="1"/>
        <v>3.431317309420852</v>
      </c>
      <c r="K1974">
        <f ca="1"/>
        <v>4.061129594512795E-3</v>
      </c>
    </row>
    <row r="1975" spans="7:11">
      <c r="G1975" s="20">
        <v>3.4330626386728467</v>
      </c>
      <c r="H1975" s="20">
        <v>4.3264388139168282E-3</v>
      </c>
      <c r="I1975" s="2">
        <f ca="1"/>
        <v>1968</v>
      </c>
      <c r="J1975">
        <f ca="1"/>
        <v>3.4330626386728467</v>
      </c>
      <c r="K1975">
        <f ca="1"/>
        <v>4.0799115423875527E-3</v>
      </c>
    </row>
    <row r="1976" spans="7:11">
      <c r="G1976" s="20">
        <v>3.4348079679248409</v>
      </c>
      <c r="H1976" s="20">
        <v>4.333576252858946E-3</v>
      </c>
      <c r="I1976" s="2">
        <f ca="1"/>
        <v>1969</v>
      </c>
      <c r="J1976">
        <f ca="1"/>
        <v>3.4348079679248409</v>
      </c>
      <c r="K1976">
        <f ca="1"/>
        <v>4.0987389407157139E-3</v>
      </c>
    </row>
    <row r="1977" spans="7:11">
      <c r="G1977" s="20">
        <v>3.4365532971768351</v>
      </c>
      <c r="H1977" s="20">
        <v>4.3407461118558661E-3</v>
      </c>
      <c r="I1977" s="2">
        <f ca="1"/>
        <v>1970</v>
      </c>
      <c r="J1977">
        <f ca="1"/>
        <v>3.4365532971768351</v>
      </c>
      <c r="K1977">
        <f ca="1"/>
        <v>4.1165377521019866E-3</v>
      </c>
    </row>
    <row r="1978" spans="7:11">
      <c r="G1978" s="20">
        <v>3.4382986264288289</v>
      </c>
      <c r="H1978" s="20">
        <v>4.3479456803703085E-3</v>
      </c>
      <c r="I1978" s="2">
        <f ca="1"/>
        <v>1971</v>
      </c>
      <c r="J1978">
        <f ca="1"/>
        <v>3.4382986264288289</v>
      </c>
      <c r="K1978">
        <f ca="1"/>
        <v>4.1340787335200765E-3</v>
      </c>
    </row>
    <row r="1979" spans="7:11">
      <c r="G1979" s="20">
        <v>3.4400439556808236</v>
      </c>
      <c r="H1979" s="20">
        <v>4.3551767689431857E-3</v>
      </c>
      <c r="I1979" s="2">
        <f ca="1"/>
        <v>1972</v>
      </c>
      <c r="J1979">
        <f ca="1"/>
        <v>3.4400439556808236</v>
      </c>
      <c r="K1979">
        <f ca="1"/>
        <v>4.1527247929081974E-3</v>
      </c>
    </row>
    <row r="1980" spans="7:11">
      <c r="G1980" s="20">
        <v>3.4417892849328173</v>
      </c>
      <c r="H1980" s="20">
        <v>4.3624414244833971E-3</v>
      </c>
      <c r="I1980" s="2">
        <f ca="1"/>
        <v>1973</v>
      </c>
      <c r="J1980">
        <f ca="1"/>
        <v>3.4417892849328173</v>
      </c>
      <c r="K1980">
        <f ca="1"/>
        <v>4.1714541108306231E-3</v>
      </c>
    </row>
    <row r="1981" spans="7:11">
      <c r="G1981" s="20">
        <v>3.4435346141848124</v>
      </c>
      <c r="H1981" s="20">
        <v>4.369737890709156E-3</v>
      </c>
      <c r="I1981" s="2">
        <f ca="1"/>
        <v>1974</v>
      </c>
      <c r="J1981">
        <f ca="1"/>
        <v>3.4435346141848124</v>
      </c>
      <c r="K1981">
        <f ca="1"/>
        <v>4.1889289847360355E-3</v>
      </c>
    </row>
    <row r="1982" spans="7:11">
      <c r="G1982" s="20">
        <v>3.4452799434368058</v>
      </c>
      <c r="H1982" s="20">
        <v>4.3770635450665696E-3</v>
      </c>
      <c r="I1982" s="2">
        <f ca="1"/>
        <v>1975</v>
      </c>
      <c r="J1982">
        <f ca="1"/>
        <v>3.4452799434368058</v>
      </c>
      <c r="K1982">
        <f ca="1"/>
        <v>4.2063928678050888E-3</v>
      </c>
    </row>
    <row r="1983" spans="7:11">
      <c r="G1983" s="20">
        <v>3.4470252726888009</v>
      </c>
      <c r="H1983" s="20">
        <v>4.3844209717442762E-3</v>
      </c>
      <c r="I1983" s="2">
        <f ca="1"/>
        <v>1976</v>
      </c>
      <c r="J1983">
        <f ca="1"/>
        <v>3.4470252726888009</v>
      </c>
      <c r="K1983">
        <f ca="1"/>
        <v>4.2247086900054544E-3</v>
      </c>
    </row>
    <row r="1984" spans="7:11">
      <c r="G1984" s="20">
        <v>3.4487706019407955</v>
      </c>
      <c r="H1984" s="20">
        <v>4.3918105603822167E-3</v>
      </c>
      <c r="I1984" s="2">
        <f ca="1"/>
        <v>1977</v>
      </c>
      <c r="J1984">
        <f ca="1"/>
        <v>3.4487706019407955</v>
      </c>
      <c r="K1984">
        <f ca="1"/>
        <v>4.2429273821732311E-3</v>
      </c>
    </row>
    <row r="1985" spans="7:11">
      <c r="G1985" s="20">
        <v>3.4505159311927893</v>
      </c>
      <c r="H1985" s="20">
        <v>4.3992315822926646E-3</v>
      </c>
      <c r="I1985" s="2">
        <f ca="1"/>
        <v>1978</v>
      </c>
      <c r="J1985">
        <f ca="1"/>
        <v>3.4505159311927893</v>
      </c>
      <c r="K1985">
        <f ca="1"/>
        <v>4.2609399058953362E-3</v>
      </c>
    </row>
    <row r="1986" spans="7:11">
      <c r="G1986" s="20">
        <v>3.452261260444784</v>
      </c>
      <c r="H1986" s="20">
        <v>4.4066840464997139E-3</v>
      </c>
      <c r="I1986" s="2">
        <f ca="1"/>
        <v>1979</v>
      </c>
      <c r="J1986">
        <f ca="1"/>
        <v>3.452261260444784</v>
      </c>
      <c r="K1986">
        <f ca="1"/>
        <v>4.2788454725035518E-3</v>
      </c>
    </row>
    <row r="1987" spans="7:11">
      <c r="G1987" s="20">
        <v>3.4540065896967778</v>
      </c>
      <c r="H1987" s="20">
        <v>4.4141675706285115E-3</v>
      </c>
      <c r="I1987" s="2">
        <f ca="1"/>
        <v>1980</v>
      </c>
      <c r="J1987">
        <f ca="1"/>
        <v>3.4540065896967778</v>
      </c>
      <c r="K1987">
        <f ca="1"/>
        <v>4.2966163488496268E-3</v>
      </c>
    </row>
    <row r="1988" spans="7:11">
      <c r="G1988" s="20">
        <v>3.4557519189487729</v>
      </c>
      <c r="H1988" s="20">
        <v>4.4216820668962036E-3</v>
      </c>
      <c r="I1988" s="2">
        <f ca="1"/>
        <v>1981</v>
      </c>
      <c r="J1988">
        <f ca="1"/>
        <v>3.4557519189487729</v>
      </c>
      <c r="K1988">
        <f ca="1"/>
        <v>4.3133349363933112E-3</v>
      </c>
    </row>
    <row r="1989" spans="7:11">
      <c r="G1989" s="20">
        <v>3.4574972482007671</v>
      </c>
      <c r="H1989" s="20">
        <v>4.4292239499047871E-3</v>
      </c>
      <c r="I1989" s="2">
        <f ca="1"/>
        <v>1982</v>
      </c>
      <c r="J1989">
        <f ca="1"/>
        <v>3.4574972482007671</v>
      </c>
      <c r="K1989">
        <f ca="1"/>
        <v>4.3298394882455883E-3</v>
      </c>
    </row>
    <row r="1990" spans="7:11">
      <c r="G1990" s="20">
        <v>3.4592425774527604</v>
      </c>
      <c r="H1990" s="20">
        <v>4.4367960579267491E-3</v>
      </c>
      <c r="I1990" s="2">
        <f ca="1"/>
        <v>1983</v>
      </c>
      <c r="J1990">
        <f ca="1"/>
        <v>3.4592425774527604</v>
      </c>
      <c r="K1990">
        <f ca="1"/>
        <v>4.347486714408144E-3</v>
      </c>
    </row>
    <row r="1991" spans="7:11">
      <c r="G1991" s="20">
        <v>3.4609879067047546</v>
      </c>
      <c r="H1991" s="20">
        <v>4.4443995413754088E-3</v>
      </c>
      <c r="I1991" s="2">
        <f ca="1"/>
        <v>1984</v>
      </c>
      <c r="J1991">
        <f ca="1"/>
        <v>3.4609879067047546</v>
      </c>
      <c r="K1991">
        <f ca="1"/>
        <v>4.3649477988850381E-3</v>
      </c>
    </row>
    <row r="1992" spans="7:11">
      <c r="G1992" s="20">
        <v>3.4627332359567498</v>
      </c>
      <c r="H1992" s="20">
        <v>4.4520326000803967E-3</v>
      </c>
      <c r="I1992" s="2">
        <f ca="1"/>
        <v>1985</v>
      </c>
      <c r="J1992">
        <f ca="1"/>
        <v>3.4627332359567498</v>
      </c>
      <c r="K1992">
        <f ca="1"/>
        <v>4.3821368618204137E-3</v>
      </c>
    </row>
    <row r="1993" spans="7:11">
      <c r="G1993" s="20">
        <v>3.464478565208744</v>
      </c>
      <c r="H1993" s="20">
        <v>4.4596960846777674E-3</v>
      </c>
      <c r="I1993" s="2">
        <f ca="1"/>
        <v>1986</v>
      </c>
      <c r="J1993">
        <f ca="1"/>
        <v>3.464478565208744</v>
      </c>
      <c r="K1993">
        <f ca="1"/>
        <v>4.399886972775391E-3</v>
      </c>
    </row>
    <row r="1994" spans="7:11">
      <c r="G1994" s="20">
        <v>3.4662238944607382</v>
      </c>
      <c r="H1994" s="20">
        <v>4.4673911029585031E-3</v>
      </c>
      <c r="I1994" s="2">
        <f ca="1"/>
        <v>1987</v>
      </c>
      <c r="J1994">
        <f ca="1"/>
        <v>3.4662238944607382</v>
      </c>
      <c r="K1994">
        <f ca="1"/>
        <v>4.4176690878096406E-3</v>
      </c>
    </row>
    <row r="1995" spans="7:11">
      <c r="G1995" s="20">
        <v>3.4679692237127333</v>
      </c>
      <c r="H1995" s="20">
        <v>4.4751166588469409E-3</v>
      </c>
      <c r="I1995" s="2">
        <f ca="1"/>
        <v>1988</v>
      </c>
      <c r="J1995">
        <f ca="1"/>
        <v>3.4679692237127333</v>
      </c>
      <c r="K1995">
        <f ca="1"/>
        <v>4.4342964363162278E-3</v>
      </c>
    </row>
    <row r="1996" spans="7:11">
      <c r="G1996" s="20">
        <v>3.4697145529647266</v>
      </c>
      <c r="H1996" s="20">
        <v>4.482869717523136E-3</v>
      </c>
      <c r="I1996" s="2">
        <f ca="1"/>
        <v>1989</v>
      </c>
      <c r="J1996">
        <f ca="1"/>
        <v>3.4697145529647266</v>
      </c>
      <c r="K1996">
        <f ca="1"/>
        <v>4.4506427962961665E-3</v>
      </c>
    </row>
    <row r="1997" spans="7:11">
      <c r="G1997" s="20">
        <v>3.4714598822167217</v>
      </c>
      <c r="H1997" s="20">
        <v>4.490652332972047E-3</v>
      </c>
      <c r="I1997" s="2">
        <f ca="1"/>
        <v>1990</v>
      </c>
      <c r="J1997">
        <f ca="1"/>
        <v>3.4714598822167217</v>
      </c>
      <c r="K1997">
        <f ca="1"/>
        <v>4.4678017181451375E-3</v>
      </c>
    </row>
    <row r="1998" spans="7:11">
      <c r="G1998" s="20">
        <v>3.473205211468716</v>
      </c>
      <c r="H1998" s="20">
        <v>4.4984652875847174E-3</v>
      </c>
      <c r="I1998" s="2">
        <f ca="1"/>
        <v>1991</v>
      </c>
      <c r="J1998">
        <f ca="1"/>
        <v>3.473205211468716</v>
      </c>
      <c r="K1998">
        <f ca="1"/>
        <v>4.4848055060558809E-3</v>
      </c>
    </row>
    <row r="1999" spans="7:11">
      <c r="G1999" s="20">
        <v>3.4749505407207102</v>
      </c>
      <c r="H1999" s="20">
        <v>4.5063072574504951E-3</v>
      </c>
      <c r="I1999" s="2">
        <f ca="1"/>
        <v>1992</v>
      </c>
      <c r="J1999">
        <f ca="1"/>
        <v>3.4749505407207102</v>
      </c>
      <c r="K1999">
        <f ca="1"/>
        <v>4.5015976333858234E-3</v>
      </c>
    </row>
    <row r="2000" spans="7:11">
      <c r="G2000" s="20">
        <v>3.4766958699727044</v>
      </c>
      <c r="H2000" s="20">
        <v>4.5141788276452299E-3</v>
      </c>
      <c r="I2000" s="2">
        <f ca="1"/>
        <v>1993</v>
      </c>
      <c r="J2000">
        <f ca="1"/>
        <v>3.4766958699727044</v>
      </c>
      <c r="K2000">
        <f ca="1"/>
        <v>4.5189110605156971E-3</v>
      </c>
    </row>
    <row r="2001" spans="7:11">
      <c r="G2001" s="20">
        <v>3.4784411992246986</v>
      </c>
      <c r="H2001" s="20">
        <v>4.5220812327726517E-3</v>
      </c>
      <c r="I2001" s="2">
        <f ca="1"/>
        <v>1994</v>
      </c>
      <c r="J2001">
        <f ca="1"/>
        <v>3.4784411992246986</v>
      </c>
      <c r="K2001">
        <f ca="1"/>
        <v>4.5362878408844263E-3</v>
      </c>
    </row>
    <row r="2002" spans="7:11">
      <c r="G2002" s="20">
        <v>3.4801865284766929</v>
      </c>
      <c r="H2002" s="20">
        <v>4.5300134593735525E-3</v>
      </c>
      <c r="I2002" s="2">
        <f ca="1"/>
        <v>1995</v>
      </c>
      <c r="J2002">
        <f ca="1"/>
        <v>3.4801865284766929</v>
      </c>
      <c r="K2002">
        <f ca="1"/>
        <v>4.5524701212791181E-3</v>
      </c>
    </row>
    <row r="2003" spans="7:11">
      <c r="G2003" s="20">
        <v>3.4819318577286871</v>
      </c>
      <c r="H2003" s="20">
        <v>4.5379723513156479E-3</v>
      </c>
      <c r="I2003" s="2">
        <f ca="1"/>
        <v>1996</v>
      </c>
      <c r="J2003">
        <f ca="1"/>
        <v>3.4819318577286871</v>
      </c>
      <c r="K2003">
        <f ca="1"/>
        <v>4.5683610985690305E-3</v>
      </c>
    </row>
    <row r="2004" spans="7:11">
      <c r="G2004" s="20">
        <v>3.4836771869806822</v>
      </c>
      <c r="H2004" s="20">
        <v>4.5459600478915665E-3</v>
      </c>
      <c r="I2004" s="2">
        <f ca="1"/>
        <v>1997</v>
      </c>
      <c r="J2004">
        <f ca="1"/>
        <v>3.4836771869806822</v>
      </c>
      <c r="K2004">
        <f ca="1"/>
        <v>4.5855557964410414E-3</v>
      </c>
    </row>
    <row r="2005" spans="7:11">
      <c r="G2005" s="20">
        <v>3.485422516232676</v>
      </c>
      <c r="H2005" s="20">
        <v>4.5539789606520104E-3</v>
      </c>
      <c r="I2005" s="2">
        <f ca="1"/>
        <v>1998</v>
      </c>
      <c r="J2005">
        <f ca="1"/>
        <v>3.485422516232676</v>
      </c>
      <c r="K2005">
        <f ca="1"/>
        <v>4.6028584444768742E-3</v>
      </c>
    </row>
    <row r="2006" spans="7:11">
      <c r="G2006" s="20">
        <v>3.4871678454846706</v>
      </c>
      <c r="H2006" s="20">
        <v>4.5620270548634347E-3</v>
      </c>
      <c r="I2006" s="2">
        <f ca="1"/>
        <v>1999</v>
      </c>
      <c r="J2006">
        <f ca="1"/>
        <v>3.4871678454846706</v>
      </c>
      <c r="K2006">
        <f ca="1"/>
        <v>4.6187078630800212E-3</v>
      </c>
    </row>
    <row r="2007" spans="7:11">
      <c r="G2007" s="20">
        <v>3.4889131747366644</v>
      </c>
      <c r="H2007" s="20">
        <v>4.570101292531709E-3</v>
      </c>
      <c r="I2007" s="2">
        <f ca="1"/>
        <v>2000</v>
      </c>
      <c r="J2007">
        <f ca="1"/>
        <v>3.4889131747366644</v>
      </c>
      <c r="K2007">
        <f ca="1"/>
        <v>4.6345542926875807E-3</v>
      </c>
    </row>
    <row r="2008" spans="7:11">
      <c r="G2008" s="20">
        <v>3.4906585039886591</v>
      </c>
      <c r="H2008" s="20">
        <v>4.5782047012174008E-3</v>
      </c>
      <c r="I2008" s="2">
        <f ca="1"/>
        <v>2001</v>
      </c>
      <c r="J2008">
        <f ca="1"/>
        <v>3.4906585039886591</v>
      </c>
      <c r="K2008">
        <f ca="1"/>
        <v>4.6514042811211728E-3</v>
      </c>
    </row>
    <row r="2009" spans="7:11">
      <c r="G2009" s="20">
        <v>3.4924038332406533</v>
      </c>
      <c r="H2009" s="20">
        <v>4.5863377564410949E-3</v>
      </c>
      <c r="I2009" s="2">
        <f ca="1"/>
        <v>2002</v>
      </c>
      <c r="J2009">
        <f ca="1"/>
        <v>3.4924038332406533</v>
      </c>
      <c r="K2009">
        <f ca="1"/>
        <v>4.6674302424841363E-3</v>
      </c>
    </row>
    <row r="2010" spans="7:11">
      <c r="G2010" s="20">
        <v>3.4941491624926475</v>
      </c>
      <c r="H2010" s="20">
        <v>4.5944971062851009E-3</v>
      </c>
      <c r="I2010" s="2">
        <f ca="1"/>
        <v>2003</v>
      </c>
      <c r="J2010">
        <f ca="1"/>
        <v>3.4941491624926475</v>
      </c>
      <c r="K2010">
        <f ca="1"/>
        <v>4.683106033459639E-3</v>
      </c>
    </row>
    <row r="2011" spans="7:11">
      <c r="G2011" s="20">
        <v>3.4958944917446422</v>
      </c>
      <c r="H2011" s="20">
        <v>4.6026848803418724E-3</v>
      </c>
      <c r="I2011" s="2">
        <f ca="1"/>
        <v>2004</v>
      </c>
      <c r="J2011">
        <f ca="1"/>
        <v>3.4958944917446422</v>
      </c>
      <c r="K2011">
        <f ca="1"/>
        <v>4.699898039325686E-3</v>
      </c>
    </row>
    <row r="2012" spans="7:11">
      <c r="G2012" s="20">
        <v>3.4976398209966364</v>
      </c>
      <c r="H2012" s="20">
        <v>4.6109028453439537E-3</v>
      </c>
      <c r="I2012" s="2">
        <f ca="1"/>
        <v>2005</v>
      </c>
      <c r="J2012">
        <f ca="1"/>
        <v>3.4976398209966364</v>
      </c>
      <c r="K2012">
        <f ca="1"/>
        <v>4.7167235527963373E-3</v>
      </c>
    </row>
    <row r="2013" spans="7:11">
      <c r="G2013" s="20">
        <v>3.4993851502486306</v>
      </c>
      <c r="H2013" s="20">
        <v>4.6191493515224035E-3</v>
      </c>
      <c r="I2013" s="2">
        <f ca="1"/>
        <v>2006</v>
      </c>
      <c r="J2013">
        <f ca="1"/>
        <v>3.4993851502486306</v>
      </c>
      <c r="K2013">
        <f ca="1"/>
        <v>4.7321450116324876E-3</v>
      </c>
    </row>
    <row r="2014" spans="7:11">
      <c r="G2014" s="20">
        <v>3.5011304795006248</v>
      </c>
      <c r="H2014" s="20">
        <v>4.6274211475709152E-3</v>
      </c>
      <c r="I2014" s="2">
        <f ca="1"/>
        <v>2007</v>
      </c>
      <c r="J2014">
        <f ca="1"/>
        <v>3.5011304795006248</v>
      </c>
      <c r="K2014">
        <f ca="1"/>
        <v>4.7472708340597913E-3</v>
      </c>
    </row>
    <row r="2015" spans="7:11">
      <c r="G2015" s="20">
        <v>3.5028758087526191</v>
      </c>
      <c r="H2015" s="20">
        <v>4.6357204528300507E-3</v>
      </c>
      <c r="I2015" s="2">
        <f ca="1"/>
        <v>2008</v>
      </c>
      <c r="J2015">
        <f ca="1"/>
        <v>3.5028758087526191</v>
      </c>
      <c r="K2015">
        <f ca="1"/>
        <v>4.7633385806234796E-3</v>
      </c>
    </row>
    <row r="2016" spans="7:11">
      <c r="G2016" s="20">
        <v>3.5046211380046133</v>
      </c>
      <c r="H2016" s="20">
        <v>4.6440483358947448E-3</v>
      </c>
      <c r="I2016" s="2">
        <f ca="1"/>
        <v>2009</v>
      </c>
      <c r="J2016">
        <f ca="1"/>
        <v>3.5046211380046133</v>
      </c>
      <c r="K2016">
        <f ca="1"/>
        <v>4.779260250511873E-3</v>
      </c>
    </row>
    <row r="2017" spans="7:11">
      <c r="G2017" s="20">
        <v>3.5063664672566079</v>
      </c>
      <c r="H2017" s="20">
        <v>4.652403218266276E-3</v>
      </c>
      <c r="I2017" s="2">
        <f ca="1"/>
        <v>2010</v>
      </c>
      <c r="J2017">
        <f ca="1"/>
        <v>3.5063664672566079</v>
      </c>
      <c r="K2017">
        <f ca="1"/>
        <v>4.7949320758567358E-3</v>
      </c>
    </row>
    <row r="2018" spans="7:11">
      <c r="G2018" s="20">
        <v>3.5081117965086026</v>
      </c>
      <c r="H2018" s="20">
        <v>4.6607858063213853E-3</v>
      </c>
      <c r="I2018" s="2">
        <f ca="1"/>
        <v>2011</v>
      </c>
      <c r="J2018">
        <f ca="1"/>
        <v>3.5081117965086026</v>
      </c>
      <c r="K2018">
        <f ca="1"/>
        <v>4.8111992873752273E-3</v>
      </c>
    </row>
    <row r="2019" spans="7:11">
      <c r="G2019" s="20">
        <v>3.5098571257605968</v>
      </c>
      <c r="H2019" s="20">
        <v>4.6691974719731376E-3</v>
      </c>
      <c r="I2019" s="2">
        <f ca="1"/>
        <v>2012</v>
      </c>
      <c r="J2019">
        <f ca="1"/>
        <v>3.5098571257605968</v>
      </c>
      <c r="K2019">
        <f ca="1"/>
        <v>4.82754014537251E-3</v>
      </c>
    </row>
    <row r="2020" spans="7:11">
      <c r="G2020" s="20">
        <v>3.5116024550125915</v>
      </c>
      <c r="H2020" s="20">
        <v>4.6776371003831776E-3</v>
      </c>
      <c r="I2020" s="2">
        <f ca="1"/>
        <v>2013</v>
      </c>
      <c r="J2020">
        <f ca="1"/>
        <v>3.5116024550125915</v>
      </c>
      <c r="K2020">
        <f ca="1"/>
        <v>4.8425686834751612E-3</v>
      </c>
    </row>
    <row r="2021" spans="7:11">
      <c r="G2021" s="20">
        <v>3.5133477842645853</v>
      </c>
      <c r="H2021" s="20">
        <v>4.6861012255292583E-3</v>
      </c>
      <c r="I2021" s="2">
        <f ca="1"/>
        <v>2014</v>
      </c>
      <c r="J2021">
        <f ca="1"/>
        <v>3.5133477842645853</v>
      </c>
      <c r="K2021">
        <f ca="1"/>
        <v>4.8572831440038162E-3</v>
      </c>
    </row>
    <row r="2022" spans="7:11">
      <c r="G2022" s="20">
        <v>3.5150931135165795</v>
      </c>
      <c r="H2022" s="20">
        <v>4.6945922170960721E-3</v>
      </c>
      <c r="I2022" s="2">
        <f ca="1"/>
        <v>2015</v>
      </c>
      <c r="J2022">
        <f ca="1"/>
        <v>3.5150931135165795</v>
      </c>
      <c r="K2022">
        <f ca="1"/>
        <v>4.8729357403106775E-3</v>
      </c>
    </row>
    <row r="2023" spans="7:11">
      <c r="G2023" s="20">
        <v>3.5168384427685737</v>
      </c>
      <c r="H2023" s="20">
        <v>4.703110980110563E-3</v>
      </c>
      <c r="I2023" s="2">
        <f ca="1"/>
        <v>2016</v>
      </c>
      <c r="J2023">
        <f ca="1"/>
        <v>3.5168384427685737</v>
      </c>
      <c r="K2023">
        <f ca="1"/>
        <v>4.8884203078164339E-3</v>
      </c>
    </row>
    <row r="2024" spans="7:11">
      <c r="G2024" s="20">
        <v>3.5185837720205679</v>
      </c>
      <c r="H2024" s="20">
        <v>4.7116560230146213E-3</v>
      </c>
      <c r="I2024" s="2">
        <f ca="1"/>
        <v>2017</v>
      </c>
      <c r="J2024">
        <f ca="1"/>
        <v>3.5185837720205679</v>
      </c>
      <c r="K2024">
        <f ca="1"/>
        <v>4.9036733603282081E-3</v>
      </c>
    </row>
    <row r="2025" spans="7:11">
      <c r="G2025" s="20">
        <v>3.520329101272563</v>
      </c>
      <c r="H2025" s="20">
        <v>4.7202280292265785E-3</v>
      </c>
      <c r="I2025" s="2">
        <f ca="1"/>
        <v>2018</v>
      </c>
      <c r="J2025">
        <f ca="1"/>
        <v>3.520329101272563</v>
      </c>
      <c r="K2025">
        <f ca="1"/>
        <v>4.9195309416293874E-3</v>
      </c>
    </row>
    <row r="2026" spans="7:11">
      <c r="G2026" s="20">
        <v>3.5220744305245573</v>
      </c>
      <c r="H2026" s="20">
        <v>4.7288284255316585E-3</v>
      </c>
      <c r="I2026" s="2">
        <f ca="1"/>
        <v>2019</v>
      </c>
      <c r="J2026">
        <f ca="1"/>
        <v>3.5220744305245573</v>
      </c>
      <c r="K2026">
        <f ca="1"/>
        <v>4.9354705947306397E-3</v>
      </c>
    </row>
    <row r="2027" spans="7:11">
      <c r="G2027" s="20">
        <v>3.5238197597765515</v>
      </c>
      <c r="H2027" s="20">
        <v>4.7374560716292599E-3</v>
      </c>
      <c r="I2027" s="2">
        <f ca="1"/>
        <v>2020</v>
      </c>
      <c r="J2027">
        <f ca="1"/>
        <v>3.5238197597765515</v>
      </c>
      <c r="K2027">
        <f ca="1"/>
        <v>4.95005648579094E-3</v>
      </c>
    </row>
    <row r="2028" spans="7:11">
      <c r="G2028" s="20">
        <v>3.5255650890285457</v>
      </c>
      <c r="H2028" s="20">
        <v>4.7461073822990078E-3</v>
      </c>
      <c r="I2028" s="2">
        <f ca="1"/>
        <v>2021</v>
      </c>
      <c r="J2028">
        <f ca="1"/>
        <v>3.5255650890285457</v>
      </c>
      <c r="K2028">
        <f ca="1"/>
        <v>4.9643194537557249E-3</v>
      </c>
    </row>
    <row r="2029" spans="7:11">
      <c r="G2029" s="20">
        <v>3.5273104182805404</v>
      </c>
      <c r="H2029" s="20">
        <v>4.7547848155470298E-3</v>
      </c>
      <c r="I2029" s="2">
        <f ca="1"/>
        <v>2022</v>
      </c>
      <c r="J2029">
        <f ca="1"/>
        <v>3.5273104182805404</v>
      </c>
      <c r="K2029">
        <f ca="1"/>
        <v>4.9800783161450708E-3</v>
      </c>
    </row>
    <row r="2030" spans="7:11">
      <c r="G2030" s="20">
        <v>3.5290557475325341</v>
      </c>
      <c r="H2030" s="20">
        <v>4.7634911350237881E-3</v>
      </c>
      <c r="I2030" s="2">
        <f ca="1"/>
        <v>2023</v>
      </c>
      <c r="J2030">
        <f ca="1"/>
        <v>3.5290557475325341</v>
      </c>
      <c r="K2030">
        <f ca="1"/>
        <v>4.9959694953281755E-3</v>
      </c>
    </row>
    <row r="2031" spans="7:11">
      <c r="G2031" s="20">
        <v>3.5308010767845293</v>
      </c>
      <c r="H2031" s="20">
        <v>4.7722240389515662E-3</v>
      </c>
      <c r="I2031" s="2">
        <f ca="1"/>
        <v>2024</v>
      </c>
      <c r="J2031">
        <f ca="1"/>
        <v>3.5308010767845293</v>
      </c>
      <c r="K2031">
        <f ca="1"/>
        <v>5.0102166565807772E-3</v>
      </c>
    </row>
    <row r="2032" spans="7:11">
      <c r="G2032" s="20">
        <v>3.5325464060365226</v>
      </c>
      <c r="H2032" s="20">
        <v>4.7809800904029063E-3</v>
      </c>
      <c r="I2032" s="2">
        <f ca="1"/>
        <v>2025</v>
      </c>
      <c r="J2032">
        <f ca="1"/>
        <v>3.5325464060365226</v>
      </c>
      <c r="K2032">
        <f ca="1"/>
        <v>5.0244689718391454E-3</v>
      </c>
    </row>
    <row r="2033" spans="7:11">
      <c r="G2033" s="20">
        <v>3.5342917352885168</v>
      </c>
      <c r="H2033" s="20">
        <v>4.7897627442961381E-3</v>
      </c>
      <c r="I2033" s="2">
        <f ca="1"/>
        <v>2026</v>
      </c>
      <c r="J2033">
        <f ca="1"/>
        <v>3.5342917352885168</v>
      </c>
      <c r="K2033">
        <f ca="1"/>
        <v>5.0398715545386507E-3</v>
      </c>
    </row>
    <row r="2034" spans="7:11">
      <c r="G2034" s="20">
        <v>3.5360370645405119</v>
      </c>
      <c r="H2034" s="20">
        <v>4.7985725609037706E-3</v>
      </c>
      <c r="I2034" s="2">
        <f ca="1"/>
        <v>2027</v>
      </c>
      <c r="J2034">
        <f ca="1"/>
        <v>3.5360370645405119</v>
      </c>
      <c r="K2034">
        <f ca="1"/>
        <v>5.0543496809146854E-3</v>
      </c>
    </row>
    <row r="2035" spans="7:11">
      <c r="G2035" s="20">
        <v>3.5377823937925053</v>
      </c>
      <c r="H2035" s="20">
        <v>4.8074057529919542E-3</v>
      </c>
      <c r="I2035" s="2">
        <f ca="1"/>
        <v>2028</v>
      </c>
      <c r="J2035">
        <f ca="1"/>
        <v>3.5377823937925053</v>
      </c>
      <c r="K2035">
        <f ca="1"/>
        <v>5.0684393314771505E-3</v>
      </c>
    </row>
    <row r="2036" spans="7:11">
      <c r="G2036" s="20">
        <v>3.5395277230445004</v>
      </c>
      <c r="H2036" s="20">
        <v>4.8162647517581408E-3</v>
      </c>
      <c r="I2036" s="2">
        <f ca="1"/>
        <v>2029</v>
      </c>
      <c r="J2036">
        <f ca="1"/>
        <v>3.5395277230445004</v>
      </c>
      <c r="K2036">
        <f ca="1"/>
        <v>5.083802607495057E-3</v>
      </c>
    </row>
    <row r="2037" spans="7:11">
      <c r="G2037" s="20">
        <v>3.5412730522964941</v>
      </c>
      <c r="H2037" s="20">
        <v>4.8251515717964077E-3</v>
      </c>
      <c r="I2037" s="2">
        <f ca="1"/>
        <v>2030</v>
      </c>
      <c r="J2037">
        <f ca="1"/>
        <v>3.5412730522964941</v>
      </c>
      <c r="K2037">
        <f ca="1"/>
        <v>5.0992127619872603E-3</v>
      </c>
    </row>
    <row r="2038" spans="7:11">
      <c r="G2038" s="20">
        <v>3.5430183815484888</v>
      </c>
      <c r="H2038" s="20">
        <v>4.834064362149418E-3</v>
      </c>
      <c r="I2038" s="2">
        <f ca="1"/>
        <v>2031</v>
      </c>
      <c r="J2038">
        <f ca="1"/>
        <v>3.5430183815484888</v>
      </c>
      <c r="K2038">
        <f ca="1"/>
        <v>5.1130444955855697E-3</v>
      </c>
    </row>
    <row r="2039" spans="7:11">
      <c r="G2039" s="20">
        <v>3.544763710800483</v>
      </c>
      <c r="H2039" s="20">
        <v>4.842999464046197E-3</v>
      </c>
      <c r="I2039" s="2">
        <f ca="1"/>
        <v>2032</v>
      </c>
      <c r="J2039">
        <f ca="1"/>
        <v>3.544763710800483</v>
      </c>
      <c r="K2039">
        <f ca="1"/>
        <v>5.1265510540843906E-3</v>
      </c>
    </row>
    <row r="2040" spans="7:11">
      <c r="G2040" s="20">
        <v>3.5465090400524772</v>
      </c>
      <c r="H2040" s="20">
        <v>4.8519594011824886E-3</v>
      </c>
      <c r="I2040" s="2">
        <f ca="1"/>
        <v>2033</v>
      </c>
      <c r="J2040">
        <f ca="1"/>
        <v>3.5465090400524772</v>
      </c>
      <c r="K2040">
        <f ca="1"/>
        <v>5.1411315285139619E-3</v>
      </c>
    </row>
    <row r="2041" spans="7:11">
      <c r="G2041" s="20">
        <v>3.5482543693044715</v>
      </c>
      <c r="H2041" s="20">
        <v>4.8609453985363274E-3</v>
      </c>
      <c r="I2041" s="2">
        <f ca="1"/>
        <v>2034</v>
      </c>
      <c r="J2041">
        <f ca="1"/>
        <v>3.5482543693044715</v>
      </c>
      <c r="K2041">
        <f ca="1"/>
        <v>5.1555568657222694E-3</v>
      </c>
    </row>
    <row r="2042" spans="7:11">
      <c r="G2042" s="20">
        <v>3.5499996985564666</v>
      </c>
      <c r="H2042" s="20">
        <v>4.8699556895986226E-3</v>
      </c>
      <c r="I2042" s="2">
        <f ca="1"/>
        <v>2035</v>
      </c>
      <c r="J2042">
        <f ca="1"/>
        <v>3.5499996985564666</v>
      </c>
      <c r="K2042">
        <f ca="1"/>
        <v>5.1697089651097537E-3</v>
      </c>
    </row>
    <row r="2043" spans="7:11">
      <c r="G2043" s="20">
        <v>3.5517450278084608</v>
      </c>
      <c r="H2043" s="20">
        <v>4.8789910870985376E-3</v>
      </c>
      <c r="I2043" s="2">
        <f ca="1"/>
        <v>2036</v>
      </c>
      <c r="J2043">
        <f ca="1"/>
        <v>3.5517450278084608</v>
      </c>
      <c r="K2043">
        <f ca="1"/>
        <v>5.1845399898855287E-3</v>
      </c>
    </row>
    <row r="2044" spans="7:11">
      <c r="G2044" s="20">
        <v>3.553490357060455</v>
      </c>
      <c r="H2044" s="20">
        <v>4.8880531482035847E-3</v>
      </c>
      <c r="I2044" s="2">
        <f ca="1"/>
        <v>2037</v>
      </c>
      <c r="J2044">
        <f ca="1"/>
        <v>3.553490357060455</v>
      </c>
      <c r="K2044">
        <f ca="1"/>
        <v>5.1994623997833759E-3</v>
      </c>
    </row>
    <row r="2045" spans="7:11">
      <c r="G2045" s="20">
        <v>3.5552356863124492</v>
      </c>
      <c r="H2045" s="20">
        <v>4.8971406347405096E-3</v>
      </c>
      <c r="I2045" s="2">
        <f ca="1"/>
        <v>2038</v>
      </c>
      <c r="J2045">
        <f ca="1"/>
        <v>3.5552356863124492</v>
      </c>
      <c r="K2045">
        <f ca="1"/>
        <v>5.2129186016738778E-3</v>
      </c>
    </row>
    <row r="2046" spans="7:11">
      <c r="G2046" s="20">
        <v>3.556981015564443</v>
      </c>
      <c r="H2046" s="20">
        <v>4.9062496668511148E-3</v>
      </c>
      <c r="I2046" s="2">
        <f ca="1"/>
        <v>2039</v>
      </c>
      <c r="J2046">
        <f ca="1"/>
        <v>3.556981015564443</v>
      </c>
      <c r="K2046">
        <f ca="1"/>
        <v>5.2260306883130554E-3</v>
      </c>
    </row>
    <row r="2047" spans="7:11">
      <c r="G2047" s="20">
        <v>3.5587263448164377</v>
      </c>
      <c r="H2047" s="20">
        <v>4.9153829232047742E-3</v>
      </c>
      <c r="I2047" s="2">
        <f ca="1"/>
        <v>2040</v>
      </c>
      <c r="J2047">
        <f ca="1"/>
        <v>3.5587263448164377</v>
      </c>
      <c r="K2047">
        <f ca="1"/>
        <v>5.2402060398177627E-3</v>
      </c>
    </row>
    <row r="2048" spans="7:11">
      <c r="G2048" s="20">
        <v>3.5604716740684319</v>
      </c>
      <c r="H2048" s="20">
        <v>4.9245414366266586E-3</v>
      </c>
      <c r="I2048" s="2">
        <f ca="1"/>
        <v>2041</v>
      </c>
      <c r="J2048">
        <f ca="1"/>
        <v>3.5604716740684319</v>
      </c>
      <c r="K2048">
        <f ca="1"/>
        <v>5.254201843153181E-3</v>
      </c>
    </row>
    <row r="2049" spans="7:11">
      <c r="G2049" s="20">
        <v>3.5622170033204266</v>
      </c>
      <c r="H2049" s="20">
        <v>4.9337235475502509E-3</v>
      </c>
      <c r="I2049" s="2">
        <f ca="1"/>
        <v>2042</v>
      </c>
      <c r="J2049">
        <f ca="1"/>
        <v>3.5622170033204266</v>
      </c>
      <c r="K2049">
        <f ca="1"/>
        <v>5.2679463361733538E-3</v>
      </c>
    </row>
    <row r="2050" spans="7:11">
      <c r="G2050" s="20">
        <v>3.5639623325724212</v>
      </c>
      <c r="H2050" s="20">
        <v>4.9429300383035816E-3</v>
      </c>
      <c r="I2050" s="2">
        <f ca="1"/>
        <v>2043</v>
      </c>
      <c r="J2050">
        <f ca="1"/>
        <v>3.5639623325724212</v>
      </c>
      <c r="K2050">
        <f ca="1"/>
        <v>5.2823761429227128E-3</v>
      </c>
    </row>
    <row r="2051" spans="7:11">
      <c r="G2051" s="20">
        <v>3.5657076618244155</v>
      </c>
      <c r="H2051" s="20">
        <v>4.9521625187548121E-3</v>
      </c>
      <c r="I2051" s="2">
        <f ca="1"/>
        <v>2044</v>
      </c>
      <c r="J2051">
        <f ca="1"/>
        <v>3.5657076618244155</v>
      </c>
      <c r="K2051">
        <f ca="1"/>
        <v>5.2969061622599907E-3</v>
      </c>
    </row>
    <row r="2052" spans="7:11">
      <c r="G2052" s="20">
        <v>3.5674529910764097</v>
      </c>
      <c r="H2052" s="20">
        <v>4.9614197288437032E-3</v>
      </c>
      <c r="I2052" s="2">
        <f ca="1"/>
        <v>2045</v>
      </c>
      <c r="J2052">
        <f ca="1"/>
        <v>3.5674529910764097</v>
      </c>
      <c r="K2052">
        <f ca="1"/>
        <v>5.3099312922833784E-3</v>
      </c>
    </row>
    <row r="2053" spans="7:11">
      <c r="G2053" s="20">
        <v>3.5691983203284039</v>
      </c>
      <c r="H2053" s="20">
        <v>4.9706976755758154E-3</v>
      </c>
      <c r="I2053" s="2">
        <f ca="1"/>
        <v>2046</v>
      </c>
      <c r="J2053">
        <f ca="1"/>
        <v>3.5691983203284039</v>
      </c>
      <c r="K2053">
        <f ca="1"/>
        <v>5.3226038226419003E-3</v>
      </c>
    </row>
    <row r="2054" spans="7:11">
      <c r="G2054" s="20">
        <v>3.5709436495803981</v>
      </c>
      <c r="H2054" s="20">
        <v>4.9799991211405695E-3</v>
      </c>
      <c r="I2054" s="2">
        <f ca="1"/>
        <v>2047</v>
      </c>
      <c r="J2054">
        <f ca="1"/>
        <v>3.5709436495803981</v>
      </c>
      <c r="K2054">
        <f ca="1"/>
        <v>5.3369556758714447E-3</v>
      </c>
    </row>
    <row r="2055" spans="7:11">
      <c r="G2055" s="20">
        <v>3.5726889788323928</v>
      </c>
      <c r="H2055" s="20">
        <v>4.9893271652912078E-3</v>
      </c>
      <c r="I2055" s="2">
        <f ca="1"/>
        <v>2048</v>
      </c>
      <c r="J2055">
        <f ca="1"/>
        <v>3.5726889788323928</v>
      </c>
      <c r="K2055">
        <f ca="1"/>
        <v>5.3514636314673965E-3</v>
      </c>
    </row>
    <row r="2056" spans="7:11">
      <c r="G2056" s="20">
        <v>3.574434308084387</v>
      </c>
      <c r="H2056" s="20">
        <v>4.9986792531745384E-3</v>
      </c>
      <c r="I2056" s="2">
        <f ca="1"/>
        <v>2049</v>
      </c>
      <c r="J2056">
        <f ca="1"/>
        <v>3.574434308084387</v>
      </c>
      <c r="K2056">
        <f ca="1"/>
        <v>5.3641466684476993E-3</v>
      </c>
    </row>
    <row r="2057" spans="7:11">
      <c r="G2057" s="20">
        <v>3.5761796373363803</v>
      </c>
      <c r="H2057" s="20">
        <v>5.0080515694760613E-3</v>
      </c>
      <c r="I2057" s="2">
        <f ca="1"/>
        <v>2050</v>
      </c>
      <c r="J2057">
        <f ca="1"/>
        <v>3.5761796373363803</v>
      </c>
      <c r="K2057">
        <f ca="1"/>
        <v>5.3768432026865967E-3</v>
      </c>
    </row>
    <row r="2058" spans="7:11">
      <c r="G2058" s="20">
        <v>3.5779249665883754</v>
      </c>
      <c r="H2058" s="20">
        <v>5.0174479766246088E-3</v>
      </c>
      <c r="I2058" s="2">
        <f ca="1"/>
        <v>2051</v>
      </c>
      <c r="J2058">
        <f ca="1"/>
        <v>3.5779249665883754</v>
      </c>
      <c r="K2058">
        <f ca="1"/>
        <v>5.390830016056918E-3</v>
      </c>
    </row>
    <row r="2059" spans="7:11">
      <c r="G2059" s="20">
        <v>3.5796702958403701</v>
      </c>
      <c r="H2059" s="20">
        <v>5.0268691161151737E-3</v>
      </c>
      <c r="I2059" s="2">
        <f ca="1"/>
        <v>2052</v>
      </c>
      <c r="J2059">
        <f ca="1"/>
        <v>3.5796702958403701</v>
      </c>
      <c r="K2059">
        <f ca="1"/>
        <v>5.403797557449532E-3</v>
      </c>
    </row>
    <row r="2060" spans="7:11">
      <c r="G2060" s="20">
        <v>3.5814156250923639</v>
      </c>
      <c r="H2060" s="20">
        <v>5.036310788522352E-3</v>
      </c>
      <c r="I2060" s="2">
        <f ca="1"/>
        <v>2053</v>
      </c>
      <c r="J2060">
        <f ca="1"/>
        <v>3.5814156250923639</v>
      </c>
      <c r="K2060">
        <f ca="1"/>
        <v>5.4163409192266856E-3</v>
      </c>
    </row>
    <row r="2061" spans="7:11">
      <c r="G2061" s="20">
        <v>3.5831609543443586</v>
      </c>
      <c r="H2061" s="20">
        <v>5.0457757126053729E-3</v>
      </c>
      <c r="I2061" s="2">
        <f ca="1"/>
        <v>2054</v>
      </c>
      <c r="J2061">
        <f ca="1"/>
        <v>3.5831609543443586</v>
      </c>
      <c r="K2061">
        <f ca="1"/>
        <v>5.4303076172013574E-3</v>
      </c>
    </row>
    <row r="2062" spans="7:11">
      <c r="G2062" s="20">
        <v>3.5849062835963523</v>
      </c>
      <c r="H2062" s="20">
        <v>5.0552661379856091E-3</v>
      </c>
      <c r="I2062" s="2">
        <f ca="1"/>
        <v>2055</v>
      </c>
      <c r="J2062">
        <f ca="1"/>
        <v>3.5849062835963523</v>
      </c>
      <c r="K2062">
        <f ca="1"/>
        <v>5.4443341508876924E-3</v>
      </c>
    </row>
    <row r="2063" spans="7:11">
      <c r="G2063" s="20">
        <v>3.5866516128483474</v>
      </c>
      <c r="H2063" s="20">
        <v>5.0647800239077261E-3</v>
      </c>
      <c r="I2063" s="2">
        <f ca="1"/>
        <v>2056</v>
      </c>
      <c r="J2063">
        <f ca="1"/>
        <v>3.5866516128483474</v>
      </c>
      <c r="K2063">
        <f ca="1"/>
        <v>5.4566177376322795E-3</v>
      </c>
    </row>
    <row r="2064" spans="7:11">
      <c r="G2064" s="20">
        <v>3.5883969421003417</v>
      </c>
      <c r="H2064" s="20">
        <v>5.0743133270944943E-3</v>
      </c>
      <c r="I2064" s="2">
        <f ca="1"/>
        <v>2057</v>
      </c>
      <c r="J2064">
        <f ca="1"/>
        <v>3.5883969421003417</v>
      </c>
      <c r="K2064">
        <f ca="1"/>
        <v>5.4685489479435511E-3</v>
      </c>
    </row>
    <row r="2065" spans="7:11">
      <c r="G2065" s="20">
        <v>3.5901422713523359</v>
      </c>
      <c r="H2065" s="20">
        <v>5.0838688607973423E-3</v>
      </c>
      <c r="I2065" s="2">
        <f ca="1"/>
        <v>2058</v>
      </c>
      <c r="J2065">
        <f ca="1"/>
        <v>3.5901422713523359</v>
      </c>
      <c r="K2065">
        <f ca="1"/>
        <v>5.4816793657736619E-3</v>
      </c>
    </row>
    <row r="2066" spans="7:11">
      <c r="G2066" s="20">
        <v>3.5918876006043301</v>
      </c>
      <c r="H2066" s="20">
        <v>5.0934479977887701E-3</v>
      </c>
      <c r="I2066" s="2">
        <f ca="1"/>
        <v>2059</v>
      </c>
      <c r="J2066">
        <f ca="1"/>
        <v>3.5918876006043301</v>
      </c>
      <c r="K2066">
        <f ca="1"/>
        <v>5.4946461307826206E-3</v>
      </c>
    </row>
    <row r="2067" spans="7:11">
      <c r="G2067" s="20">
        <v>3.5936329298563243</v>
      </c>
      <c r="H2067" s="20">
        <v>5.1030487940401659E-3</v>
      </c>
      <c r="I2067" s="2">
        <f ca="1"/>
        <v>2060</v>
      </c>
      <c r="J2067">
        <f ca="1"/>
        <v>3.5936329298563243</v>
      </c>
      <c r="K2067">
        <f ca="1"/>
        <v>5.5073181867755748E-3</v>
      </c>
    </row>
    <row r="2068" spans="7:11">
      <c r="G2068" s="20">
        <v>3.5953782591083185</v>
      </c>
      <c r="H2068" s="20">
        <v>5.1126721648516085E-3</v>
      </c>
      <c r="I2068" s="2">
        <f ca="1"/>
        <v>2061</v>
      </c>
      <c r="J2068">
        <f ca="1"/>
        <v>3.5953782591083185</v>
      </c>
      <c r="K2068">
        <f ca="1"/>
        <v>5.5207489387099481E-3</v>
      </c>
    </row>
    <row r="2069" spans="7:11">
      <c r="G2069" s="20">
        <v>3.5971235883603128</v>
      </c>
      <c r="H2069" s="20">
        <v>5.1223198432714589E-3</v>
      </c>
      <c r="I2069" s="2">
        <f ca="1"/>
        <v>2062</v>
      </c>
      <c r="J2069">
        <f ca="1"/>
        <v>3.5971235883603128</v>
      </c>
      <c r="K2069">
        <f ca="1"/>
        <v>5.5342882366359427E-3</v>
      </c>
    </row>
    <row r="2070" spans="7:11">
      <c r="G2070" s="20">
        <v>3.5988689176123079</v>
      </c>
      <c r="H2070" s="20">
        <v>5.1319904751483498E-3</v>
      </c>
      <c r="I2070" s="2">
        <f ca="1"/>
        <v>2063</v>
      </c>
      <c r="J2070">
        <f ca="1"/>
        <v>3.5988689176123079</v>
      </c>
      <c r="K2070">
        <f ca="1"/>
        <v>5.5462164267658098E-3</v>
      </c>
    </row>
    <row r="2071" spans="7:11">
      <c r="G2071" s="20">
        <v>3.6006142468643012</v>
      </c>
      <c r="H2071" s="20">
        <v>5.1416797908065094E-3</v>
      </c>
      <c r="I2071" s="2">
        <f ca="1"/>
        <v>2064</v>
      </c>
      <c r="J2071">
        <f ca="1"/>
        <v>3.6006142468643012</v>
      </c>
      <c r="K2071">
        <f ca="1"/>
        <v>5.5577724681190209E-3</v>
      </c>
    </row>
    <row r="2072" spans="7:11">
      <c r="G2072" s="20">
        <v>3.6023595761162963</v>
      </c>
      <c r="H2072" s="20">
        <v>5.1513907608774223E-3</v>
      </c>
      <c r="I2072" s="2">
        <f ca="1"/>
        <v>2065</v>
      </c>
      <c r="J2072">
        <f ca="1"/>
        <v>3.6023595761162963</v>
      </c>
      <c r="K2072">
        <f ca="1"/>
        <v>5.5705103427377391E-3</v>
      </c>
    </row>
    <row r="2073" spans="7:11">
      <c r="G2073" s="20">
        <v>3.6041049053682905</v>
      </c>
      <c r="H2073" s="20">
        <v>5.1611245401059474E-3</v>
      </c>
      <c r="I2073" s="2">
        <f ca="1"/>
        <v>2066</v>
      </c>
      <c r="J2073">
        <f ca="1"/>
        <v>3.6041049053682905</v>
      </c>
      <c r="K2073">
        <f ca="1"/>
        <v>5.5830583578931814E-3</v>
      </c>
    </row>
    <row r="2074" spans="7:11">
      <c r="G2074" s="20">
        <v>3.6058502346202848</v>
      </c>
      <c r="H2074" s="20">
        <v>5.1708793110126659E-3</v>
      </c>
      <c r="I2074" s="2">
        <f ca="1"/>
        <v>2067</v>
      </c>
      <c r="J2074">
        <f ca="1"/>
        <v>3.6058502346202848</v>
      </c>
      <c r="K2074">
        <f ca="1"/>
        <v>5.5953368989645914E-3</v>
      </c>
    </row>
    <row r="2075" spans="7:11">
      <c r="G2075" s="20">
        <v>3.6075955638722799</v>
      </c>
      <c r="H2075" s="20">
        <v>5.1806559504350034E-3</v>
      </c>
      <c r="I2075" s="2">
        <f ca="1"/>
        <v>2068</v>
      </c>
      <c r="J2075">
        <f ca="1"/>
        <v>3.6075955638722799</v>
      </c>
      <c r="K2075">
        <f ca="1"/>
        <v>5.608377530399237E-3</v>
      </c>
    </row>
    <row r="2076" spans="7:11">
      <c r="G2076" s="20">
        <v>3.6093408931242741</v>
      </c>
      <c r="H2076" s="20">
        <v>5.1904562417327367E-3</v>
      </c>
      <c r="I2076" s="2">
        <f ca="1"/>
        <v>2069</v>
      </c>
      <c r="J2076">
        <f ca="1"/>
        <v>3.6093408931242741</v>
      </c>
      <c r="K2076">
        <f ca="1"/>
        <v>5.6215357125640047E-3</v>
      </c>
    </row>
    <row r="2077" spans="7:11">
      <c r="G2077" s="20">
        <v>3.6110862223762674</v>
      </c>
      <c r="H2077" s="20">
        <v>5.2002788118755347E-3</v>
      </c>
      <c r="I2077" s="2">
        <f ca="1"/>
        <v>2070</v>
      </c>
      <c r="J2077">
        <f ca="1"/>
        <v>3.6110862223762674</v>
      </c>
      <c r="K2077">
        <f ca="1"/>
        <v>5.6330469813627724E-3</v>
      </c>
    </row>
    <row r="2078" spans="7:11">
      <c r="G2078" s="20">
        <v>3.6128315516282616</v>
      </c>
      <c r="H2078" s="20">
        <v>5.210119285081592E-3</v>
      </c>
      <c r="I2078" s="2">
        <f ca="1"/>
        <v>2071</v>
      </c>
      <c r="J2078">
        <f ca="1"/>
        <v>3.6128315516282616</v>
      </c>
      <c r="K2078">
        <f ca="1"/>
        <v>5.6441783145688021E-3</v>
      </c>
    </row>
    <row r="2079" spans="7:11">
      <c r="G2079" s="20">
        <v>3.6145768808802567</v>
      </c>
      <c r="H2079" s="20">
        <v>5.2199807109073165E-3</v>
      </c>
      <c r="I2079" s="2">
        <f ca="1"/>
        <v>2072</v>
      </c>
      <c r="J2079">
        <f ca="1"/>
        <v>3.6145768808802567</v>
      </c>
      <c r="K2079">
        <f ca="1"/>
        <v>5.6571621140598322E-3</v>
      </c>
    </row>
    <row r="2080" spans="7:11">
      <c r="G2080" s="20">
        <v>3.6163222101322505</v>
      </c>
      <c r="H2080" s="20">
        <v>5.2298665061234787E-3</v>
      </c>
      <c r="I2080" s="2">
        <f ca="1"/>
        <v>2073</v>
      </c>
      <c r="J2080">
        <f ca="1"/>
        <v>3.6163222101322505</v>
      </c>
      <c r="K2080">
        <f ca="1"/>
        <v>5.6703247788959825E-3</v>
      </c>
    </row>
    <row r="2081" spans="7:11">
      <c r="G2081" s="20">
        <v>3.6180675393842452</v>
      </c>
      <c r="H2081" s="20">
        <v>5.2397738783171461E-3</v>
      </c>
      <c r="I2081" s="2">
        <f ca="1"/>
        <v>2074</v>
      </c>
      <c r="J2081">
        <f ca="1"/>
        <v>3.6180675393842452</v>
      </c>
      <c r="K2081">
        <f ca="1"/>
        <v>5.6814928335739137E-3</v>
      </c>
    </row>
    <row r="2082" spans="7:11">
      <c r="G2082" s="20">
        <v>3.619812868636239</v>
      </c>
      <c r="H2082" s="20">
        <v>5.2496986573983429E-3</v>
      </c>
      <c r="I2082" s="2">
        <f ca="1"/>
        <v>2075</v>
      </c>
      <c r="J2082">
        <f ca="1"/>
        <v>3.619812868636239</v>
      </c>
      <c r="K2082">
        <f ca="1"/>
        <v>5.6926825482081595E-3</v>
      </c>
    </row>
    <row r="2083" spans="7:11">
      <c r="G2083" s="20">
        <v>3.6215581978882336</v>
      </c>
      <c r="H2083" s="20">
        <v>5.2596450890645555E-3</v>
      </c>
      <c r="I2083" s="2">
        <f ca="1"/>
        <v>2076</v>
      </c>
      <c r="J2083">
        <f ca="1"/>
        <v>3.6215581978882336</v>
      </c>
      <c r="K2083">
        <f ca="1"/>
        <v>5.7052944566232545E-3</v>
      </c>
    </row>
    <row r="2084" spans="7:11">
      <c r="G2084" s="20">
        <v>3.6233035271402287</v>
      </c>
      <c r="H2084" s="20">
        <v>5.2696138920111206E-3</v>
      </c>
      <c r="I2084" s="2">
        <f ca="1"/>
        <v>2077</v>
      </c>
      <c r="J2084">
        <f ca="1"/>
        <v>3.6233035271402287</v>
      </c>
      <c r="K2084">
        <f ca="1"/>
        <v>5.7167985541318909E-3</v>
      </c>
    </row>
    <row r="2085" spans="7:11">
      <c r="G2085" s="20">
        <v>3.6250488563922221</v>
      </c>
      <c r="H2085" s="20">
        <v>5.2796004805531248E-3</v>
      </c>
      <c r="I2085" s="2">
        <f ca="1"/>
        <v>2078</v>
      </c>
      <c r="J2085">
        <f ca="1"/>
        <v>3.6250488563922221</v>
      </c>
      <c r="K2085">
        <f ca="1"/>
        <v>5.7278453599984569E-3</v>
      </c>
    </row>
    <row r="2086" spans="7:11">
      <c r="G2086" s="20">
        <v>3.6267941856442172</v>
      </c>
      <c r="H2086" s="20">
        <v>5.2896078441265299E-3</v>
      </c>
      <c r="I2086" s="2">
        <f ca="1"/>
        <v>2079</v>
      </c>
      <c r="J2086">
        <f ca="1"/>
        <v>3.6267941856442172</v>
      </c>
      <c r="K2086">
        <f ca="1"/>
        <v>5.740456488747242E-3</v>
      </c>
    </row>
    <row r="2087" spans="7:11">
      <c r="G2087" s="20">
        <v>3.628539514896211</v>
      </c>
      <c r="H2087" s="20">
        <v>5.2996384538123486E-3</v>
      </c>
      <c r="I2087" s="2">
        <f ca="1"/>
        <v>2080</v>
      </c>
      <c r="J2087">
        <f ca="1"/>
        <v>3.628539514896211</v>
      </c>
      <c r="K2087">
        <f ca="1"/>
        <v>5.753140006658896E-3</v>
      </c>
    </row>
    <row r="2088" spans="7:11">
      <c r="G2088" s="20">
        <v>3.6302848441482056</v>
      </c>
      <c r="H2088" s="20">
        <v>5.3096900912154099E-3</v>
      </c>
      <c r="I2088" s="2">
        <f ca="1"/>
        <v>2081</v>
      </c>
      <c r="J2088">
        <f ca="1"/>
        <v>3.6302848441482056</v>
      </c>
      <c r="K2088">
        <f ca="1"/>
        <v>5.7652145131081413E-3</v>
      </c>
    </row>
    <row r="2089" spans="7:11">
      <c r="G2089" s="20">
        <v>3.6320301734001994</v>
      </c>
      <c r="H2089" s="20">
        <v>5.3197628488798471E-3</v>
      </c>
      <c r="I2089" s="2">
        <f ca="1"/>
        <v>2082</v>
      </c>
      <c r="J2089">
        <f ca="1"/>
        <v>3.6320301734001994</v>
      </c>
      <c r="K2089">
        <f ca="1"/>
        <v>5.7771325445933911E-3</v>
      </c>
    </row>
    <row r="2090" spans="7:11">
      <c r="G2090" s="20">
        <v>3.6337755026521936</v>
      </c>
      <c r="H2090" s="20">
        <v>5.3298560880608607E-3</v>
      </c>
      <c r="I2090" s="2">
        <f ca="1"/>
        <v>2083</v>
      </c>
      <c r="J2090">
        <f ca="1"/>
        <v>3.6337755026521936</v>
      </c>
      <c r="K2090">
        <f ca="1"/>
        <v>5.7873014984972555E-3</v>
      </c>
    </row>
    <row r="2091" spans="7:11">
      <c r="G2091" s="20">
        <v>3.6355208319041878</v>
      </c>
      <c r="H2091" s="20">
        <v>5.3399643420707216E-3</v>
      </c>
      <c r="I2091" s="2">
        <f ca="1"/>
        <v>2084</v>
      </c>
      <c r="J2091">
        <f ca="1"/>
        <v>3.6355208319041878</v>
      </c>
      <c r="K2091">
        <f ca="1"/>
        <v>5.7971704711982886E-3</v>
      </c>
    </row>
    <row r="2092" spans="7:11">
      <c r="G2092" s="20">
        <v>3.637266161156183</v>
      </c>
      <c r="H2092" s="20">
        <v>5.3500920304652248E-3</v>
      </c>
      <c r="I2092" s="2">
        <f ca="1"/>
        <v>2085</v>
      </c>
      <c r="J2092">
        <f ca="1"/>
        <v>3.637266161156183</v>
      </c>
      <c r="K2092">
        <f ca="1"/>
        <v>5.8088811688412657E-3</v>
      </c>
    </row>
    <row r="2093" spans="7:11">
      <c r="G2093" s="20">
        <v>3.6390114904081772</v>
      </c>
      <c r="H2093" s="20">
        <v>5.3602411625214008E-3</v>
      </c>
      <c r="I2093" s="2">
        <f ca="1"/>
        <v>2086</v>
      </c>
      <c r="J2093">
        <f ca="1"/>
        <v>3.6390114904081772</v>
      </c>
      <c r="K2093">
        <f ca="1"/>
        <v>5.8210706752802443E-3</v>
      </c>
    </row>
    <row r="2094" spans="7:11">
      <c r="G2094" s="20">
        <v>3.6407568196601714</v>
      </c>
      <c r="H2094" s="20">
        <v>5.3704114003202096E-3</v>
      </c>
      <c r="I2094" s="2">
        <f ca="1"/>
        <v>2087</v>
      </c>
      <c r="J2094">
        <f ca="1"/>
        <v>3.6407568196601714</v>
      </c>
      <c r="K2094">
        <f ca="1"/>
        <v>5.8330631132133539E-3</v>
      </c>
    </row>
    <row r="2095" spans="7:11">
      <c r="G2095" s="20">
        <v>3.6425021489121661</v>
      </c>
      <c r="H2095" s="20">
        <v>5.3806023938818429E-3</v>
      </c>
      <c r="I2095" s="2">
        <f ca="1"/>
        <v>2088</v>
      </c>
      <c r="J2095">
        <f ca="1"/>
        <v>3.6425021489121661</v>
      </c>
      <c r="K2095">
        <f ca="1"/>
        <v>5.8435508555170924E-3</v>
      </c>
    </row>
    <row r="2096" spans="7:11">
      <c r="G2096" s="20">
        <v>3.6442474781641598</v>
      </c>
      <c r="H2096" s="20">
        <v>5.3908092408075092E-3</v>
      </c>
      <c r="I2096" s="2">
        <f ca="1"/>
        <v>2089</v>
      </c>
      <c r="J2096">
        <f ca="1"/>
        <v>3.6442474781641598</v>
      </c>
      <c r="K2096">
        <f ca="1"/>
        <v>5.8536329529298445E-3</v>
      </c>
    </row>
    <row r="2097" spans="7:11">
      <c r="G2097" s="20">
        <v>3.6459928074161545</v>
      </c>
      <c r="H2097" s="20">
        <v>5.4010354275282144E-3</v>
      </c>
      <c r="I2097" s="2">
        <f ca="1"/>
        <v>2090</v>
      </c>
      <c r="J2097">
        <f ca="1"/>
        <v>3.6459928074161545</v>
      </c>
      <c r="K2097">
        <f ca="1"/>
        <v>5.8649982369717033E-3</v>
      </c>
    </row>
    <row r="2098" spans="7:11">
      <c r="G2098" s="20">
        <v>3.6477381366681487</v>
      </c>
      <c r="H2098" s="20">
        <v>5.4112819467792743E-3</v>
      </c>
      <c r="I2098" s="2">
        <f ca="1"/>
        <v>2091</v>
      </c>
      <c r="J2098">
        <f ca="1"/>
        <v>3.6477381366681487</v>
      </c>
      <c r="K2098">
        <f ca="1"/>
        <v>5.8761272902688065E-3</v>
      </c>
    </row>
    <row r="2099" spans="7:11">
      <c r="G2099" s="20">
        <v>3.6494834659201434</v>
      </c>
      <c r="H2099" s="20">
        <v>5.4215469812245124E-3</v>
      </c>
      <c r="I2099" s="2">
        <f ca="1"/>
        <v>2092</v>
      </c>
      <c r="J2099">
        <f ca="1"/>
        <v>3.6494834659201434</v>
      </c>
      <c r="K2099">
        <f ca="1"/>
        <v>5.8870005111844089E-3</v>
      </c>
    </row>
    <row r="2100" spans="7:11">
      <c r="G2100" s="20">
        <v>3.6512287951721376</v>
      </c>
      <c r="H2100" s="20">
        <v>5.4318314551766271E-3</v>
      </c>
      <c r="I2100" s="2">
        <f ca="1"/>
        <v>2093</v>
      </c>
      <c r="J2100">
        <f ca="1"/>
        <v>3.6512287951721376</v>
      </c>
      <c r="K2100">
        <f ca="1"/>
        <v>5.8986938887416688E-3</v>
      </c>
    </row>
    <row r="2101" spans="7:11">
      <c r="G2101" s="20">
        <v>3.6529741244241318</v>
      </c>
      <c r="H2101" s="20">
        <v>5.4421373072096732E-3</v>
      </c>
      <c r="I2101" s="2">
        <f ca="1"/>
        <v>2094</v>
      </c>
      <c r="J2101">
        <f ca="1"/>
        <v>3.6529741244241318</v>
      </c>
      <c r="K2101">
        <f ca="1"/>
        <v>5.9105231153906475E-3</v>
      </c>
    </row>
    <row r="2102" spans="7:11">
      <c r="G2102" s="20">
        <v>3.6547194536761261</v>
      </c>
      <c r="H2102" s="20">
        <v>5.4524630729523857E-3</v>
      </c>
      <c r="I2102" s="2">
        <f ca="1"/>
        <v>2095</v>
      </c>
      <c r="J2102">
        <f ca="1"/>
        <v>3.6547194536761261</v>
      </c>
      <c r="K2102">
        <f ca="1"/>
        <v>5.9205762403957999E-3</v>
      </c>
    </row>
    <row r="2103" spans="7:11">
      <c r="G2103" s="20">
        <v>3.6564647829281203</v>
      </c>
      <c r="H2103" s="20">
        <v>5.4628040170117227E-3</v>
      </c>
      <c r="I2103" s="2">
        <f ca="1"/>
        <v>2096</v>
      </c>
      <c r="J2103">
        <f ca="1"/>
        <v>3.6564647829281203</v>
      </c>
      <c r="K2103">
        <f ca="1"/>
        <v>5.9302237237938756E-3</v>
      </c>
    </row>
    <row r="2104" spans="7:11">
      <c r="G2104" s="20">
        <v>3.6582101121801149</v>
      </c>
      <c r="H2104" s="20">
        <v>5.4731634588244035E-3</v>
      </c>
      <c r="I2104" s="2">
        <f ca="1"/>
        <v>2097</v>
      </c>
      <c r="J2104">
        <f ca="1"/>
        <v>3.6582101121801149</v>
      </c>
      <c r="K2104">
        <f ca="1"/>
        <v>5.9418848740411577E-3</v>
      </c>
    </row>
    <row r="2105" spans="7:11">
      <c r="G2105" s="20">
        <v>3.6599554414321087</v>
      </c>
      <c r="H2105" s="20">
        <v>5.4835451079770147E-3</v>
      </c>
      <c r="I2105" s="2">
        <f ca="1"/>
        <v>2098</v>
      </c>
      <c r="J2105">
        <f ca="1"/>
        <v>3.6599554414321087</v>
      </c>
      <c r="K2105">
        <f ca="1"/>
        <v>5.9537460752240329E-3</v>
      </c>
    </row>
    <row r="2106" spans="7:11">
      <c r="G2106" s="20">
        <v>3.6617007706841038</v>
      </c>
      <c r="H2106" s="20">
        <v>5.4939459531924747E-3</v>
      </c>
      <c r="I2106" s="2">
        <f ca="1"/>
        <v>2099</v>
      </c>
      <c r="J2106">
        <f ca="1"/>
        <v>3.6617007706841038</v>
      </c>
      <c r="K2106">
        <f ca="1"/>
        <v>5.9634548830857885E-3</v>
      </c>
    </row>
    <row r="2107" spans="7:11">
      <c r="G2107" s="20">
        <v>3.6634460999360972</v>
      </c>
      <c r="H2107" s="20">
        <v>5.5043614924778096E-3</v>
      </c>
      <c r="I2107" s="2">
        <f ca="1"/>
        <v>2100</v>
      </c>
      <c r="J2107">
        <f ca="1"/>
        <v>3.6634460999360972</v>
      </c>
      <c r="K2107">
        <f ca="1"/>
        <v>5.973193227997514E-3</v>
      </c>
    </row>
    <row r="2108" spans="7:11">
      <c r="G2108" s="20">
        <v>3.6651914291880923</v>
      </c>
      <c r="H2108" s="20">
        <v>5.5147963309297504E-3</v>
      </c>
      <c r="I2108" s="2">
        <f ca="1"/>
        <v>2101</v>
      </c>
      <c r="J2108">
        <f ca="1"/>
        <v>3.6651914291880923</v>
      </c>
      <c r="K2108">
        <f ca="1"/>
        <v>5.984477477606014E-3</v>
      </c>
    </row>
    <row r="2109" spans="7:11">
      <c r="G2109" s="20">
        <v>3.6669367584400865</v>
      </c>
      <c r="H2109" s="20">
        <v>5.5252512596769476E-3</v>
      </c>
      <c r="I2109" s="2">
        <f ca="1"/>
        <v>2102</v>
      </c>
      <c r="J2109">
        <f ca="1"/>
        <v>3.6669367584400865</v>
      </c>
      <c r="K2109">
        <f ca="1"/>
        <v>5.9945714013289421E-3</v>
      </c>
    </row>
    <row r="2110" spans="7:11">
      <c r="G2110" s="20">
        <v>3.6686820876920807</v>
      </c>
      <c r="H2110" s="20">
        <v>5.5357213325695652E-3</v>
      </c>
      <c r="I2110" s="2">
        <f ca="1"/>
        <v>2103</v>
      </c>
      <c r="J2110">
        <f ca="1"/>
        <v>3.6686820876920807</v>
      </c>
      <c r="K2110">
        <f ca="1"/>
        <v>6.0041772390447175E-3</v>
      </c>
    </row>
    <row r="2111" spans="7:11">
      <c r="G2111" s="20">
        <v>3.6704274169440749</v>
      </c>
      <c r="H2111" s="20">
        <v>5.5462097920158729E-3</v>
      </c>
      <c r="I2111" s="2">
        <f ca="1"/>
        <v>2104</v>
      </c>
      <c r="J2111">
        <f ca="1"/>
        <v>3.6704274169440749</v>
      </c>
      <c r="K2111">
        <f ca="1"/>
        <v>6.0154792502775086E-3</v>
      </c>
    </row>
    <row r="2112" spans="7:11">
      <c r="G2112" s="20">
        <v>3.6721727461960687</v>
      </c>
      <c r="H2112" s="20">
        <v>5.5567193163701097E-3</v>
      </c>
      <c r="I2112" s="2">
        <f ca="1"/>
        <v>2105</v>
      </c>
      <c r="J2112">
        <f ca="1"/>
        <v>3.6721727461960687</v>
      </c>
      <c r="K2112">
        <f ca="1"/>
        <v>6.026865801980333E-3</v>
      </c>
    </row>
    <row r="2113" spans="7:11">
      <c r="G2113" s="20">
        <v>3.6739180754480634</v>
      </c>
      <c r="H2113" s="20">
        <v>5.5672475223799527E-3</v>
      </c>
      <c r="I2113" s="2">
        <f ca="1"/>
        <v>2106</v>
      </c>
      <c r="J2113">
        <f ca="1"/>
        <v>3.6739180754480634</v>
      </c>
      <c r="K2113">
        <f ca="1"/>
        <v>6.0362119073407976E-3</v>
      </c>
    </row>
    <row r="2114" spans="7:11">
      <c r="G2114" s="20">
        <v>3.6756634047000576</v>
      </c>
      <c r="H2114" s="20">
        <v>5.5777896707963478E-3</v>
      </c>
      <c r="I2114" s="2">
        <f ca="1"/>
        <v>2107</v>
      </c>
      <c r="J2114">
        <f ca="1"/>
        <v>3.6756634047000576</v>
      </c>
      <c r="K2114">
        <f ca="1"/>
        <v>6.0451570096991735E-3</v>
      </c>
    </row>
    <row r="2115" spans="7:11">
      <c r="G2115" s="20">
        <v>3.6774087339520518</v>
      </c>
      <c r="H2115" s="20">
        <v>5.5883491011038044E-3</v>
      </c>
      <c r="I2115" s="2">
        <f ca="1"/>
        <v>2108</v>
      </c>
      <c r="J2115">
        <f ca="1"/>
        <v>3.6774087339520518</v>
      </c>
      <c r="K2115">
        <f ca="1"/>
        <v>6.0555298587048759E-3</v>
      </c>
    </row>
    <row r="2116" spans="7:11">
      <c r="G2116" s="20">
        <v>3.679154063204046</v>
      </c>
      <c r="H2116" s="20">
        <v>5.5989274575937919E-3</v>
      </c>
      <c r="I2116" s="2">
        <f ca="1"/>
        <v>2109</v>
      </c>
      <c r="J2116">
        <f ca="1"/>
        <v>3.679154063204046</v>
      </c>
      <c r="K2116">
        <f ca="1"/>
        <v>6.0657251784672316E-3</v>
      </c>
    </row>
    <row r="2117" spans="7:11">
      <c r="G2117" s="20">
        <v>3.6808993924560411</v>
      </c>
      <c r="H2117" s="20">
        <v>5.6095224762808833E-3</v>
      </c>
      <c r="I2117" s="2">
        <f ca="1"/>
        <v>2110</v>
      </c>
      <c r="J2117">
        <f ca="1"/>
        <v>3.6808993924560411</v>
      </c>
      <c r="K2117">
        <f ca="1"/>
        <v>6.0755875724237147E-3</v>
      </c>
    </row>
    <row r="2118" spans="7:11">
      <c r="G2118" s="20">
        <v>3.6826447217080354</v>
      </c>
      <c r="H2118" s="20">
        <v>5.6201352590202047E-3</v>
      </c>
      <c r="I2118" s="2">
        <f ca="1"/>
        <v>2111</v>
      </c>
      <c r="J2118">
        <f ca="1"/>
        <v>3.6826447217080354</v>
      </c>
      <c r="K2118">
        <f ca="1"/>
        <v>6.0863536753679361E-3</v>
      </c>
    </row>
    <row r="2119" spans="7:11">
      <c r="G2119" s="20">
        <v>3.6843900509600296</v>
      </c>
      <c r="H2119" s="20">
        <v>5.6307678584960877E-3</v>
      </c>
      <c r="I2119" s="2">
        <f ca="1"/>
        <v>2112</v>
      </c>
      <c r="J2119">
        <f ca="1"/>
        <v>3.6843900509600296</v>
      </c>
      <c r="K2119">
        <f ca="1"/>
        <v>6.097260421943404E-3</v>
      </c>
    </row>
    <row r="2120" spans="7:11">
      <c r="G2120" s="20">
        <v>3.6861353802120238</v>
      </c>
      <c r="H2120" s="20">
        <v>5.6414187129630936E-3</v>
      </c>
      <c r="I2120" s="2">
        <f ca="1"/>
        <v>2113</v>
      </c>
      <c r="J2120">
        <f ca="1"/>
        <v>3.6861353802120238</v>
      </c>
      <c r="K2120">
        <f ca="1"/>
        <v>6.1062949167601781E-3</v>
      </c>
    </row>
    <row r="2121" spans="7:11">
      <c r="G2121" s="20">
        <v>3.687880709464018</v>
      </c>
      <c r="H2121" s="20">
        <v>5.652082848775138E-3</v>
      </c>
      <c r="I2121" s="2">
        <f ca="1"/>
        <v>2114</v>
      </c>
      <c r="J2121">
        <f ca="1"/>
        <v>3.687880709464018</v>
      </c>
      <c r="K2121">
        <f ca="1"/>
        <v>6.1149074101028121E-3</v>
      </c>
    </row>
    <row r="2122" spans="7:11">
      <c r="G2122" s="20">
        <v>3.6896260387160122</v>
      </c>
      <c r="H2122" s="20">
        <v>5.6627637665152709E-3</v>
      </c>
      <c r="I2122" s="2">
        <f ca="1"/>
        <v>2115</v>
      </c>
      <c r="J2122">
        <f ca="1"/>
        <v>3.6896260387160122</v>
      </c>
      <c r="K2122">
        <f ca="1"/>
        <v>6.1249173120382231E-3</v>
      </c>
    </row>
    <row r="2123" spans="7:11">
      <c r="G2123" s="20">
        <v>3.6913713679680069</v>
      </c>
      <c r="H2123" s="20">
        <v>5.6734628434766329E-3</v>
      </c>
      <c r="I2123" s="2">
        <f ca="1"/>
        <v>2116</v>
      </c>
      <c r="J2123">
        <f ca="1"/>
        <v>3.6913713679680069</v>
      </c>
      <c r="K2123">
        <f ca="1"/>
        <v>6.1347197816472489E-3</v>
      </c>
    </row>
    <row r="2124" spans="7:11">
      <c r="G2124" s="20">
        <v>3.6931166972200011</v>
      </c>
      <c r="H2124" s="20">
        <v>5.6841779782906667E-3</v>
      </c>
      <c r="I2124" s="2">
        <f ca="1"/>
        <v>2117</v>
      </c>
      <c r="J2124">
        <f ca="1"/>
        <v>3.6931166972200011</v>
      </c>
      <c r="K2124">
        <f ca="1"/>
        <v>6.1442207254935911E-3</v>
      </c>
    </row>
    <row r="2125" spans="7:11">
      <c r="G2125" s="20">
        <v>3.6948620264719958</v>
      </c>
      <c r="H2125" s="20">
        <v>5.6949102198024619E-3</v>
      </c>
      <c r="I2125" s="2">
        <f ca="1"/>
        <v>2118</v>
      </c>
      <c r="J2125">
        <f ca="1"/>
        <v>3.6948620264719958</v>
      </c>
      <c r="K2125">
        <f ca="1"/>
        <v>6.1546229802378373E-3</v>
      </c>
    </row>
    <row r="2126" spans="7:11">
      <c r="G2126" s="20">
        <v>3.69660735572399</v>
      </c>
      <c r="H2126" s="20">
        <v>5.7056616653354793E-3</v>
      </c>
      <c r="I2126" s="2">
        <f ca="1"/>
        <v>2119</v>
      </c>
      <c r="J2126">
        <f ca="1"/>
        <v>3.69660735572399</v>
      </c>
      <c r="K2126">
        <f ca="1"/>
        <v>6.165175060622332E-3</v>
      </c>
    </row>
    <row r="2127" spans="7:11">
      <c r="G2127" s="20">
        <v>3.6983526849759842</v>
      </c>
      <c r="H2127" s="20">
        <v>5.7164307405564007E-3</v>
      </c>
      <c r="I2127" s="2">
        <f ca="1"/>
        <v>2120</v>
      </c>
      <c r="J2127">
        <f ca="1"/>
        <v>3.6983526849759842</v>
      </c>
      <c r="K2127">
        <f ca="1"/>
        <v>6.1738250189920241E-3</v>
      </c>
    </row>
    <row r="2128" spans="7:11">
      <c r="G2128" s="20">
        <v>3.7000980142279785</v>
      </c>
      <c r="H2128" s="20">
        <v>5.7272123801401604E-3</v>
      </c>
      <c r="I2128" s="2">
        <f ca="1"/>
        <v>2121</v>
      </c>
      <c r="J2128">
        <f ca="1"/>
        <v>3.7000980142279785</v>
      </c>
      <c r="K2128">
        <f ca="1"/>
        <v>6.1820462609081268E-3</v>
      </c>
    </row>
    <row r="2129" spans="7:11">
      <c r="G2129" s="20">
        <v>3.7018433434799736</v>
      </c>
      <c r="H2129" s="20">
        <v>5.7380101529090951E-3</v>
      </c>
      <c r="I2129" s="2">
        <f ca="1"/>
        <v>2122</v>
      </c>
      <c r="J2129">
        <f ca="1"/>
        <v>3.7018433434799736</v>
      </c>
      <c r="K2129">
        <f ca="1"/>
        <v>6.1924330979523587E-3</v>
      </c>
    </row>
    <row r="2130" spans="7:11">
      <c r="G2130" s="20">
        <v>3.7035886727319673</v>
      </c>
      <c r="H2130" s="20">
        <v>5.7488280493939101E-3</v>
      </c>
      <c r="I2130" s="2">
        <f ca="1"/>
        <v>2123</v>
      </c>
      <c r="J2130">
        <f ca="1"/>
        <v>3.7035886727319673</v>
      </c>
      <c r="K2130">
        <f ca="1"/>
        <v>6.2030409811202909E-3</v>
      </c>
    </row>
    <row r="2131" spans="7:11">
      <c r="G2131" s="20">
        <v>3.705334001983962</v>
      </c>
      <c r="H2131" s="20">
        <v>5.7596628506604314E-3</v>
      </c>
      <c r="I2131" s="2">
        <f ca="1"/>
        <v>2124</v>
      </c>
      <c r="J2131">
        <f ca="1"/>
        <v>3.705334001983962</v>
      </c>
      <c r="K2131">
        <f ca="1"/>
        <v>6.2113490450573221E-3</v>
      </c>
    </row>
    <row r="2132" spans="7:11">
      <c r="G2132" s="20">
        <v>3.7070793312359558</v>
      </c>
      <c r="H2132" s="20">
        <v>5.7705097477592799E-3</v>
      </c>
      <c r="I2132" s="2">
        <f ca="1"/>
        <v>2125</v>
      </c>
      <c r="J2132">
        <f ca="1"/>
        <v>3.7070793312359558</v>
      </c>
      <c r="K2132">
        <f ca="1"/>
        <v>6.2196941078634599E-3</v>
      </c>
    </row>
    <row r="2133" spans="7:11">
      <c r="G2133" s="20">
        <v>3.70882466048795</v>
      </c>
      <c r="H2133" s="20">
        <v>5.7813736787902491E-3</v>
      </c>
      <c r="I2133" s="2">
        <f ca="1"/>
        <v>2126</v>
      </c>
      <c r="J2133">
        <f ca="1"/>
        <v>3.70882466048795</v>
      </c>
      <c r="K2133">
        <f ca="1"/>
        <v>6.2297002033857617E-3</v>
      </c>
    </row>
    <row r="2134" spans="7:11">
      <c r="G2134" s="20">
        <v>3.7105699897399447</v>
      </c>
      <c r="H2134" s="20">
        <v>5.7922555037515297E-3</v>
      </c>
      <c r="I2134" s="2">
        <f ca="1"/>
        <v>2127</v>
      </c>
      <c r="J2134">
        <f ca="1"/>
        <v>3.7105699897399447</v>
      </c>
      <c r="K2134">
        <f ca="1"/>
        <v>6.2384397675960919E-3</v>
      </c>
    </row>
    <row r="2135" spans="7:11">
      <c r="G2135" s="20">
        <v>3.7123153189919385</v>
      </c>
      <c r="H2135" s="20">
        <v>5.8031499416166281E-3</v>
      </c>
      <c r="I2135" s="2">
        <f ca="1"/>
        <v>2128</v>
      </c>
      <c r="J2135">
        <f ca="1"/>
        <v>3.7123153189919385</v>
      </c>
      <c r="K2135">
        <f ca="1"/>
        <v>6.2466627773037795E-3</v>
      </c>
    </row>
    <row r="2136" spans="7:11">
      <c r="G2136" s="20">
        <v>3.7140606482439336</v>
      </c>
      <c r="H2136" s="20">
        <v>5.814060470296676E-3</v>
      </c>
      <c r="I2136" s="2">
        <f ca="1"/>
        <v>2129</v>
      </c>
      <c r="J2136">
        <f ca="1"/>
        <v>3.7140606482439336</v>
      </c>
      <c r="K2136">
        <f ca="1"/>
        <v>6.2567047095812324E-3</v>
      </c>
    </row>
    <row r="2137" spans="7:11">
      <c r="G2137" s="20">
        <v>3.7158059774959269</v>
      </c>
      <c r="H2137" s="20">
        <v>5.8249899611180723E-3</v>
      </c>
      <c r="I2137" s="2">
        <f ca="1"/>
        <v>2130</v>
      </c>
      <c r="J2137">
        <f ca="1"/>
        <v>3.7158059774959269</v>
      </c>
      <c r="K2137">
        <f ca="1"/>
        <v>6.2668426015708399E-3</v>
      </c>
    </row>
    <row r="2138" spans="7:11">
      <c r="G2138" s="20">
        <v>3.717551306747922</v>
      </c>
      <c r="H2138" s="20">
        <v>5.8359358777170063E-3</v>
      </c>
      <c r="I2138" s="2">
        <f ca="1"/>
        <v>2131</v>
      </c>
      <c r="J2138">
        <f ca="1"/>
        <v>3.717551306747922</v>
      </c>
      <c r="K2138">
        <f ca="1"/>
        <v>6.2748069638906443E-3</v>
      </c>
    </row>
    <row r="2139" spans="7:11">
      <c r="G2139" s="20">
        <v>3.7192966359999162</v>
      </c>
      <c r="H2139" s="20">
        <v>5.8468931694074687E-3</v>
      </c>
      <c r="I2139" s="2">
        <f ca="1"/>
        <v>2132</v>
      </c>
      <c r="J2139">
        <f ca="1"/>
        <v>3.7192966359999162</v>
      </c>
      <c r="K2139">
        <f ca="1"/>
        <v>6.282348973476559E-3</v>
      </c>
    </row>
    <row r="2140" spans="7:11">
      <c r="G2140" s="20">
        <v>3.7210419652519104</v>
      </c>
      <c r="H2140" s="20">
        <v>5.8578654125862953E-3</v>
      </c>
      <c r="I2140" s="2">
        <f ca="1"/>
        <v>2133</v>
      </c>
      <c r="J2140">
        <f ca="1"/>
        <v>3.7210419652519104</v>
      </c>
      <c r="K2140">
        <f ca="1"/>
        <v>6.2914214158925333E-3</v>
      </c>
    </row>
    <row r="2141" spans="7:11">
      <c r="G2141" s="20">
        <v>3.7227872945039047</v>
      </c>
      <c r="H2141" s="20">
        <v>5.8688543730750289E-3</v>
      </c>
      <c r="I2141" s="2">
        <f ca="1"/>
        <v>2134</v>
      </c>
      <c r="J2141">
        <f ca="1"/>
        <v>3.7227872945039047</v>
      </c>
      <c r="K2141">
        <f ca="1"/>
        <v>6.3003101557481678E-3</v>
      </c>
    </row>
    <row r="2142" spans="7:11">
      <c r="G2142" s="20">
        <v>3.7245326237558993</v>
      </c>
      <c r="H2142" s="20">
        <v>5.8798576438092252E-3</v>
      </c>
      <c r="I2142" s="2">
        <f ca="1"/>
        <v>2135</v>
      </c>
      <c r="J2142">
        <f ca="1"/>
        <v>3.7245326237558993</v>
      </c>
      <c r="K2142">
        <f ca="1"/>
        <v>6.308849238975258E-3</v>
      </c>
    </row>
    <row r="2143" spans="7:11">
      <c r="G2143" s="20">
        <v>3.726277953007894</v>
      </c>
      <c r="H2143" s="20">
        <v>5.8908764113214445E-3</v>
      </c>
      <c r="I2143" s="2">
        <f ca="1"/>
        <v>2136</v>
      </c>
      <c r="J2143">
        <f ca="1"/>
        <v>3.726277953007894</v>
      </c>
      <c r="K2143">
        <f ca="1"/>
        <v>6.3183574772171991E-3</v>
      </c>
    </row>
    <row r="2144" spans="7:11">
      <c r="G2144" s="20">
        <v>3.7280232822598873</v>
      </c>
      <c r="H2144" s="20">
        <v>5.9019128720683095E-3</v>
      </c>
      <c r="I2144" s="2">
        <f ca="1"/>
        <v>2137</v>
      </c>
      <c r="J2144">
        <f ca="1"/>
        <v>3.7280232822598873</v>
      </c>
      <c r="K2144">
        <f ca="1"/>
        <v>6.3280209019225438E-3</v>
      </c>
    </row>
    <row r="2145" spans="7:11">
      <c r="G2145" s="20">
        <v>3.7297686115118824</v>
      </c>
      <c r="H2145" s="20">
        <v>5.9129653712961571E-3</v>
      </c>
      <c r="I2145" s="2">
        <f ca="1"/>
        <v>2138</v>
      </c>
      <c r="J2145">
        <f ca="1"/>
        <v>3.7297686115118824</v>
      </c>
      <c r="K2145">
        <f ca="1"/>
        <v>6.3356953661786852E-3</v>
      </c>
    </row>
    <row r="2146" spans="7:11">
      <c r="G2146" s="20">
        <v>3.7315139407638758</v>
      </c>
      <c r="H2146" s="20">
        <v>5.9240286209769413E-3</v>
      </c>
      <c r="I2146" s="2">
        <f ca="1"/>
        <v>2139</v>
      </c>
      <c r="J2146">
        <f ca="1"/>
        <v>3.7315139407638758</v>
      </c>
      <c r="K2146">
        <f ca="1"/>
        <v>6.3429258259519814E-3</v>
      </c>
    </row>
    <row r="2147" spans="7:11">
      <c r="G2147" s="20">
        <v>3.7332592700158709</v>
      </c>
      <c r="H2147" s="20">
        <v>5.9351063592706843E-3</v>
      </c>
      <c r="I2147" s="2">
        <f ca="1"/>
        <v>2140</v>
      </c>
      <c r="J2147">
        <f ca="1"/>
        <v>3.7332592700158709</v>
      </c>
      <c r="K2147">
        <f ca="1"/>
        <v>6.3516504008693814E-3</v>
      </c>
    </row>
    <row r="2148" spans="7:11">
      <c r="G2148" s="20">
        <v>3.7350045992678651</v>
      </c>
      <c r="H2148" s="20">
        <v>5.9462000634631033E-3</v>
      </c>
      <c r="I2148" s="2">
        <f ca="1"/>
        <v>2141</v>
      </c>
      <c r="J2148">
        <f ca="1"/>
        <v>3.7350045992678651</v>
      </c>
      <c r="K2148">
        <f ca="1"/>
        <v>6.3601599733088612E-3</v>
      </c>
    </row>
    <row r="2149" spans="7:11">
      <c r="G2149" s="20">
        <v>3.7367499285198593</v>
      </c>
      <c r="H2149" s="20">
        <v>5.9573075057682418E-3</v>
      </c>
      <c r="I2149" s="2">
        <f ca="1"/>
        <v>2142</v>
      </c>
      <c r="J2149">
        <f ca="1"/>
        <v>3.7367499285198593</v>
      </c>
      <c r="K2149">
        <f ca="1"/>
        <v>6.3683538825791194E-3</v>
      </c>
    </row>
    <row r="2150" spans="7:11">
      <c r="G2150" s="20">
        <v>3.7384952577718544</v>
      </c>
      <c r="H2150" s="20">
        <v>5.9684298120997415E-3</v>
      </c>
      <c r="I2150" s="2">
        <f ca="1"/>
        <v>2143</v>
      </c>
      <c r="J2150">
        <f ca="1"/>
        <v>3.7384952577718544</v>
      </c>
      <c r="K2150">
        <f ca="1"/>
        <v>6.3775117058646183E-3</v>
      </c>
    </row>
    <row r="2151" spans="7:11">
      <c r="G2151" s="20">
        <v>3.7402405870238487</v>
      </c>
      <c r="H2151" s="20">
        <v>5.9795692212386096E-3</v>
      </c>
      <c r="I2151" s="2">
        <f ca="1"/>
        <v>2144</v>
      </c>
      <c r="J2151">
        <f ca="1"/>
        <v>3.7402405870238487</v>
      </c>
      <c r="K2151">
        <f ca="1"/>
        <v>6.3868340650454544E-3</v>
      </c>
    </row>
    <row r="2152" spans="7:11">
      <c r="G2152" s="20">
        <v>3.7419859162758429</v>
      </c>
      <c r="H2152" s="20">
        <v>5.9907240687424555E-3</v>
      </c>
      <c r="I2152" s="2">
        <f ca="1"/>
        <v>2145</v>
      </c>
      <c r="J2152">
        <f ca="1"/>
        <v>3.7419859162758429</v>
      </c>
      <c r="K2152">
        <f ca="1"/>
        <v>6.3941400720411139E-3</v>
      </c>
    </row>
    <row r="2153" spans="7:11">
      <c r="G2153" s="20">
        <v>3.7437312455278371</v>
      </c>
      <c r="H2153" s="20">
        <v>6.0018889806567732E-3</v>
      </c>
      <c r="I2153" s="2">
        <f ca="1"/>
        <v>2146</v>
      </c>
      <c r="J2153">
        <f ca="1"/>
        <v>3.7437312455278371</v>
      </c>
      <c r="K2153">
        <f ca="1"/>
        <v>6.4009959274988768E-3</v>
      </c>
    </row>
    <row r="2154" spans="7:11">
      <c r="G2154" s="20">
        <v>3.7454765747798313</v>
      </c>
      <c r="H2154" s="20">
        <v>6.0130677596107749E-3</v>
      </c>
      <c r="I2154" s="2">
        <f ca="1"/>
        <v>2147</v>
      </c>
      <c r="J2154">
        <f ca="1"/>
        <v>3.7454765747798313</v>
      </c>
      <c r="K2154">
        <f ca="1"/>
        <v>6.4101579741147243E-3</v>
      </c>
    </row>
    <row r="2155" spans="7:11">
      <c r="G2155" s="20">
        <v>3.7472219040318255</v>
      </c>
      <c r="H2155" s="20">
        <v>6.024264653101026E-3</v>
      </c>
      <c r="I2155" s="2">
        <f ca="1"/>
        <v>2148</v>
      </c>
      <c r="J2155">
        <f ca="1"/>
        <v>3.7472219040318255</v>
      </c>
      <c r="K2155">
        <f ca="1"/>
        <v>6.419559801830615E-3</v>
      </c>
    </row>
    <row r="2156" spans="7:11">
      <c r="G2156" s="20">
        <v>3.7489672332838198</v>
      </c>
      <c r="H2156" s="20">
        <v>6.0354762506248973E-3</v>
      </c>
      <c r="I2156" s="2">
        <f ca="1"/>
        <v>2149</v>
      </c>
      <c r="J2156">
        <f ca="1"/>
        <v>3.7489672332838198</v>
      </c>
      <c r="K2156">
        <f ca="1"/>
        <v>6.4265253079445256E-3</v>
      </c>
    </row>
    <row r="2157" spans="7:11">
      <c r="G2157" s="20">
        <v>3.7507125625358135</v>
      </c>
      <c r="H2157" s="20">
        <v>6.0466974583182967E-3</v>
      </c>
      <c r="I2157" s="2">
        <f ca="1"/>
        <v>2150</v>
      </c>
      <c r="J2157">
        <f ca="1"/>
        <v>3.7507125625358135</v>
      </c>
      <c r="K2157">
        <f ca="1"/>
        <v>6.4335351976000906E-3</v>
      </c>
    </row>
    <row r="2158" spans="7:11">
      <c r="G2158" s="20">
        <v>3.7524578917878082</v>
      </c>
      <c r="H2158" s="20">
        <v>6.057933524973109E-3</v>
      </c>
      <c r="I2158" s="2">
        <f ca="1"/>
        <v>2151</v>
      </c>
      <c r="J2158">
        <f ca="1"/>
        <v>3.7524578917878082</v>
      </c>
      <c r="K2158">
        <f ca="1"/>
        <v>6.4423131591559348E-3</v>
      </c>
    </row>
    <row r="2159" spans="7:11">
      <c r="G2159" s="20">
        <v>3.7542032210398033</v>
      </c>
      <c r="H2159" s="20">
        <v>6.0691853735326696E-3</v>
      </c>
      <c r="I2159" s="2">
        <f ca="1"/>
        <v>2152</v>
      </c>
      <c r="J2159">
        <f ca="1"/>
        <v>3.7542032210398033</v>
      </c>
      <c r="K2159">
        <f ca="1"/>
        <v>6.4497534870980103E-3</v>
      </c>
    </row>
    <row r="2160" spans="7:11">
      <c r="G2160" s="20">
        <v>3.7559485502917971</v>
      </c>
      <c r="H2160" s="20">
        <v>6.0804474118314796E-3</v>
      </c>
      <c r="I2160" s="2">
        <f ca="1"/>
        <v>2153</v>
      </c>
      <c r="J2160">
        <f ca="1"/>
        <v>3.7559485502917971</v>
      </c>
      <c r="K2160">
        <f ca="1"/>
        <v>6.4566510177820335E-3</v>
      </c>
    </row>
    <row r="2161" spans="7:11">
      <c r="G2161" s="20">
        <v>3.7576938795437917</v>
      </c>
      <c r="H2161" s="20">
        <v>6.0917233373151761E-3</v>
      </c>
      <c r="I2161" s="2">
        <f ca="1"/>
        <v>2154</v>
      </c>
      <c r="J2161">
        <f ca="1"/>
        <v>3.7576938795437917</v>
      </c>
      <c r="K2161">
        <f ca="1"/>
        <v>6.4654818653476455E-3</v>
      </c>
    </row>
    <row r="2162" spans="7:11">
      <c r="G2162" s="20">
        <v>3.7594392087957855</v>
      </c>
      <c r="H2162" s="20">
        <v>6.1030162010871384E-3</v>
      </c>
      <c r="I2162" s="2">
        <f ca="1"/>
        <v>2155</v>
      </c>
      <c r="J2162">
        <f ca="1"/>
        <v>3.7594392087957855</v>
      </c>
      <c r="K2162">
        <f ca="1"/>
        <v>6.4744192531105971E-3</v>
      </c>
    </row>
    <row r="2163" spans="7:11">
      <c r="G2163" s="20">
        <v>3.7611845380477802</v>
      </c>
      <c r="H2163" s="20">
        <v>6.1143233239394331E-3</v>
      </c>
      <c r="I2163" s="2">
        <f ca="1"/>
        <v>2156</v>
      </c>
      <c r="J2163">
        <f ca="1"/>
        <v>3.7611845380477802</v>
      </c>
      <c r="K2163">
        <f ca="1"/>
        <v>6.4810593018033704E-3</v>
      </c>
    </row>
    <row r="2164" spans="7:11">
      <c r="G2164" s="20">
        <v>3.7629298672997744</v>
      </c>
      <c r="H2164" s="20">
        <v>6.1256393658538346E-3</v>
      </c>
      <c r="I2164" s="2">
        <f ca="1"/>
        <v>2157</v>
      </c>
      <c r="J2164">
        <f ca="1"/>
        <v>3.7629298672997744</v>
      </c>
      <c r="K2164">
        <f ca="1"/>
        <v>6.4872571400667002E-3</v>
      </c>
    </row>
    <row r="2165" spans="7:11">
      <c r="G2165" s="20">
        <v>3.7646751965517686</v>
      </c>
      <c r="H2165" s="20">
        <v>6.1369681232429666E-3</v>
      </c>
      <c r="I2165" s="2">
        <f ca="1"/>
        <v>2158</v>
      </c>
      <c r="J2165">
        <f ca="1"/>
        <v>3.7646751965517686</v>
      </c>
      <c r="K2165">
        <f ca="1"/>
        <v>6.4950809736535921E-3</v>
      </c>
    </row>
    <row r="2166" spans="7:11">
      <c r="G2166" s="20">
        <v>3.7664205258037629</v>
      </c>
      <c r="H2166" s="20">
        <v>6.1483114754886121E-3</v>
      </c>
      <c r="I2166" s="2">
        <f ca="1"/>
        <v>2159</v>
      </c>
      <c r="J2166">
        <f ca="1"/>
        <v>3.7664205258037629</v>
      </c>
      <c r="K2166">
        <f ca="1"/>
        <v>6.5027157011798616E-3</v>
      </c>
    </row>
    <row r="2167" spans="7:11">
      <c r="G2167" s="20">
        <v>3.7681658550557575</v>
      </c>
      <c r="H2167" s="20">
        <v>6.1596668831043122E-3</v>
      </c>
      <c r="I2167" s="2">
        <f ca="1"/>
        <v>2160</v>
      </c>
      <c r="J2167">
        <f ca="1"/>
        <v>3.7681658550557575</v>
      </c>
      <c r="K2167">
        <f ca="1"/>
        <v>6.5099851885966689E-3</v>
      </c>
    </row>
    <row r="2168" spans="7:11">
      <c r="G2168" s="20">
        <v>3.7699111843077517</v>
      </c>
      <c r="H2168" s="20">
        <v>6.1710356106480287E-3</v>
      </c>
      <c r="I2168" s="2">
        <f ca="1"/>
        <v>2161</v>
      </c>
      <c r="J2168">
        <f ca="1"/>
        <v>3.7699111843077517</v>
      </c>
      <c r="K2168">
        <f ca="1"/>
        <v>6.5182847073892037E-3</v>
      </c>
    </row>
    <row r="2169" spans="7:11">
      <c r="G2169" s="20">
        <v>3.771656513559746</v>
      </c>
      <c r="H2169" s="20">
        <v>6.1824199890495781E-3</v>
      </c>
      <c r="I2169" s="2">
        <f ca="1"/>
        <v>2162</v>
      </c>
      <c r="J2169">
        <f ca="1"/>
        <v>3.771656513559746</v>
      </c>
      <c r="K2169">
        <f ca="1"/>
        <v>6.5267530937395454E-3</v>
      </c>
    </row>
    <row r="2170" spans="7:11">
      <c r="G2170" s="20">
        <v>3.7734018428117406</v>
      </c>
      <c r="H2170" s="20">
        <v>6.1938182768381264E-3</v>
      </c>
      <c r="I2170" s="2">
        <f ca="1"/>
        <v>2163</v>
      </c>
      <c r="J2170">
        <f ca="1"/>
        <v>3.7734018428117406</v>
      </c>
      <c r="K2170">
        <f ca="1"/>
        <v>6.5331235025676117E-3</v>
      </c>
    </row>
    <row r="2171" spans="7:11">
      <c r="G2171" s="20">
        <v>3.7751471720637344</v>
      </c>
      <c r="H2171" s="20">
        <v>6.2052248921614225E-3</v>
      </c>
      <c r="I2171" s="2">
        <f ca="1"/>
        <v>2164</v>
      </c>
      <c r="J2171">
        <f ca="1"/>
        <v>3.7751471720637344</v>
      </c>
      <c r="K2171">
        <f ca="1"/>
        <v>6.5390296306584881E-3</v>
      </c>
    </row>
    <row r="2172" spans="7:11">
      <c r="G2172" s="20">
        <v>3.7768925013157291</v>
      </c>
      <c r="H2172" s="20">
        <v>6.2166437962262169E-3</v>
      </c>
      <c r="I2172" s="2">
        <f ca="1"/>
        <v>2165</v>
      </c>
      <c r="J2172">
        <f ca="1"/>
        <v>3.7768925013157291</v>
      </c>
      <c r="K2172">
        <f ca="1"/>
        <v>6.5465203184910054E-3</v>
      </c>
    </row>
    <row r="2173" spans="7:11">
      <c r="G2173" s="20">
        <v>3.7786378305677237</v>
      </c>
      <c r="H2173" s="20">
        <v>6.2280765589827021E-3</v>
      </c>
      <c r="I2173" s="2">
        <f ca="1"/>
        <v>2166</v>
      </c>
      <c r="J2173">
        <f ca="1"/>
        <v>3.7786378305677237</v>
      </c>
      <c r="K2173">
        <f ca="1"/>
        <v>6.5537885174063084E-3</v>
      </c>
    </row>
    <row r="2174" spans="7:11">
      <c r="G2174" s="20">
        <v>3.780383159819718</v>
      </c>
      <c r="H2174" s="20">
        <v>6.2395208338478459E-3</v>
      </c>
      <c r="I2174" s="2">
        <f ca="1"/>
        <v>2167</v>
      </c>
      <c r="J2174">
        <f ca="1"/>
        <v>3.780383159819718</v>
      </c>
      <c r="K2174">
        <f ca="1"/>
        <v>6.5607279908657824E-3</v>
      </c>
    </row>
    <row r="2175" spans="7:11">
      <c r="G2175" s="20">
        <v>3.7821284890717122</v>
      </c>
      <c r="H2175" s="20">
        <v>6.2509778199363727E-3</v>
      </c>
      <c r="I2175" s="2">
        <f ca="1"/>
        <v>2168</v>
      </c>
      <c r="J2175">
        <f ca="1"/>
        <v>3.7821284890717122</v>
      </c>
      <c r="K2175">
        <f ca="1"/>
        <v>6.5686901372910096E-3</v>
      </c>
    </row>
    <row r="2176" spans="7:11">
      <c r="G2176" s="20">
        <v>3.7838738183237064</v>
      </c>
      <c r="H2176" s="20">
        <v>6.2624498879356458E-3</v>
      </c>
      <c r="I2176" s="2">
        <f ca="1"/>
        <v>2169</v>
      </c>
      <c r="J2176">
        <f ca="1"/>
        <v>3.7838738183237064</v>
      </c>
      <c r="K2176">
        <f ca="1"/>
        <v>6.576830425202889E-3</v>
      </c>
    </row>
    <row r="2177" spans="7:11">
      <c r="G2177" s="20">
        <v>3.7856191475757006</v>
      </c>
      <c r="H2177" s="20">
        <v>6.2739352889893971E-3</v>
      </c>
      <c r="I2177" s="2">
        <f ca="1"/>
        <v>2170</v>
      </c>
      <c r="J2177">
        <f ca="1"/>
        <v>3.7856191475757006</v>
      </c>
      <c r="K2177">
        <f ca="1"/>
        <v>6.582847694344098E-3</v>
      </c>
    </row>
    <row r="2178" spans="7:11">
      <c r="G2178" s="20">
        <v>3.7873644768276948</v>
      </c>
      <c r="H2178" s="20">
        <v>6.2854283612203687E-3</v>
      </c>
      <c r="I2178" s="2">
        <f ca="1"/>
        <v>2171</v>
      </c>
      <c r="J2178">
        <f ca="1"/>
        <v>3.7873644768276948</v>
      </c>
      <c r="K2178">
        <f ca="1"/>
        <v>6.5883947540008644E-3</v>
      </c>
    </row>
    <row r="2179" spans="7:11">
      <c r="G2179" s="20">
        <v>3.7891098060796895</v>
      </c>
      <c r="H2179" s="20">
        <v>6.296933125165086E-3</v>
      </c>
      <c r="I2179" s="2">
        <f ca="1"/>
        <v>2172</v>
      </c>
      <c r="J2179">
        <f ca="1"/>
        <v>3.7891098060796895</v>
      </c>
      <c r="K2179">
        <f ca="1"/>
        <v>6.5963793006551088E-3</v>
      </c>
    </row>
    <row r="2180" spans="7:11">
      <c r="G2180" s="20">
        <v>3.7908551353316833</v>
      </c>
      <c r="H2180" s="20">
        <v>6.3084540687217338E-3</v>
      </c>
      <c r="I2180" s="2">
        <f ca="1"/>
        <v>2173</v>
      </c>
      <c r="J2180">
        <f ca="1"/>
        <v>3.7908551353316833</v>
      </c>
      <c r="K2180">
        <f ca="1"/>
        <v>6.6046214130127097E-3</v>
      </c>
    </row>
    <row r="2181" spans="7:11">
      <c r="G2181" s="20">
        <v>3.7926004645836784</v>
      </c>
      <c r="H2181" s="20">
        <v>6.3199876030660459E-3</v>
      </c>
      <c r="I2181" s="2">
        <f ca="1"/>
        <v>2174</v>
      </c>
      <c r="J2181">
        <f ca="1"/>
        <v>3.7926004645836784</v>
      </c>
      <c r="K2181">
        <f ca="1"/>
        <v>6.6102994106837995E-3</v>
      </c>
    </row>
    <row r="2182" spans="7:11">
      <c r="G2182" s="20">
        <v>3.7943457938356717</v>
      </c>
      <c r="H2182" s="20">
        <v>6.331528366573547E-3</v>
      </c>
      <c r="I2182" s="2">
        <f ca="1"/>
        <v>2175</v>
      </c>
      <c r="J2182">
        <f ca="1"/>
        <v>3.7943457938356717</v>
      </c>
      <c r="K2182">
        <f ca="1"/>
        <v>6.6160284248064673E-3</v>
      </c>
    </row>
    <row r="2183" spans="7:11">
      <c r="G2183" s="20">
        <v>3.7960911230876668</v>
      </c>
      <c r="H2183" s="20">
        <v>6.3430818989497258E-3</v>
      </c>
      <c r="I2183" s="2">
        <f ca="1"/>
        <v>2176</v>
      </c>
      <c r="J2183">
        <f ca="1"/>
        <v>3.7960911230876668</v>
      </c>
      <c r="K2183">
        <f ca="1"/>
        <v>6.6236257546027754E-3</v>
      </c>
    </row>
    <row r="2184" spans="7:11">
      <c r="G2184" s="20">
        <v>3.7978364523396615</v>
      </c>
      <c r="H2184" s="20">
        <v>6.3546491821410969E-3</v>
      </c>
      <c r="I2184" s="2">
        <f ca="1"/>
        <v>2177</v>
      </c>
      <c r="J2184">
        <f ca="1"/>
        <v>3.7978364523396615</v>
      </c>
      <c r="K2184">
        <f ca="1"/>
        <v>6.6298188951701567E-3</v>
      </c>
    </row>
    <row r="2185" spans="7:11">
      <c r="G2185" s="20">
        <v>3.7995817815916553</v>
      </c>
      <c r="H2185" s="20">
        <v>6.3662243326560548E-3</v>
      </c>
      <c r="I2185" s="2">
        <f ca="1"/>
        <v>2178</v>
      </c>
      <c r="J2185">
        <f ca="1"/>
        <v>3.7995817815916553</v>
      </c>
      <c r="K2185">
        <f ca="1"/>
        <v>6.6354447700833789E-3</v>
      </c>
    </row>
    <row r="2186" spans="7:11">
      <c r="G2186" s="20">
        <v>3.8013271108436504</v>
      </c>
      <c r="H2186" s="20">
        <v>6.377811253855537E-3</v>
      </c>
      <c r="I2186" s="2">
        <f ca="1"/>
        <v>2179</v>
      </c>
      <c r="J2186">
        <f ca="1"/>
        <v>3.8013271108436504</v>
      </c>
      <c r="K2186">
        <f ca="1"/>
        <v>6.6431110634345095E-3</v>
      </c>
    </row>
    <row r="2187" spans="7:11">
      <c r="G2187" s="20">
        <v>3.8030724400956437</v>
      </c>
      <c r="H2187" s="20">
        <v>6.3894131647825722E-3</v>
      </c>
      <c r="I2187" s="2">
        <f ca="1"/>
        <v>2180</v>
      </c>
      <c r="J2187">
        <f ca="1"/>
        <v>3.8030724400956437</v>
      </c>
      <c r="K2187">
        <f ca="1"/>
        <v>6.65089370600853E-3</v>
      </c>
    </row>
    <row r="2188" spans="7:11">
      <c r="G2188" s="20">
        <v>3.8048177693476379</v>
      </c>
      <c r="H2188" s="20">
        <v>6.401027252529533E-3</v>
      </c>
      <c r="I2188" s="2">
        <f ca="1"/>
        <v>2181</v>
      </c>
      <c r="J2188">
        <f ca="1"/>
        <v>3.8048177693476379</v>
      </c>
      <c r="K2188">
        <f ca="1"/>
        <v>6.6562627883195082E-3</v>
      </c>
    </row>
    <row r="2189" spans="7:11">
      <c r="G2189" s="20">
        <v>3.8065630985996322</v>
      </c>
      <c r="H2189" s="20">
        <v>6.4126479050894015E-3</v>
      </c>
      <c r="I2189" s="2">
        <f ca="1"/>
        <v>2182</v>
      </c>
      <c r="J2189">
        <f ca="1"/>
        <v>3.8065630985996322</v>
      </c>
      <c r="K2189">
        <f ca="1"/>
        <v>6.6611709711835061E-3</v>
      </c>
    </row>
    <row r="2190" spans="7:11">
      <c r="G2190" s="20">
        <v>3.8083084278516264</v>
      </c>
      <c r="H2190" s="20">
        <v>6.4242791256266156E-3</v>
      </c>
      <c r="I2190" s="2">
        <f ca="1"/>
        <v>2183</v>
      </c>
      <c r="J2190">
        <f ca="1"/>
        <v>3.8083084278516264</v>
      </c>
      <c r="K2190">
        <f ca="1"/>
        <v>6.6677950047050278E-3</v>
      </c>
    </row>
    <row r="2191" spans="7:11">
      <c r="G2191" s="20">
        <v>3.810053757103621</v>
      </c>
      <c r="H2191" s="20">
        <v>6.4359229004254297E-3</v>
      </c>
      <c r="I2191" s="2">
        <f ca="1"/>
        <v>2184</v>
      </c>
      <c r="J2191">
        <f ca="1"/>
        <v>3.810053757103621</v>
      </c>
      <c r="K2191">
        <f ca="1"/>
        <v>6.6742247141462572E-3</v>
      </c>
    </row>
    <row r="2192" spans="7:11">
      <c r="G2192" s="20">
        <v>3.8117990863556157</v>
      </c>
      <c r="H2192" s="20">
        <v>6.447576564882586E-3</v>
      </c>
      <c r="I2192" s="2">
        <f ca="1"/>
        <v>2185</v>
      </c>
      <c r="J2192">
        <f ca="1"/>
        <v>3.8117990863556157</v>
      </c>
      <c r="K2192">
        <f ca="1"/>
        <v>6.6802742483502387E-3</v>
      </c>
    </row>
    <row r="2193" spans="7:11">
      <c r="G2193" s="20">
        <v>3.8135444156076099</v>
      </c>
      <c r="H2193" s="20">
        <v>6.4592414565394114E-3</v>
      </c>
      <c r="I2193" s="2">
        <f ca="1"/>
        <v>2186</v>
      </c>
      <c r="J2193">
        <f ca="1"/>
        <v>3.8135444156076099</v>
      </c>
      <c r="K2193">
        <f ca="1"/>
        <v>6.6874109692295174E-3</v>
      </c>
    </row>
    <row r="2194" spans="7:11">
      <c r="G2194" s="20">
        <v>3.8152897448596041</v>
      </c>
      <c r="H2194" s="20">
        <v>6.4709200328519926E-3</v>
      </c>
      <c r="I2194" s="2">
        <f ca="1"/>
        <v>2187</v>
      </c>
      <c r="J2194">
        <f ca="1"/>
        <v>3.8152897448596041</v>
      </c>
      <c r="K2194">
        <f ca="1"/>
        <v>6.6947296002569847E-3</v>
      </c>
    </row>
    <row r="2195" spans="7:11">
      <c r="G2195" s="20">
        <v>3.8170350741115993</v>
      </c>
      <c r="H2195" s="20">
        <v>6.4826104713504576E-3</v>
      </c>
      <c r="I2195" s="2">
        <f ca="1"/>
        <v>2188</v>
      </c>
      <c r="J2195">
        <f ca="1"/>
        <v>3.8170350741115993</v>
      </c>
      <c r="K2195">
        <f ca="1"/>
        <v>6.6998479254046905E-3</v>
      </c>
    </row>
    <row r="2196" spans="7:11">
      <c r="G2196" s="20">
        <v>3.8187804033635926</v>
      </c>
      <c r="H2196" s="20">
        <v>6.4943069139882358E-3</v>
      </c>
      <c r="I2196" s="2">
        <f ca="1"/>
        <v>2189</v>
      </c>
      <c r="J2196">
        <f ca="1"/>
        <v>3.8187804033635926</v>
      </c>
      <c r="K2196">
        <f ca="1"/>
        <v>6.7044824945666171E-3</v>
      </c>
    </row>
    <row r="2197" spans="7:11">
      <c r="G2197" s="20">
        <v>3.8205257326155877</v>
      </c>
      <c r="H2197" s="20">
        <v>6.5060135301849582E-3</v>
      </c>
      <c r="I2197" s="2">
        <f ca="1"/>
        <v>2190</v>
      </c>
      <c r="J2197">
        <f ca="1"/>
        <v>3.8205257326155877</v>
      </c>
      <c r="K2197">
        <f ca="1"/>
        <v>6.7107863247982593E-3</v>
      </c>
    </row>
    <row r="2198" spans="7:11">
      <c r="G2198" s="20">
        <v>3.8222710618675819</v>
      </c>
      <c r="H2198" s="20">
        <v>6.5177319773413482E-3</v>
      </c>
      <c r="I2198" s="2">
        <f ca="1"/>
        <v>2191</v>
      </c>
      <c r="J2198">
        <f ca="1"/>
        <v>3.8222710618675819</v>
      </c>
      <c r="K2198">
        <f ca="1"/>
        <v>6.716861018429417E-3</v>
      </c>
    </row>
    <row r="2199" spans="7:11">
      <c r="G2199" s="20">
        <v>3.8240163911195757</v>
      </c>
      <c r="H2199" s="20">
        <v>6.5294597982190443E-3</v>
      </c>
      <c r="I2199" s="2">
        <f ca="1"/>
        <v>2192</v>
      </c>
      <c r="J2199">
        <f ca="1"/>
        <v>3.8240163911195757</v>
      </c>
      <c r="K2199">
        <f ca="1"/>
        <v>6.7225944479269457E-3</v>
      </c>
    </row>
    <row r="2200" spans="7:11">
      <c r="G2200" s="20">
        <v>3.8257617203715704</v>
      </c>
      <c r="H2200" s="20">
        <v>6.5411982588198699E-3</v>
      </c>
      <c r="I2200" s="2">
        <f ca="1"/>
        <v>2193</v>
      </c>
      <c r="J2200">
        <f ca="1"/>
        <v>3.8257617203715704</v>
      </c>
      <c r="K2200">
        <f ca="1"/>
        <v>6.7294054257806555E-3</v>
      </c>
    </row>
    <row r="2201" spans="7:11">
      <c r="G2201" s="20">
        <v>3.8275070496235646</v>
      </c>
      <c r="H2201" s="20">
        <v>6.5529498544953345E-3</v>
      </c>
      <c r="I2201" s="2">
        <f ca="1"/>
        <v>2194</v>
      </c>
      <c r="J2201">
        <f ca="1"/>
        <v>3.8275070496235646</v>
      </c>
      <c r="K2201">
        <f ca="1"/>
        <v>6.7364076254632149E-3</v>
      </c>
    </row>
    <row r="2202" spans="7:11">
      <c r="G2202" s="20">
        <v>3.8292523788755588</v>
      </c>
      <c r="H2202" s="20">
        <v>6.5647127573840256E-3</v>
      </c>
      <c r="I2202" s="2">
        <f ca="1"/>
        <v>2195</v>
      </c>
      <c r="J2202">
        <f ca="1"/>
        <v>3.8292523788755588</v>
      </c>
      <c r="K2202">
        <f ca="1"/>
        <v>6.7411861112141895E-3</v>
      </c>
    </row>
    <row r="2203" spans="7:11">
      <c r="G2203" s="20">
        <v>3.830997708127553</v>
      </c>
      <c r="H2203" s="20">
        <v>6.5764810331214131E-3</v>
      </c>
      <c r="I2203" s="2">
        <f ca="1"/>
        <v>2196</v>
      </c>
      <c r="J2203">
        <f ca="1"/>
        <v>3.830997708127553</v>
      </c>
      <c r="K2203">
        <f ca="1"/>
        <v>6.7454752273806186E-3</v>
      </c>
    </row>
    <row r="2204" spans="7:11">
      <c r="G2204" s="20">
        <v>3.8327430373795481</v>
      </c>
      <c r="H2204" s="20">
        <v>6.5882589078499311E-3</v>
      </c>
      <c r="I2204" s="2">
        <f ca="1"/>
        <v>2197</v>
      </c>
      <c r="J2204">
        <f ca="1"/>
        <v>3.8327430373795481</v>
      </c>
      <c r="K2204">
        <f ca="1"/>
        <v>6.7523256973948433E-3</v>
      </c>
    </row>
    <row r="2205" spans="7:11">
      <c r="G2205" s="20">
        <v>3.8344883666315419</v>
      </c>
      <c r="H2205" s="20">
        <v>6.6000510962387271E-3</v>
      </c>
      <c r="I2205" s="2">
        <f ca="1"/>
        <v>2198</v>
      </c>
      <c r="J2205">
        <f ca="1"/>
        <v>3.8344883666315419</v>
      </c>
      <c r="K2205">
        <f ca="1"/>
        <v>6.7594502866640338E-3</v>
      </c>
    </row>
    <row r="2206" spans="7:11">
      <c r="G2206" s="20">
        <v>3.8362336958835366</v>
      </c>
      <c r="H2206" s="20">
        <v>6.6118538404753621E-3</v>
      </c>
      <c r="I2206" s="2">
        <f ca="1"/>
        <v>2199</v>
      </c>
      <c r="J2206">
        <f ca="1"/>
        <v>3.8362336958835366</v>
      </c>
      <c r="K2206">
        <f ca="1"/>
        <v>6.7638901575057036E-3</v>
      </c>
    </row>
    <row r="2207" spans="7:11">
      <c r="G2207" s="20">
        <v>3.8379790251355304</v>
      </c>
      <c r="H2207" s="20">
        <v>6.6236615269370681E-3</v>
      </c>
      <c r="I2207" s="2">
        <f ca="1"/>
        <v>2200</v>
      </c>
      <c r="J2207">
        <f ca="1"/>
        <v>3.8379790251355304</v>
      </c>
      <c r="K2207">
        <f ca="1"/>
        <v>6.7683875102862619E-3</v>
      </c>
    </row>
    <row r="2208" spans="7:11">
      <c r="G2208" s="20">
        <v>3.839724354387525</v>
      </c>
      <c r="H2208" s="20">
        <v>6.6354799698964319E-3</v>
      </c>
      <c r="I2208" s="2">
        <f ca="1"/>
        <v>2201</v>
      </c>
      <c r="J2208">
        <f ca="1"/>
        <v>3.839724354387525</v>
      </c>
      <c r="K2208">
        <f ca="1"/>
        <v>6.7748476382112881E-3</v>
      </c>
    </row>
    <row r="2209" spans="7:11">
      <c r="G2209" s="20">
        <v>3.8414696836395192</v>
      </c>
      <c r="H2209" s="20">
        <v>6.6473102064586193E-3</v>
      </c>
      <c r="I2209" s="2">
        <f ca="1"/>
        <v>2202</v>
      </c>
      <c r="J2209">
        <f ca="1"/>
        <v>3.8414696836395192</v>
      </c>
      <c r="K2209">
        <f ca="1"/>
        <v>6.7811808791052083E-3</v>
      </c>
    </row>
    <row r="2210" spans="7:11">
      <c r="G2210" s="20">
        <v>3.8432150128915135</v>
      </c>
      <c r="H2210" s="20">
        <v>6.6591507565991644E-3</v>
      </c>
      <c r="I2210" s="2">
        <f ca="1"/>
        <v>2203</v>
      </c>
      <c r="J2210">
        <f ca="1"/>
        <v>3.8432150128915135</v>
      </c>
      <c r="K2210">
        <f ca="1"/>
        <v>6.7871460107161909E-3</v>
      </c>
    </row>
    <row r="2211" spans="7:11">
      <c r="G2211" s="20">
        <v>3.8449603421435081</v>
      </c>
      <c r="H2211" s="20">
        <v>6.67100181539874E-3</v>
      </c>
      <c r="I2211" s="2">
        <f ca="1"/>
        <v>2204</v>
      </c>
      <c r="J2211">
        <f ca="1"/>
        <v>3.8449603421435081</v>
      </c>
      <c r="K2211">
        <f ca="1"/>
        <v>6.7929640315672977E-3</v>
      </c>
    </row>
    <row r="2212" spans="7:11">
      <c r="G2212" s="20">
        <v>3.8467056713955015</v>
      </c>
      <c r="H2212" s="20">
        <v>6.6828626742632393E-3</v>
      </c>
      <c r="I2212" s="2">
        <f ca="1"/>
        <v>2205</v>
      </c>
      <c r="J2212">
        <f ca="1"/>
        <v>3.8467056713955015</v>
      </c>
      <c r="K2212">
        <f ca="1"/>
        <v>6.7985741555753477E-3</v>
      </c>
    </row>
    <row r="2213" spans="7:11">
      <c r="G2213" s="20">
        <v>3.8484510006474966</v>
      </c>
      <c r="H2213" s="20">
        <v>6.6947333160898952E-3</v>
      </c>
      <c r="I2213" s="2">
        <f ca="1"/>
        <v>2206</v>
      </c>
      <c r="J2213">
        <f ca="1"/>
        <v>3.8484510006474966</v>
      </c>
      <c r="K2213">
        <f ca="1"/>
        <v>6.8020339068292626E-3</v>
      </c>
    </row>
    <row r="2214" spans="7:11">
      <c r="G2214" s="20">
        <v>3.8501963298994908</v>
      </c>
      <c r="H2214" s="20">
        <v>6.7066062517645367E-3</v>
      </c>
      <c r="I2214" s="2">
        <f ca="1"/>
        <v>2207</v>
      </c>
      <c r="J2214">
        <f ca="1"/>
        <v>3.8501963298994908</v>
      </c>
      <c r="K2214">
        <f ca="1"/>
        <v>6.8051230046250709E-3</v>
      </c>
    </row>
    <row r="2215" spans="7:11">
      <c r="G2215" s="20">
        <v>3.851941659151485</v>
      </c>
      <c r="H2215" s="20">
        <v>6.718487676576677E-3</v>
      </c>
      <c r="I2215" s="2">
        <f ca="1"/>
        <v>2208</v>
      </c>
      <c r="J2215">
        <f ca="1"/>
        <v>3.851941659151485</v>
      </c>
      <c r="K2215">
        <f ca="1"/>
        <v>6.8107339033751128E-3</v>
      </c>
    </row>
    <row r="2216" spans="7:11">
      <c r="G2216" s="20">
        <v>3.8536869884034792</v>
      </c>
      <c r="H2216" s="20">
        <v>6.7303801979827554E-3</v>
      </c>
      <c r="I2216" s="2">
        <f ca="1"/>
        <v>2209</v>
      </c>
      <c r="J2216">
        <f ca="1"/>
        <v>3.8536869884034792</v>
      </c>
      <c r="K2216">
        <f ca="1"/>
        <v>6.8160389381338457E-3</v>
      </c>
    </row>
    <row r="2217" spans="7:11">
      <c r="G2217" s="20">
        <v>3.8554323176554743</v>
      </c>
      <c r="H2217" s="20">
        <v>6.7422801408595964E-3</v>
      </c>
      <c r="I2217" s="2">
        <f ca="1"/>
        <v>2210</v>
      </c>
      <c r="J2217">
        <f ca="1"/>
        <v>3.8554323176554743</v>
      </c>
      <c r="K2217">
        <f ca="1"/>
        <v>6.8208488206446313E-3</v>
      </c>
    </row>
    <row r="2218" spans="7:11">
      <c r="G2218" s="20">
        <v>3.8571776469074686</v>
      </c>
      <c r="H2218" s="20">
        <v>6.7541894519229642E-3</v>
      </c>
      <c r="I2218" s="2">
        <f ca="1"/>
        <v>2211</v>
      </c>
      <c r="J2218">
        <f ca="1"/>
        <v>3.8571776469074686</v>
      </c>
      <c r="K2218">
        <f ca="1"/>
        <v>6.8269117454153264E-3</v>
      </c>
    </row>
    <row r="2219" spans="7:11">
      <c r="G2219" s="20">
        <v>3.8589229761594628</v>
      </c>
      <c r="H2219" s="20">
        <v>6.7661105583997089E-3</v>
      </c>
      <c r="I2219" s="2">
        <f ca="1"/>
        <v>2212</v>
      </c>
      <c r="J2219">
        <f ca="1"/>
        <v>3.8589229761594628</v>
      </c>
      <c r="K2219">
        <f ca="1"/>
        <v>6.8331185802094638E-3</v>
      </c>
    </row>
    <row r="2220" spans="7:11">
      <c r="G2220" s="20">
        <v>3.860668305411457</v>
      </c>
      <c r="H2220" s="20">
        <v>6.7780415354037338E-3</v>
      </c>
      <c r="I2220" s="2">
        <f ca="1"/>
        <v>2213</v>
      </c>
      <c r="J2220">
        <f ca="1"/>
        <v>3.860668305411457</v>
      </c>
      <c r="K2220">
        <f ca="1"/>
        <v>6.8370187987218953E-3</v>
      </c>
    </row>
    <row r="2221" spans="7:11">
      <c r="G2221" s="20">
        <v>3.8624136346634512</v>
      </c>
      <c r="H2221" s="20">
        <v>6.7899762562113964E-3</v>
      </c>
      <c r="I2221" s="2">
        <f ca="1"/>
        <v>2214</v>
      </c>
      <c r="J2221">
        <f ca="1"/>
        <v>3.8624136346634512</v>
      </c>
      <c r="K2221">
        <f ca="1"/>
        <v>6.8404185090895891E-3</v>
      </c>
    </row>
    <row r="2222" spans="7:11">
      <c r="G2222" s="20">
        <v>3.8641589639154454</v>
      </c>
      <c r="H2222" s="20">
        <v>6.8019191004433273E-3</v>
      </c>
      <c r="I2222" s="2">
        <f ca="1"/>
        <v>2215</v>
      </c>
      <c r="J2222">
        <f ca="1"/>
        <v>3.8641589639154454</v>
      </c>
      <c r="K2222">
        <f ca="1"/>
        <v>6.845577793811378E-3</v>
      </c>
    </row>
    <row r="2223" spans="7:11">
      <c r="G2223" s="20">
        <v>3.8659042931674397</v>
      </c>
      <c r="H2223" s="20">
        <v>6.8138718305520785E-3</v>
      </c>
      <c r="I2223" s="2">
        <f ca="1"/>
        <v>2216</v>
      </c>
      <c r="J2223">
        <f ca="1"/>
        <v>3.8659042931674397</v>
      </c>
      <c r="K2223">
        <f ca="1"/>
        <v>6.8505019179831914E-3</v>
      </c>
    </row>
    <row r="2224" spans="7:11">
      <c r="G2224" s="20">
        <v>3.8676496224194339</v>
      </c>
      <c r="H2224" s="20">
        <v>6.8258318632199244E-3</v>
      </c>
      <c r="I2224" s="2">
        <f ca="1"/>
        <v>2217</v>
      </c>
      <c r="J2224">
        <f ca="1"/>
        <v>3.8676496224194339</v>
      </c>
      <c r="K2224">
        <f ca="1"/>
        <v>6.8550698855702292E-3</v>
      </c>
    </row>
    <row r="2225" spans="7:11">
      <c r="G2225" s="20">
        <v>3.869394951671429</v>
      </c>
      <c r="H2225" s="20">
        <v>6.8378005385435854E-3</v>
      </c>
      <c r="I2225" s="2">
        <f ca="1"/>
        <v>2218</v>
      </c>
      <c r="J2225">
        <f ca="1"/>
        <v>3.869394951671429</v>
      </c>
      <c r="K2225">
        <f ca="1"/>
        <v>6.8607701620060071E-3</v>
      </c>
    </row>
    <row r="2226" spans="7:11">
      <c r="G2226" s="20">
        <v>3.8711402809234232</v>
      </c>
      <c r="H2226" s="20">
        <v>6.849780468929847E-3</v>
      </c>
      <c r="I2226" s="2">
        <f ca="1"/>
        <v>2219</v>
      </c>
      <c r="J2226">
        <f ca="1"/>
        <v>3.8711402809234232</v>
      </c>
      <c r="K2226">
        <f ca="1"/>
        <v>6.8666729941596356E-3</v>
      </c>
    </row>
    <row r="2227" spans="7:11">
      <c r="G2227" s="20">
        <v>3.8728856101754174</v>
      </c>
      <c r="H2227" s="20">
        <v>6.8617697490247565E-3</v>
      </c>
      <c r="I2227" s="2">
        <f ca="1"/>
        <v>2220</v>
      </c>
      <c r="J2227">
        <f ca="1"/>
        <v>3.8728856101754174</v>
      </c>
      <c r="K2227">
        <f ca="1"/>
        <v>6.8702553221199041E-3</v>
      </c>
    </row>
    <row r="2228" spans="7:11">
      <c r="G2228" s="20">
        <v>3.8746309394274117</v>
      </c>
      <c r="H2228" s="20">
        <v>6.8737621840945767E-3</v>
      </c>
      <c r="I2228" s="2">
        <f ca="1"/>
        <v>2221</v>
      </c>
      <c r="J2228">
        <f ca="1"/>
        <v>3.8746309394274117</v>
      </c>
      <c r="K2228">
        <f ca="1"/>
        <v>6.8733297178671764E-3</v>
      </c>
    </row>
    <row r="2229" spans="7:11">
      <c r="G2229" s="20">
        <v>3.8763762686794063</v>
      </c>
      <c r="H2229" s="20">
        <v>6.8857621958551491E-3</v>
      </c>
      <c r="I2229" s="2">
        <f ca="1"/>
        <v>2222</v>
      </c>
      <c r="J2229">
        <f ca="1"/>
        <v>3.8763762686794063</v>
      </c>
      <c r="K2229">
        <f ca="1"/>
        <v>6.8790838356098697E-3</v>
      </c>
    </row>
    <row r="2230" spans="7:11">
      <c r="G2230" s="20">
        <v>3.8781215979314001</v>
      </c>
      <c r="H2230" s="20">
        <v>6.8977747165849977E-3</v>
      </c>
      <c r="I2230" s="2">
        <f ca="1"/>
        <v>2223</v>
      </c>
      <c r="J2230">
        <f ca="1"/>
        <v>3.8781215979314001</v>
      </c>
      <c r="K2230">
        <f ca="1"/>
        <v>6.8851279761631542E-3</v>
      </c>
    </row>
    <row r="2231" spans="7:11">
      <c r="G2231" s="20">
        <v>3.8798669271833943</v>
      </c>
      <c r="H2231" s="20">
        <v>6.9097958263761887E-3</v>
      </c>
      <c r="I2231" s="2">
        <f ca="1"/>
        <v>2224</v>
      </c>
      <c r="J2231">
        <f ca="1"/>
        <v>3.8798669271833943</v>
      </c>
      <c r="K2231">
        <f ca="1"/>
        <v>6.8883713478018176E-3</v>
      </c>
    </row>
    <row r="2232" spans="7:11">
      <c r="G2232" s="20">
        <v>3.8816122564353885</v>
      </c>
      <c r="H2232" s="20">
        <v>6.9218196686088324E-3</v>
      </c>
      <c r="I2232" s="2">
        <f ca="1"/>
        <v>2225</v>
      </c>
      <c r="J2232">
        <f ca="1"/>
        <v>3.8816122564353885</v>
      </c>
      <c r="K2232">
        <f ca="1"/>
        <v>6.8916780874514047E-3</v>
      </c>
    </row>
    <row r="2233" spans="7:11">
      <c r="G2233" s="20">
        <v>3.8833575856873828</v>
      </c>
      <c r="H2233" s="20">
        <v>6.9338523210989017E-3</v>
      </c>
      <c r="I2233" s="2">
        <f ca="1"/>
        <v>2226</v>
      </c>
      <c r="J2233">
        <f ca="1"/>
        <v>3.8833575856873828</v>
      </c>
      <c r="K2233">
        <f ca="1"/>
        <v>6.897038140402891E-3</v>
      </c>
    </row>
    <row r="2234" spans="7:11">
      <c r="G2234" s="20">
        <v>3.8851029149393779</v>
      </c>
      <c r="H2234" s="20">
        <v>6.9458948734459685E-3</v>
      </c>
      <c r="I2234" s="2">
        <f ca="1"/>
        <v>2227</v>
      </c>
      <c r="J2234">
        <f ca="1"/>
        <v>3.8851029149393779</v>
      </c>
      <c r="K2234">
        <f ca="1"/>
        <v>6.900869541445886E-3</v>
      </c>
    </row>
    <row r="2235" spans="7:11">
      <c r="G2235" s="20">
        <v>3.8868482441913716</v>
      </c>
      <c r="H2235" s="20">
        <v>6.9579409000486677E-3</v>
      </c>
      <c r="I2235" s="2">
        <f ca="1"/>
        <v>2228</v>
      </c>
      <c r="J2235">
        <f ca="1"/>
        <v>3.8868482441913716</v>
      </c>
      <c r="K2235">
        <f ca="1"/>
        <v>6.904087303912519E-3</v>
      </c>
    </row>
    <row r="2236" spans="7:11">
      <c r="G2236" s="20">
        <v>3.8885935734433663</v>
      </c>
      <c r="H2236" s="20">
        <v>6.9699946845056494E-3</v>
      </c>
      <c r="I2236" s="2">
        <f ca="1"/>
        <v>2229</v>
      </c>
      <c r="J2236">
        <f ca="1"/>
        <v>3.8885935734433663</v>
      </c>
      <c r="K2236">
        <f ca="1"/>
        <v>6.9095443506602787E-3</v>
      </c>
    </row>
    <row r="2237" spans="7:11">
      <c r="G2237" s="20">
        <v>3.8903389026953601</v>
      </c>
      <c r="H2237" s="20">
        <v>6.9820597597949853E-3</v>
      </c>
      <c r="I2237" s="2">
        <f ca="1"/>
        <v>2230</v>
      </c>
      <c r="J2237">
        <f ca="1"/>
        <v>3.8903389026953601</v>
      </c>
      <c r="K2237">
        <f ca="1"/>
        <v>6.9151360646901236E-3</v>
      </c>
    </row>
    <row r="2238" spans="7:11">
      <c r="G2238" s="20">
        <v>3.8920842319473548</v>
      </c>
      <c r="H2238" s="20">
        <v>6.9941330630160971E-3</v>
      </c>
      <c r="I2238" s="2">
        <f ca="1"/>
        <v>2231</v>
      </c>
      <c r="J2238">
        <f ca="1"/>
        <v>3.8920842319473548</v>
      </c>
      <c r="K2238">
        <f ca="1"/>
        <v>6.9180972151087232E-3</v>
      </c>
    </row>
    <row r="2239" spans="7:11">
      <c r="G2239" s="20">
        <v>3.893829561199349</v>
      </c>
      <c r="H2239" s="20">
        <v>7.0062084746703264E-3</v>
      </c>
      <c r="I2239" s="2">
        <f ca="1"/>
        <v>2232</v>
      </c>
      <c r="J2239">
        <f ca="1"/>
        <v>3.893829561199349</v>
      </c>
      <c r="K2239">
        <f ca="1"/>
        <v>6.9205620249039078E-3</v>
      </c>
    </row>
    <row r="2240" spans="7:11">
      <c r="G2240" s="20">
        <v>3.8955748904513432</v>
      </c>
      <c r="H2240" s="20">
        <v>7.0182903817007074E-3</v>
      </c>
      <c r="I2240" s="2">
        <f ca="1"/>
        <v>2233</v>
      </c>
      <c r="J2240">
        <f ca="1"/>
        <v>3.8955748904513432</v>
      </c>
      <c r="K2240">
        <f ca="1"/>
        <v>6.9249092533085338E-3</v>
      </c>
    </row>
    <row r="2241" spans="7:11">
      <c r="G2241" s="20">
        <v>3.8973202197033379</v>
      </c>
      <c r="H2241" s="20">
        <v>7.0303809680447391E-3</v>
      </c>
      <c r="I2241" s="2">
        <f ca="1"/>
        <v>2234</v>
      </c>
      <c r="J2241">
        <f ca="1"/>
        <v>3.8973202197033379</v>
      </c>
      <c r="K2241">
        <f ca="1"/>
        <v>6.9290516428045694E-3</v>
      </c>
    </row>
    <row r="2242" spans="7:11">
      <c r="G2242" s="20">
        <v>3.8990655489553325</v>
      </c>
      <c r="H2242" s="20">
        <v>7.0424773347422445E-3</v>
      </c>
      <c r="I2242" s="2">
        <f ca="1"/>
        <v>2235</v>
      </c>
      <c r="J2242">
        <f ca="1"/>
        <v>3.8990655489553325</v>
      </c>
      <c r="K2242">
        <f ca="1"/>
        <v>6.9327856725288012E-3</v>
      </c>
    </row>
    <row r="2243" spans="7:11">
      <c r="G2243" s="20">
        <v>3.9008108782073263</v>
      </c>
      <c r="H2243" s="20">
        <v>7.054580955308881E-3</v>
      </c>
      <c r="I2243" s="2">
        <f ca="1"/>
        <v>2236</v>
      </c>
      <c r="J2243">
        <f ca="1"/>
        <v>3.9008108782073263</v>
      </c>
      <c r="K2243">
        <f ca="1"/>
        <v>6.9377134816509031E-3</v>
      </c>
    </row>
    <row r="2244" spans="7:11">
      <c r="G2244" s="20">
        <v>3.9025562074593205</v>
      </c>
      <c r="H2244" s="20">
        <v>7.0666945233052014E-3</v>
      </c>
      <c r="I2244" s="2">
        <f ca="1"/>
        <v>2237</v>
      </c>
      <c r="J2244">
        <f ca="1"/>
        <v>3.9025562074593205</v>
      </c>
      <c r="K2244">
        <f ca="1"/>
        <v>6.942846628669213E-3</v>
      </c>
    </row>
    <row r="2245" spans="7:11">
      <c r="G2245" s="20">
        <v>3.9043015367113152</v>
      </c>
      <c r="H2245" s="20">
        <v>7.0788160619351358E-3</v>
      </c>
      <c r="I2245" s="2">
        <f ca="1"/>
        <v>2238</v>
      </c>
      <c r="J2245">
        <f ca="1"/>
        <v>3.9043015367113152</v>
      </c>
      <c r="K2245">
        <f ca="1"/>
        <v>6.9455869381382417E-3</v>
      </c>
    </row>
    <row r="2246" spans="7:11">
      <c r="G2246" s="20">
        <v>3.906046865963309</v>
      </c>
      <c r="H2246" s="20">
        <v>7.0909391954160047E-3</v>
      </c>
      <c r="I2246" s="2">
        <f ca="1"/>
        <v>2239</v>
      </c>
      <c r="J2246">
        <f ca="1"/>
        <v>3.906046865963309</v>
      </c>
      <c r="K2246">
        <f ca="1"/>
        <v>6.9478067028529919E-3</v>
      </c>
    </row>
    <row r="2247" spans="7:11">
      <c r="G2247" s="20">
        <v>3.9077921952153036</v>
      </c>
      <c r="H2247" s="20">
        <v>7.1030684824865175E-3</v>
      </c>
      <c r="I2247" s="2">
        <f ca="1"/>
        <v>2240</v>
      </c>
      <c r="J2247">
        <f ca="1"/>
        <v>3.9077921952153036</v>
      </c>
      <c r="K2247">
        <f ca="1"/>
        <v>6.951853869626861E-3</v>
      </c>
    </row>
    <row r="2248" spans="7:11">
      <c r="G2248" s="20">
        <v>3.9095375244672983</v>
      </c>
      <c r="H2248" s="20">
        <v>7.1152057432445088E-3</v>
      </c>
      <c r="I2248" s="2">
        <f ca="1"/>
        <v>2241</v>
      </c>
      <c r="J2248">
        <f ca="1"/>
        <v>3.9095375244672983</v>
      </c>
      <c r="K2248">
        <f ca="1"/>
        <v>6.9556585207228034E-3</v>
      </c>
    </row>
    <row r="2249" spans="7:11">
      <c r="G2249" s="20">
        <v>3.9112828537192925</v>
      </c>
      <c r="H2249" s="20">
        <v>7.1273483110527213E-3</v>
      </c>
      <c r="I2249" s="2">
        <f ca="1"/>
        <v>2242</v>
      </c>
      <c r="J2249">
        <f ca="1"/>
        <v>3.9112828537192925</v>
      </c>
      <c r="K2249">
        <f ca="1"/>
        <v>6.9590979546878262E-3</v>
      </c>
    </row>
    <row r="2250" spans="7:11">
      <c r="G2250" s="20">
        <v>3.9130281829712872</v>
      </c>
      <c r="H2250" s="20">
        <v>7.1394975777001315E-3</v>
      </c>
      <c r="I2250" s="2">
        <f ca="1"/>
        <v>2243</v>
      </c>
      <c r="J2250">
        <f ca="1"/>
        <v>3.9130281829712872</v>
      </c>
      <c r="K2250">
        <f ca="1"/>
        <v>6.9637180466742554E-3</v>
      </c>
    </row>
    <row r="2251" spans="7:11">
      <c r="G2251" s="20">
        <v>3.9147735122232814</v>
      </c>
      <c r="H2251" s="20">
        <v>7.1516562726717256E-3</v>
      </c>
      <c r="I2251" s="2">
        <f ca="1"/>
        <v>2244</v>
      </c>
      <c r="J2251">
        <f ca="1"/>
        <v>3.9147735122232814</v>
      </c>
      <c r="K2251">
        <f ca="1"/>
        <v>6.9685530525024032E-3</v>
      </c>
    </row>
    <row r="2252" spans="7:11">
      <c r="G2252" s="20">
        <v>3.9165188414752756</v>
      </c>
      <c r="H2252" s="20">
        <v>7.1638224166733436E-3</v>
      </c>
      <c r="I2252" s="2">
        <f ca="1"/>
        <v>2245</v>
      </c>
      <c r="J2252">
        <f ca="1"/>
        <v>3.9165188414752756</v>
      </c>
      <c r="K2252">
        <f ca="1"/>
        <v>6.9709735920119777E-3</v>
      </c>
    </row>
    <row r="2253" spans="7:11">
      <c r="G2253" s="20">
        <v>3.9182641707272698</v>
      </c>
      <c r="H2253" s="20">
        <v>7.1759895609217611E-3</v>
      </c>
      <c r="I2253" s="2">
        <f ca="1"/>
        <v>2246</v>
      </c>
      <c r="J2253">
        <f ca="1"/>
        <v>3.9182641707272698</v>
      </c>
      <c r="K2253">
        <f ca="1"/>
        <v>6.9728679386990063E-3</v>
      </c>
    </row>
    <row r="2254" spans="7:11">
      <c r="G2254" s="20">
        <v>3.9200094999792645</v>
      </c>
      <c r="H2254" s="20">
        <v>7.1881623174407548E-3</v>
      </c>
      <c r="I2254" s="2">
        <f ca="1"/>
        <v>2247</v>
      </c>
      <c r="J2254">
        <f ca="1"/>
        <v>3.9200094999792645</v>
      </c>
      <c r="K2254">
        <f ca="1"/>
        <v>6.9775567578777269E-3</v>
      </c>
    </row>
    <row r="2255" spans="7:11">
      <c r="G2255" s="20">
        <v>3.9217548292312578</v>
      </c>
      <c r="H2255" s="20">
        <v>7.2003458287557059E-3</v>
      </c>
      <c r="I2255" s="2">
        <f ca="1"/>
        <v>2248</v>
      </c>
      <c r="J2255">
        <f ca="1"/>
        <v>3.9217548292312578</v>
      </c>
      <c r="K2255">
        <f ca="1"/>
        <v>6.9825505596145011E-3</v>
      </c>
    </row>
    <row r="2256" spans="7:11">
      <c r="G2256" s="20">
        <v>3.923500158483253</v>
      </c>
      <c r="H2256" s="20">
        <v>7.2125360169312024E-3</v>
      </c>
      <c r="I2256" s="2">
        <f ca="1"/>
        <v>2249</v>
      </c>
      <c r="J2256">
        <f ca="1"/>
        <v>3.923500158483253</v>
      </c>
      <c r="K2256">
        <f ca="1"/>
        <v>6.9846301698364482E-3</v>
      </c>
    </row>
    <row r="2257" spans="7:11">
      <c r="G2257" s="20">
        <v>3.9252454877352463</v>
      </c>
      <c r="H2257" s="20">
        <v>7.2247267874552597E-3</v>
      </c>
      <c r="I2257" s="2">
        <f ca="1"/>
        <v>2250</v>
      </c>
      <c r="J2257">
        <f ca="1"/>
        <v>3.9252454877352463</v>
      </c>
      <c r="K2257">
        <f ca="1"/>
        <v>6.9867786795982005E-3</v>
      </c>
    </row>
    <row r="2258" spans="7:11">
      <c r="G2258" s="20">
        <v>3.9269908169872414</v>
      </c>
      <c r="H2258" s="20">
        <v>7.236924475344627E-3</v>
      </c>
      <c r="I2258" s="2">
        <f ca="1"/>
        <v>2251</v>
      </c>
      <c r="J2258">
        <f ca="1"/>
        <v>3.9269908169872414</v>
      </c>
      <c r="K2258">
        <f ca="1"/>
        <v>6.9910685770736445E-3</v>
      </c>
    </row>
    <row r="2259" spans="7:11">
      <c r="G2259" s="20">
        <v>3.9287361462392361</v>
      </c>
      <c r="H2259" s="20">
        <v>7.2491302204357976E-3</v>
      </c>
      <c r="I2259" s="2">
        <f ca="1"/>
        <v>2252</v>
      </c>
      <c r="J2259">
        <f ca="1"/>
        <v>3.9287361462392361</v>
      </c>
      <c r="K2259">
        <f ca="1"/>
        <v>6.9937695043565656E-3</v>
      </c>
    </row>
    <row r="2260" spans="7:11">
      <c r="G2260" s="20">
        <v>3.9304814754912298</v>
      </c>
      <c r="H2260" s="20">
        <v>7.2613373363399443E-3</v>
      </c>
      <c r="I2260" s="2">
        <f ca="1"/>
        <v>2253</v>
      </c>
      <c r="J2260">
        <f ca="1"/>
        <v>3.9304814754912298</v>
      </c>
      <c r="K2260">
        <f ca="1"/>
        <v>6.9958339545782827E-3</v>
      </c>
    </row>
    <row r="2261" spans="7:11">
      <c r="G2261" s="20">
        <v>3.9322268047432249</v>
      </c>
      <c r="H2261" s="20">
        <v>7.2735502877218404E-3</v>
      </c>
      <c r="I2261" s="2">
        <f ca="1"/>
        <v>2254</v>
      </c>
      <c r="J2261">
        <f ca="1"/>
        <v>3.9322268047432249</v>
      </c>
      <c r="K2261">
        <f ca="1"/>
        <v>7.0002329922333401E-3</v>
      </c>
    </row>
    <row r="2262" spans="7:11">
      <c r="G2262" s="20">
        <v>3.9339721339952183</v>
      </c>
      <c r="H2262" s="20">
        <v>7.285772759164184E-3</v>
      </c>
      <c r="I2262" s="2">
        <f ca="1"/>
        <v>2255</v>
      </c>
      <c r="J2262">
        <f ca="1"/>
        <v>3.9339721339952183</v>
      </c>
      <c r="K2262">
        <f ca="1"/>
        <v>7.0047753588551621E-3</v>
      </c>
    </row>
    <row r="2263" spans="7:11">
      <c r="G2263" s="20">
        <v>3.9357174632472134</v>
      </c>
      <c r="H2263" s="20">
        <v>7.2980015663967569E-3</v>
      </c>
      <c r="I2263" s="2">
        <f ca="1"/>
        <v>2256</v>
      </c>
      <c r="J2263">
        <f ca="1"/>
        <v>3.9357174632472134</v>
      </c>
      <c r="K2263">
        <f ca="1"/>
        <v>7.0065820250678678E-3</v>
      </c>
    </row>
    <row r="2264" spans="7:11">
      <c r="G2264" s="20">
        <v>3.9374627924992076</v>
      </c>
      <c r="H2264" s="20">
        <v>7.310230344293886E-3</v>
      </c>
      <c r="I2264" s="2">
        <f ca="1"/>
        <v>2257</v>
      </c>
      <c r="J2264">
        <f ca="1"/>
        <v>3.9374627924992076</v>
      </c>
      <c r="K2264">
        <f ca="1"/>
        <v>7.007874657972004E-3</v>
      </c>
    </row>
    <row r="2265" spans="7:11">
      <c r="G2265" s="20">
        <v>3.9392081217512018</v>
      </c>
      <c r="H2265" s="20">
        <v>7.322463663666492E-3</v>
      </c>
      <c r="I2265" s="2">
        <f ca="1"/>
        <v>2258</v>
      </c>
      <c r="J2265">
        <f ca="1"/>
        <v>3.9392081217512018</v>
      </c>
      <c r="K2265">
        <f ca="1"/>
        <v>7.0111291845862548E-3</v>
      </c>
    </row>
    <row r="2266" spans="7:11">
      <c r="G2266" s="20">
        <v>3.9409534510031956</v>
      </c>
      <c r="H2266" s="20">
        <v>7.3347038020046204E-3</v>
      </c>
      <c r="I2266" s="2">
        <f ca="1"/>
        <v>2259</v>
      </c>
      <c r="J2266">
        <f ca="1"/>
        <v>3.9409534510031956</v>
      </c>
      <c r="K2266">
        <f ca="1"/>
        <v>7.0141738019974557E-3</v>
      </c>
    </row>
    <row r="2267" spans="7:11">
      <c r="G2267" s="20">
        <v>3.9426987802551903</v>
      </c>
      <c r="H2267" s="20">
        <v>7.3469477490968873E-3</v>
      </c>
      <c r="I2267" s="2">
        <f ca="1"/>
        <v>2260</v>
      </c>
      <c r="J2267">
        <f ca="1"/>
        <v>3.9426987802551903</v>
      </c>
      <c r="K2267">
        <f ca="1"/>
        <v>7.0167965213435435E-3</v>
      </c>
    </row>
    <row r="2268" spans="7:11">
      <c r="G2268" s="20">
        <v>3.9444441095071845</v>
      </c>
      <c r="H2268" s="20">
        <v>7.3591970424526079E-3</v>
      </c>
      <c r="I2268" s="2">
        <f ca="1"/>
        <v>2261</v>
      </c>
      <c r="J2268">
        <f ca="1"/>
        <v>3.9444441095071845</v>
      </c>
      <c r="K2268">
        <f ca="1"/>
        <v>7.0206638740405924E-3</v>
      </c>
    </row>
    <row r="2269" spans="7:11">
      <c r="G2269" s="20">
        <v>3.9461894387591787</v>
      </c>
      <c r="H2269" s="20">
        <v>7.3714544891524516E-3</v>
      </c>
      <c r="I2269" s="2">
        <f ca="1"/>
        <v>2262</v>
      </c>
      <c r="J2269">
        <f ca="1"/>
        <v>3.9461894387591787</v>
      </c>
      <c r="K2269">
        <f ca="1"/>
        <v>7.0247474372879372E-3</v>
      </c>
    </row>
    <row r="2270" spans="7:11">
      <c r="G2270" s="20">
        <v>3.9479347680111738</v>
      </c>
      <c r="H2270" s="20">
        <v>7.3837180368329543E-3</v>
      </c>
      <c r="I2270" s="2">
        <f ca="1"/>
        <v>2263</v>
      </c>
      <c r="J2270">
        <f ca="1"/>
        <v>3.9479347680111738</v>
      </c>
      <c r="K2270">
        <f ca="1"/>
        <v>7.0263437527592126E-3</v>
      </c>
    </row>
    <row r="2271" spans="7:11">
      <c r="G2271" s="20">
        <v>3.9496800972631672</v>
      </c>
      <c r="H2271" s="20">
        <v>7.3959810557249666E-3</v>
      </c>
      <c r="I2271" s="2">
        <f ca="1"/>
        <v>2264</v>
      </c>
      <c r="J2271">
        <f ca="1"/>
        <v>3.9496800972631672</v>
      </c>
      <c r="K2271">
        <f ca="1"/>
        <v>7.0274011003670046E-3</v>
      </c>
    </row>
    <row r="2272" spans="7:11">
      <c r="G2272" s="20">
        <v>3.9514254265151623</v>
      </c>
      <c r="H2272" s="20">
        <v>7.4082482942448881E-3</v>
      </c>
      <c r="I2272" s="2">
        <f ca="1"/>
        <v>2265</v>
      </c>
      <c r="J2272">
        <f ca="1"/>
        <v>3.9514254265151623</v>
      </c>
      <c r="K2272">
        <f ca="1"/>
        <v>7.0303626480046665E-3</v>
      </c>
    </row>
    <row r="2273" spans="7:11">
      <c r="G2273" s="20">
        <v>3.9531707557671565</v>
      </c>
      <c r="H2273" s="20">
        <v>7.420521650888353E-3</v>
      </c>
      <c r="I2273" s="2">
        <f ca="1"/>
        <v>2266</v>
      </c>
      <c r="J2273">
        <f ca="1"/>
        <v>3.9531707557671565</v>
      </c>
      <c r="K2273">
        <f ca="1"/>
        <v>7.0330745415020613E-3</v>
      </c>
    </row>
    <row r="2274" spans="7:11">
      <c r="G2274" s="20">
        <v>3.9549160850191507</v>
      </c>
      <c r="H2274" s="20">
        <v>7.4327983557023669E-3</v>
      </c>
      <c r="I2274" s="2">
        <f ca="1"/>
        <v>2267</v>
      </c>
      <c r="J2274">
        <f ca="1"/>
        <v>3.9549160850191507</v>
      </c>
      <c r="K2274">
        <f ca="1"/>
        <v>7.0354089894156084E-3</v>
      </c>
    </row>
    <row r="2275" spans="7:11">
      <c r="G2275" s="20">
        <v>3.9566614142711449</v>
      </c>
      <c r="H2275" s="20">
        <v>7.4450798611062933E-3</v>
      </c>
      <c r="I2275" s="2">
        <f ca="1"/>
        <v>2268</v>
      </c>
      <c r="J2275">
        <f ca="1"/>
        <v>3.9566614142711449</v>
      </c>
      <c r="K2275">
        <f ca="1"/>
        <v>7.0389742566310904E-3</v>
      </c>
    </row>
    <row r="2276" spans="7:11">
      <c r="G2276" s="20">
        <v>3.9584067435231391</v>
      </c>
      <c r="H2276" s="20">
        <v>7.4573690110506319E-3</v>
      </c>
      <c r="I2276" s="2">
        <f ca="1"/>
        <v>2269</v>
      </c>
      <c r="J2276">
        <f ca="1"/>
        <v>3.9584067435231391</v>
      </c>
      <c r="K2276">
        <f ca="1"/>
        <v>7.0427656123612827E-3</v>
      </c>
    </row>
    <row r="2277" spans="7:11">
      <c r="G2277" s="20">
        <v>3.9601520727751334</v>
      </c>
      <c r="H2277" s="20">
        <v>7.4696637507826796E-3</v>
      </c>
      <c r="I2277" s="2">
        <f ca="1"/>
        <v>2270</v>
      </c>
      <c r="J2277">
        <f ca="1"/>
        <v>3.9601520727751334</v>
      </c>
      <c r="K2277">
        <f ca="1"/>
        <v>7.0440478748804766E-3</v>
      </c>
    </row>
    <row r="2278" spans="7:11">
      <c r="G2278" s="20">
        <v>3.9618974020271276</v>
      </c>
      <c r="H2278" s="20">
        <v>7.4819573766675852E-3</v>
      </c>
      <c r="I2278" s="2">
        <f ca="1"/>
        <v>2271</v>
      </c>
      <c r="J2278">
        <f ca="1"/>
        <v>3.9618974020271276</v>
      </c>
      <c r="K2278">
        <f ca="1"/>
        <v>7.0447851882620765E-3</v>
      </c>
    </row>
    <row r="2279" spans="7:11">
      <c r="G2279" s="20">
        <v>3.9636427312791227</v>
      </c>
      <c r="H2279" s="20">
        <v>7.4942546901088647E-3</v>
      </c>
      <c r="I2279" s="2">
        <f ca="1"/>
        <v>2272</v>
      </c>
      <c r="J2279">
        <f ca="1"/>
        <v>3.9636427312791227</v>
      </c>
      <c r="K2279">
        <f ca="1"/>
        <v>7.0484317558178328E-3</v>
      </c>
    </row>
    <row r="2280" spans="7:11">
      <c r="G2280" s="20">
        <v>3.9653880605311165</v>
      </c>
      <c r="H2280" s="20">
        <v>7.506561044915816E-3</v>
      </c>
      <c r="I2280" s="2">
        <f ca="1"/>
        <v>2273</v>
      </c>
      <c r="J2280">
        <f ca="1"/>
        <v>3.9653880605311165</v>
      </c>
      <c r="K2280">
        <f ca="1"/>
        <v>7.0523981491412051E-3</v>
      </c>
    </row>
    <row r="2281" spans="7:11">
      <c r="G2281" s="20">
        <v>3.9671333897831111</v>
      </c>
      <c r="H2281" s="20">
        <v>7.5188722036816768E-3</v>
      </c>
      <c r="I2281" s="2">
        <f ca="1"/>
        <v>2274</v>
      </c>
      <c r="J2281">
        <f ca="1"/>
        <v>3.9671333897831111</v>
      </c>
      <c r="K2281">
        <f ca="1"/>
        <v>7.0533361322686833E-3</v>
      </c>
    </row>
    <row r="2282" spans="7:11">
      <c r="G2282" s="20">
        <v>3.9688787190351049</v>
      </c>
      <c r="H2282" s="20">
        <v>7.5311818326674086E-3</v>
      </c>
      <c r="I2282" s="2">
        <f ca="1"/>
        <v>2275</v>
      </c>
      <c r="J2282">
        <f ca="1"/>
        <v>3.9688787190351049</v>
      </c>
      <c r="K2282">
        <f ca="1"/>
        <v>7.0543483068193783E-3</v>
      </c>
    </row>
    <row r="2283" spans="7:11">
      <c r="G2283" s="20">
        <v>3.9706240482870996</v>
      </c>
      <c r="H2283" s="20">
        <v>7.5434965245889723E-3</v>
      </c>
      <c r="I2283" s="2">
        <f ca="1"/>
        <v>2276</v>
      </c>
      <c r="J2283">
        <f ca="1"/>
        <v>3.9706240482870996</v>
      </c>
      <c r="K2283">
        <f ca="1"/>
        <v>7.0575898088995953E-3</v>
      </c>
    </row>
    <row r="2284" spans="7:11">
      <c r="G2284" s="20">
        <v>3.9723693775390947</v>
      </c>
      <c r="H2284" s="20">
        <v>7.5558174685515156E-3</v>
      </c>
      <c r="I2284" s="2">
        <f ca="1"/>
        <v>2277</v>
      </c>
      <c r="J2284">
        <f ca="1"/>
        <v>3.9723693775390947</v>
      </c>
      <c r="K2284">
        <f ca="1"/>
        <v>7.0591811804645004E-3</v>
      </c>
    </row>
    <row r="2285" spans="7:11">
      <c r="G2285" s="20">
        <v>3.9741147067910885</v>
      </c>
      <c r="H2285" s="20">
        <v>7.568137715407759E-3</v>
      </c>
      <c r="I2285" s="2">
        <f ca="1"/>
        <v>2278</v>
      </c>
      <c r="J2285">
        <f ca="1"/>
        <v>3.9741147067910885</v>
      </c>
      <c r="K2285">
        <f ca="1"/>
        <v>7.0601130838345398E-3</v>
      </c>
    </row>
    <row r="2286" spans="7:11">
      <c r="G2286" s="20">
        <v>3.9758600360430827</v>
      </c>
      <c r="H2286" s="20">
        <v>7.5804619123267195E-3</v>
      </c>
      <c r="I2286" s="2">
        <f ca="1"/>
        <v>2279</v>
      </c>
      <c r="J2286">
        <f ca="1"/>
        <v>3.9758600360430827</v>
      </c>
      <c r="K2286">
        <f ca="1"/>
        <v>7.0634750960947828E-3</v>
      </c>
    </row>
    <row r="2287" spans="7:11">
      <c r="G2287" s="20">
        <v>3.9776053652950769</v>
      </c>
      <c r="H2287" s="20">
        <v>7.5927938948196529E-3</v>
      </c>
      <c r="I2287" s="2">
        <f ca="1"/>
        <v>2280</v>
      </c>
      <c r="J2287">
        <f ca="1"/>
        <v>3.9776053652950769</v>
      </c>
      <c r="K2287">
        <f ca="1"/>
        <v>7.0669884145406116E-3</v>
      </c>
    </row>
    <row r="2288" spans="7:11">
      <c r="G2288" s="20">
        <v>3.9793506945470711</v>
      </c>
      <c r="H2288" s="20">
        <v>7.6051303555335235E-3</v>
      </c>
      <c r="I2288" s="2">
        <f ca="1"/>
        <v>2281</v>
      </c>
      <c r="J2288">
        <f ca="1"/>
        <v>3.9793506945470711</v>
      </c>
      <c r="K2288">
        <f ca="1"/>
        <v>7.06765947760784E-3</v>
      </c>
    </row>
    <row r="2289" spans="7:11">
      <c r="G2289" s="20">
        <v>3.9810960237990654</v>
      </c>
      <c r="H2289" s="20">
        <v>7.6174646804784592E-3</v>
      </c>
      <c r="I2289" s="2">
        <f ca="1"/>
        <v>2282</v>
      </c>
      <c r="J2289">
        <f ca="1"/>
        <v>3.9810960237990654</v>
      </c>
      <c r="K2289">
        <f ca="1"/>
        <v>7.0677983649375916E-3</v>
      </c>
    </row>
    <row r="2290" spans="7:11">
      <c r="G2290" s="20">
        <v>3.9828413530510596</v>
      </c>
      <c r="H2290" s="20">
        <v>7.6298016260005685E-3</v>
      </c>
      <c r="I2290" s="2">
        <f ca="1"/>
        <v>2283</v>
      </c>
      <c r="J2290">
        <f ca="1"/>
        <v>3.9828413530510596</v>
      </c>
      <c r="K2290">
        <f ca="1"/>
        <v>7.0699794975873365E-3</v>
      </c>
    </row>
    <row r="2291" spans="7:11">
      <c r="G2291" s="20">
        <v>3.9845866823030538</v>
      </c>
      <c r="H2291" s="20">
        <v>7.6421435645347363E-3</v>
      </c>
      <c r="I2291" s="2">
        <f ca="1"/>
        <v>2284</v>
      </c>
      <c r="J2291">
        <f ca="1"/>
        <v>3.9845866823030538</v>
      </c>
      <c r="K2291">
        <f ca="1"/>
        <v>7.071944775871134E-3</v>
      </c>
    </row>
    <row r="2292" spans="7:11">
      <c r="G2292" s="20">
        <v>3.9863320115550489</v>
      </c>
      <c r="H2292" s="20">
        <v>7.654487370172206E-3</v>
      </c>
      <c r="I2292" s="2">
        <f ca="1"/>
        <v>2285</v>
      </c>
      <c r="J2292">
        <f ca="1"/>
        <v>3.9863320115550489</v>
      </c>
      <c r="K2292">
        <f ca="1"/>
        <v>7.0734735640158499E-3</v>
      </c>
    </row>
    <row r="2293" spans="7:11">
      <c r="G2293" s="20">
        <v>3.9880773408070431</v>
      </c>
      <c r="H2293" s="20">
        <v>7.666834645183712E-3</v>
      </c>
      <c r="I2293" s="2">
        <f ca="1"/>
        <v>2286</v>
      </c>
      <c r="J2293">
        <f ca="1"/>
        <v>3.9880773408070431</v>
      </c>
      <c r="K2293">
        <f ca="1"/>
        <v>7.0762986158485336E-3</v>
      </c>
    </row>
    <row r="2294" spans="7:11">
      <c r="G2294" s="20">
        <v>3.9898226700590373</v>
      </c>
      <c r="H2294" s="20">
        <v>7.6791883121123793E-3</v>
      </c>
      <c r="I2294" s="2">
        <f ca="1"/>
        <v>2287</v>
      </c>
      <c r="J2294">
        <f ca="1"/>
        <v>3.9898226700590373</v>
      </c>
      <c r="K2294">
        <f ca="1"/>
        <v>7.0793507508856122E-3</v>
      </c>
    </row>
    <row r="2295" spans="7:11">
      <c r="G2295" s="20">
        <v>3.991567999311032</v>
      </c>
      <c r="H2295" s="20">
        <v>7.691546241085011E-3</v>
      </c>
      <c r="I2295" s="2">
        <f ca="1"/>
        <v>2288</v>
      </c>
      <c r="J2295">
        <f ca="1"/>
        <v>3.991567999311032</v>
      </c>
      <c r="K2295">
        <f ca="1"/>
        <v>7.07981940267905E-3</v>
      </c>
    </row>
    <row r="2296" spans="7:11">
      <c r="G2296" s="20">
        <v>3.9933133285630258</v>
      </c>
      <c r="H2296" s="20">
        <v>7.7039015439170433E-3</v>
      </c>
      <c r="I2296" s="2">
        <f ca="1"/>
        <v>2289</v>
      </c>
      <c r="J2296">
        <f ca="1"/>
        <v>3.9933133285630258</v>
      </c>
      <c r="K2296">
        <f ca="1"/>
        <v>7.079729611360437E-3</v>
      </c>
    </row>
    <row r="2297" spans="7:11">
      <c r="G2297" s="20">
        <v>3.9950586578150205</v>
      </c>
      <c r="H2297" s="20">
        <v>7.7162591594588451E-3</v>
      </c>
      <c r="I2297" s="2">
        <f ca="1"/>
        <v>2290</v>
      </c>
      <c r="J2297">
        <f ca="1"/>
        <v>3.9950586578150205</v>
      </c>
      <c r="K2297">
        <f ca="1"/>
        <v>7.0816213301605185E-3</v>
      </c>
    </row>
    <row r="2298" spans="7:11">
      <c r="G2298" s="20">
        <v>3.9968039870670142</v>
      </c>
      <c r="H2298" s="20">
        <v>7.7286210656351941E-3</v>
      </c>
      <c r="I2298" s="2">
        <f ca="1"/>
        <v>2291</v>
      </c>
      <c r="J2298">
        <f ca="1"/>
        <v>3.9968039870670142</v>
      </c>
      <c r="K2298">
        <f ca="1"/>
        <v>7.0832561841361694E-3</v>
      </c>
    </row>
    <row r="2299" spans="7:11">
      <c r="G2299" s="20">
        <v>3.9985493163190085</v>
      </c>
      <c r="H2299" s="20">
        <v>7.7409843878939255E-3</v>
      </c>
      <c r="I2299" s="2">
        <f ca="1"/>
        <v>2292</v>
      </c>
      <c r="J2299">
        <f ca="1"/>
        <v>3.9985493163190085</v>
      </c>
      <c r="K2299">
        <f ca="1"/>
        <v>7.0845008552399566E-3</v>
      </c>
    </row>
    <row r="2300" spans="7:11">
      <c r="G2300" s="20">
        <v>4.0002946455710031</v>
      </c>
      <c r="H2300" s="20">
        <v>7.753350638792054E-3</v>
      </c>
      <c r="I2300" s="2">
        <f ca="1"/>
        <v>2293</v>
      </c>
      <c r="J2300">
        <f ca="1"/>
        <v>4.0002946455710031</v>
      </c>
      <c r="K2300">
        <f ca="1"/>
        <v>7.0870268499799065E-3</v>
      </c>
    </row>
    <row r="2301" spans="7:11">
      <c r="G2301" s="20">
        <v>4.0020399748229973</v>
      </c>
      <c r="H2301" s="20">
        <v>7.7657227784358055E-3</v>
      </c>
      <c r="I2301" s="2">
        <f ca="1"/>
        <v>2294</v>
      </c>
      <c r="J2301">
        <f ca="1"/>
        <v>4.0020399748229973</v>
      </c>
      <c r="K2301">
        <f ca="1"/>
        <v>7.0897899339185918E-3</v>
      </c>
    </row>
    <row r="2302" spans="7:11">
      <c r="G2302" s="20">
        <v>4.0037853040749916</v>
      </c>
      <c r="H2302" s="20">
        <v>7.7780986743163786E-3</v>
      </c>
      <c r="I2302" s="2">
        <f ca="1"/>
        <v>2295</v>
      </c>
      <c r="J2302">
        <f ca="1"/>
        <v>4.0037853040749916</v>
      </c>
      <c r="K2302">
        <f ca="1"/>
        <v>7.089946865193774E-3</v>
      </c>
    </row>
    <row r="2303" spans="7:11">
      <c r="G2303" s="20">
        <v>4.0055306333269858</v>
      </c>
      <c r="H2303" s="20">
        <v>7.7904713617536203E-3</v>
      </c>
      <c r="I2303" s="2">
        <f ca="1"/>
        <v>2296</v>
      </c>
      <c r="J2303">
        <f ca="1"/>
        <v>4.0055306333269858</v>
      </c>
      <c r="K2303">
        <f ca="1"/>
        <v>7.0895393540270314E-3</v>
      </c>
    </row>
    <row r="2304" spans="7:11">
      <c r="G2304" s="20">
        <v>4.0072759625789809</v>
      </c>
      <c r="H2304" s="20">
        <v>7.80284583515188E-3</v>
      </c>
      <c r="I2304" s="2">
        <f ca="1"/>
        <v>2297</v>
      </c>
      <c r="J2304">
        <f ca="1"/>
        <v>4.0072759625789809</v>
      </c>
      <c r="K2304">
        <f ca="1"/>
        <v>7.0921580896872788E-3</v>
      </c>
    </row>
    <row r="2305" spans="7:11">
      <c r="G2305" s="20">
        <v>4.0090212918309751</v>
      </c>
      <c r="H2305" s="20">
        <v>7.8152276637010239E-3</v>
      </c>
      <c r="I2305" s="2">
        <f ca="1"/>
        <v>2298</v>
      </c>
      <c r="J2305">
        <f ca="1"/>
        <v>4.0090212918309751</v>
      </c>
      <c r="K2305">
        <f ca="1"/>
        <v>7.0951113958394622E-3</v>
      </c>
    </row>
    <row r="2306" spans="7:11">
      <c r="G2306" s="20">
        <v>4.0107666210829693</v>
      </c>
      <c r="H2306" s="20">
        <v>7.8276124460825124E-3</v>
      </c>
      <c r="I2306" s="2">
        <f ca="1"/>
        <v>2299</v>
      </c>
      <c r="J2306">
        <f ca="1"/>
        <v>4.0107666210829693</v>
      </c>
      <c r="K2306">
        <f ca="1"/>
        <v>7.0949188822270583E-3</v>
      </c>
    </row>
    <row r="2307" spans="7:11">
      <c r="G2307" s="20">
        <v>4.0125119503349636</v>
      </c>
      <c r="H2307" s="20">
        <v>7.839993602632378E-3</v>
      </c>
      <c r="I2307" s="2">
        <f ca="1"/>
        <v>2300</v>
      </c>
      <c r="J2307">
        <f ca="1"/>
        <v>4.0125119503349636</v>
      </c>
      <c r="K2307">
        <f ca="1"/>
        <v>7.0948057320998469E-3</v>
      </c>
    </row>
    <row r="2308" spans="7:11">
      <c r="G2308" s="20">
        <v>4.0142572795869578</v>
      </c>
      <c r="H2308" s="20">
        <v>7.8523779900454126E-3</v>
      </c>
      <c r="I2308" s="2">
        <f ca="1"/>
        <v>2301</v>
      </c>
      <c r="J2308">
        <f ca="1"/>
        <v>4.0142572795869578</v>
      </c>
      <c r="K2308">
        <f ca="1"/>
        <v>7.0970117714007196E-3</v>
      </c>
    </row>
    <row r="2309" spans="7:11">
      <c r="G2309" s="20">
        <v>4.016002608838952</v>
      </c>
      <c r="H2309" s="20">
        <v>7.864766847125124E-3</v>
      </c>
      <c r="I2309" s="2">
        <f ca="1"/>
        <v>2302</v>
      </c>
      <c r="J2309">
        <f ca="1"/>
        <v>4.016002608838952</v>
      </c>
      <c r="K2309">
        <f ca="1"/>
        <v>7.0975040626820775E-3</v>
      </c>
    </row>
    <row r="2310" spans="7:11">
      <c r="G2310" s="20">
        <v>4.0177479380909462</v>
      </c>
      <c r="H2310" s="20">
        <v>7.8771529529589063E-3</v>
      </c>
      <c r="I2310" s="2">
        <f ca="1"/>
        <v>2303</v>
      </c>
      <c r="J2310">
        <f ca="1"/>
        <v>4.0177479380909462</v>
      </c>
      <c r="K2310">
        <f ca="1"/>
        <v>7.0973125224217132E-3</v>
      </c>
    </row>
    <row r="2311" spans="7:11">
      <c r="G2311" s="20">
        <v>4.0194932673429413</v>
      </c>
      <c r="H2311" s="20">
        <v>7.8895411414369853E-3</v>
      </c>
      <c r="I2311" s="2">
        <f ca="1"/>
        <v>2304</v>
      </c>
      <c r="J2311">
        <f ca="1"/>
        <v>4.0194932673429413</v>
      </c>
      <c r="K2311">
        <f ca="1"/>
        <v>7.0996492781480397E-3</v>
      </c>
    </row>
    <row r="2312" spans="7:11">
      <c r="G2312" s="20">
        <v>4.0212385965949347</v>
      </c>
      <c r="H2312" s="20">
        <v>7.9019354040870092E-3</v>
      </c>
      <c r="I2312" s="2">
        <f ca="1"/>
        <v>2305</v>
      </c>
      <c r="J2312">
        <f ca="1"/>
        <v>4.0212385965949347</v>
      </c>
      <c r="K2312">
        <f ca="1"/>
        <v>7.1021452532643746E-3</v>
      </c>
    </row>
    <row r="2313" spans="7:11">
      <c r="G2313" s="20">
        <v>4.0229839258469298</v>
      </c>
      <c r="H2313" s="20">
        <v>7.9143323051618537E-3</v>
      </c>
      <c r="I2313" s="2">
        <f ca="1"/>
        <v>2306</v>
      </c>
      <c r="J2313">
        <f ca="1"/>
        <v>4.0229839258469298</v>
      </c>
      <c r="K2313">
        <f ca="1"/>
        <v>7.1037181951549982E-3</v>
      </c>
    </row>
    <row r="2314" spans="7:11">
      <c r="G2314" s="20">
        <v>4.024729255098924</v>
      </c>
      <c r="H2314" s="20">
        <v>7.9267320584148707E-3</v>
      </c>
      <c r="I2314" s="2">
        <f ca="1"/>
        <v>2307</v>
      </c>
      <c r="J2314">
        <f ca="1"/>
        <v>4.024729255098924</v>
      </c>
      <c r="K2314">
        <f ca="1"/>
        <v>7.1050877376472718E-3</v>
      </c>
    </row>
    <row r="2315" spans="7:11">
      <c r="G2315" s="20">
        <v>4.0264745843509182</v>
      </c>
      <c r="H2315" s="20">
        <v>7.9391337400948562E-3</v>
      </c>
      <c r="I2315" s="2">
        <f ca="1"/>
        <v>2308</v>
      </c>
      <c r="J2315">
        <f ca="1"/>
        <v>4.0264745843509182</v>
      </c>
      <c r="K2315">
        <f ca="1"/>
        <v>7.1037524857087619E-3</v>
      </c>
    </row>
    <row r="2316" spans="7:11">
      <c r="G2316" s="20">
        <v>4.0282199136029124</v>
      </c>
      <c r="H2316" s="20">
        <v>7.9515288324393391E-3</v>
      </c>
      <c r="I2316" s="2">
        <f ca="1"/>
        <v>2309</v>
      </c>
      <c r="J2316">
        <f ca="1"/>
        <v>4.0282199136029124</v>
      </c>
      <c r="K2316">
        <f ca="1"/>
        <v>7.1019905017733302E-3</v>
      </c>
    </row>
    <row r="2317" spans="7:11">
      <c r="G2317" s="20">
        <v>4.0299652428549075</v>
      </c>
      <c r="H2317" s="20">
        <v>7.9639243636351227E-3</v>
      </c>
      <c r="I2317" s="2">
        <f ca="1"/>
        <v>2310</v>
      </c>
      <c r="J2317">
        <f ca="1"/>
        <v>4.0299652428549075</v>
      </c>
      <c r="K2317">
        <f ca="1"/>
        <v>7.1031706690147731E-3</v>
      </c>
    </row>
    <row r="2318" spans="7:11">
      <c r="G2318" s="20">
        <v>4.0317105721069018</v>
      </c>
      <c r="H2318" s="20">
        <v>7.9763235755404231E-3</v>
      </c>
      <c r="I2318" s="2">
        <f ca="1"/>
        <v>2311</v>
      </c>
      <c r="J2318">
        <f ca="1"/>
        <v>4.0317105721069018</v>
      </c>
      <c r="K2318">
        <f ca="1"/>
        <v>7.1051446139079148E-3</v>
      </c>
    </row>
    <row r="2319" spans="7:11">
      <c r="G2319" s="20">
        <v>4.033455901358896</v>
      </c>
      <c r="H2319" s="20">
        <v>7.988725997103728E-3</v>
      </c>
      <c r="I2319" s="2">
        <f ca="1"/>
        <v>2312</v>
      </c>
      <c r="J2319">
        <f ca="1"/>
        <v>4.033455901358896</v>
      </c>
      <c r="K2319">
        <f ca="1"/>
        <v>7.1068498364799263E-3</v>
      </c>
    </row>
    <row r="2320" spans="7:11">
      <c r="G2320" s="20">
        <v>4.0352012306108902</v>
      </c>
      <c r="H2320" s="20">
        <v>8.0011311613587006E-3</v>
      </c>
      <c r="I2320" s="2">
        <f ca="1"/>
        <v>2313</v>
      </c>
      <c r="J2320">
        <f ca="1"/>
        <v>4.0352012306108902</v>
      </c>
      <c r="K2320">
        <f ca="1"/>
        <v>7.1062502795000565E-3</v>
      </c>
    </row>
    <row r="2321" spans="7:11">
      <c r="G2321" s="20">
        <v>4.0369465598628844</v>
      </c>
      <c r="H2321" s="20">
        <v>8.0135314900733352E-3</v>
      </c>
      <c r="I2321" s="2">
        <f ca="1"/>
        <v>2314</v>
      </c>
      <c r="J2321">
        <f ca="1"/>
        <v>4.0369465598628844</v>
      </c>
      <c r="K2321">
        <f ca="1"/>
        <v>7.1050596959142016E-3</v>
      </c>
    </row>
    <row r="2322" spans="7:11">
      <c r="G2322" s="20">
        <v>4.0386918891148786</v>
      </c>
      <c r="H2322" s="20">
        <v>8.025932498407589E-3</v>
      </c>
      <c r="I2322" s="2">
        <f ca="1"/>
        <v>2315</v>
      </c>
      <c r="J2322">
        <f ca="1"/>
        <v>4.0386918891148786</v>
      </c>
      <c r="K2322">
        <f ca="1"/>
        <v>7.1059151295926265E-3</v>
      </c>
    </row>
    <row r="2323" spans="7:11">
      <c r="G2323" s="20">
        <v>4.0404372183668729</v>
      </c>
      <c r="H2323" s="20">
        <v>8.0383358131490678E-3</v>
      </c>
      <c r="I2323" s="2">
        <f ca="1"/>
        <v>2316</v>
      </c>
      <c r="J2323">
        <f ca="1"/>
        <v>4.0404372183668729</v>
      </c>
      <c r="K2323">
        <f ca="1"/>
        <v>7.106447364420585E-3</v>
      </c>
    </row>
    <row r="2324" spans="7:11">
      <c r="G2324" s="20">
        <v>4.0421825476188671</v>
      </c>
      <c r="H2324" s="20">
        <v>8.05073867933335E-3</v>
      </c>
      <c r="I2324" s="2">
        <f ca="1"/>
        <v>2317</v>
      </c>
      <c r="J2324">
        <f ca="1"/>
        <v>4.0421825476188671</v>
      </c>
      <c r="K2324">
        <f ca="1"/>
        <v>7.1066231783983736E-3</v>
      </c>
    </row>
    <row r="2325" spans="7:11">
      <c r="G2325" s="20">
        <v>4.0439278768708622</v>
      </c>
      <c r="H2325" s="20">
        <v>8.0631426077813918E-3</v>
      </c>
      <c r="I2325" s="2">
        <f ca="1"/>
        <v>2318</v>
      </c>
      <c r="J2325">
        <f ca="1"/>
        <v>4.0439278768708622</v>
      </c>
      <c r="K2325">
        <f ca="1"/>
        <v>7.1081111202248659E-3</v>
      </c>
    </row>
    <row r="2326" spans="7:11">
      <c r="G2326" s="20">
        <v>4.0456732061228564</v>
      </c>
      <c r="H2326" s="20">
        <v>8.075550667862464E-3</v>
      </c>
      <c r="I2326" s="2">
        <f ca="1"/>
        <v>2319</v>
      </c>
      <c r="J2326">
        <f ca="1"/>
        <v>4.0456732061228564</v>
      </c>
      <c r="K2326">
        <f ca="1"/>
        <v>7.1098497568404615E-3</v>
      </c>
    </row>
    <row r="2327" spans="7:11">
      <c r="G2327" s="20">
        <v>4.0474185353748506</v>
      </c>
      <c r="H2327" s="20">
        <v>8.0879606652971871E-3</v>
      </c>
      <c r="I2327" s="2">
        <f ca="1"/>
        <v>2320</v>
      </c>
      <c r="J2327">
        <f ca="1"/>
        <v>4.0474185353748506</v>
      </c>
      <c r="K2327">
        <f ca="1"/>
        <v>7.1088852683354221E-3</v>
      </c>
    </row>
    <row r="2328" spans="7:11">
      <c r="G2328" s="20">
        <v>4.0491638646268449</v>
      </c>
      <c r="H2328" s="20">
        <v>8.1003653586782572E-3</v>
      </c>
      <c r="I2328" s="2">
        <f ca="1"/>
        <v>2321</v>
      </c>
      <c r="J2328">
        <f ca="1"/>
        <v>4.0491638646268449</v>
      </c>
      <c r="K2328">
        <f ca="1"/>
        <v>7.1073351222526587E-3</v>
      </c>
    </row>
    <row r="2329" spans="7:11">
      <c r="G2329" s="20">
        <v>4.0509091938788391</v>
      </c>
      <c r="H2329" s="20">
        <v>8.112769945082374E-3</v>
      </c>
      <c r="I2329" s="2">
        <f ca="1"/>
        <v>2322</v>
      </c>
      <c r="J2329">
        <f ca="1"/>
        <v>4.0509091938788391</v>
      </c>
      <c r="K2329">
        <f ca="1"/>
        <v>7.1089315887326466E-3</v>
      </c>
    </row>
    <row r="2330" spans="7:11">
      <c r="G2330" s="20">
        <v>4.0526545231308333</v>
      </c>
      <c r="H2330" s="20">
        <v>8.1251802111827389E-3</v>
      </c>
      <c r="I2330" s="2">
        <f ca="1"/>
        <v>2323</v>
      </c>
      <c r="J2330">
        <f ca="1"/>
        <v>4.0526545231308333</v>
      </c>
      <c r="K2330">
        <f ca="1"/>
        <v>7.1108765891217734E-3</v>
      </c>
    </row>
    <row r="2331" spans="7:11">
      <c r="G2331" s="20">
        <v>4.0543998523828275</v>
      </c>
      <c r="H2331" s="20">
        <v>8.1375915869190043E-3</v>
      </c>
      <c r="I2331" s="2">
        <f ca="1"/>
        <v>2324</v>
      </c>
      <c r="J2331">
        <f ca="1"/>
        <v>4.0543998523828275</v>
      </c>
      <c r="K2331">
        <f ca="1"/>
        <v>7.1095529369802658E-3</v>
      </c>
    </row>
    <row r="2332" spans="7:11">
      <c r="G2332" s="20">
        <v>4.0561451816348217</v>
      </c>
      <c r="H2332" s="20">
        <v>8.1499972326017651E-3</v>
      </c>
      <c r="I2332" s="2">
        <f ca="1"/>
        <v>2325</v>
      </c>
      <c r="J2332">
        <f ca="1"/>
        <v>4.0561451816348217</v>
      </c>
      <c r="K2332">
        <f ca="1"/>
        <v>7.1083137333915469E-3</v>
      </c>
    </row>
    <row r="2333" spans="7:11">
      <c r="G2333" s="20">
        <v>4.057890510886816</v>
      </c>
      <c r="H2333" s="20">
        <v>8.1624042827014853E-3</v>
      </c>
      <c r="I2333" s="2">
        <f ca="1"/>
        <v>2326</v>
      </c>
      <c r="J2333">
        <f ca="1"/>
        <v>4.057890510886816</v>
      </c>
      <c r="K2333">
        <f ca="1"/>
        <v>7.1094876042103253E-3</v>
      </c>
    </row>
    <row r="2334" spans="7:11">
      <c r="G2334" s="20">
        <v>4.0596358401388111</v>
      </c>
      <c r="H2334" s="20">
        <v>8.1748140259664086E-3</v>
      </c>
      <c r="I2334" s="2">
        <f ca="1"/>
        <v>2327</v>
      </c>
      <c r="J2334">
        <f ca="1"/>
        <v>4.0596358401388111</v>
      </c>
      <c r="K2334">
        <f ca="1"/>
        <v>7.1088803112968318E-3</v>
      </c>
    </row>
    <row r="2335" spans="7:11">
      <c r="G2335" s="20">
        <v>4.0613811693908044</v>
      </c>
      <c r="H2335" s="20">
        <v>8.1872189562139496E-3</v>
      </c>
      <c r="I2335" s="2">
        <f ca="1"/>
        <v>2328</v>
      </c>
      <c r="J2335">
        <f ca="1"/>
        <v>4.0613811693908044</v>
      </c>
      <c r="K2335">
        <f ca="1"/>
        <v>7.1075634020400843E-3</v>
      </c>
    </row>
    <row r="2336" spans="7:11">
      <c r="G2336" s="20">
        <v>4.0631264986427995</v>
      </c>
      <c r="H2336" s="20">
        <v>8.1996241025983768E-3</v>
      </c>
      <c r="I2336" s="2">
        <f ca="1"/>
        <v>2329</v>
      </c>
      <c r="J2336">
        <f ca="1"/>
        <v>4.0631264986427995</v>
      </c>
      <c r="K2336">
        <f ca="1"/>
        <v>7.108877612830751E-3</v>
      </c>
    </row>
    <row r="2337" spans="7:11">
      <c r="G2337" s="20">
        <v>4.0648718278947928</v>
      </c>
      <c r="H2337" s="20">
        <v>8.2120336203069903E-3</v>
      </c>
      <c r="I2337" s="2">
        <f ca="1"/>
        <v>2330</v>
      </c>
      <c r="J2337">
        <f ca="1"/>
        <v>4.0648718278947928</v>
      </c>
      <c r="K2337">
        <f ca="1"/>
        <v>7.1103592188412413E-3</v>
      </c>
    </row>
    <row r="2338" spans="7:11">
      <c r="G2338" s="20">
        <v>4.066617157146788</v>
      </c>
      <c r="H2338" s="20">
        <v>8.2244439384720376E-3</v>
      </c>
      <c r="I2338" s="2">
        <f ca="1"/>
        <v>2331</v>
      </c>
      <c r="J2338">
        <f ca="1"/>
        <v>4.066617157146788</v>
      </c>
      <c r="K2338">
        <f ca="1"/>
        <v>7.108771192455769E-3</v>
      </c>
    </row>
    <row r="2339" spans="7:11">
      <c r="G2339" s="20">
        <v>4.0683624863987822</v>
      </c>
      <c r="H2339" s="20">
        <v>8.2368479129228504E-3</v>
      </c>
      <c r="I2339" s="2">
        <f ca="1"/>
        <v>2332</v>
      </c>
      <c r="J2339">
        <f ca="1"/>
        <v>4.0683624863987822</v>
      </c>
      <c r="K2339">
        <f ca="1"/>
        <v>7.1066111928714702E-3</v>
      </c>
    </row>
    <row r="2340" spans="7:11">
      <c r="G2340" s="20">
        <v>4.0701078156507764</v>
      </c>
      <c r="H2340" s="20">
        <v>8.2492506912669739E-3</v>
      </c>
      <c r="I2340" s="2">
        <f ca="1"/>
        <v>2333</v>
      </c>
      <c r="J2340">
        <f ca="1"/>
        <v>4.0701078156507764</v>
      </c>
      <c r="K2340">
        <f ca="1"/>
        <v>7.1066623275058459E-3</v>
      </c>
    </row>
    <row r="2341" spans="7:11">
      <c r="G2341" s="20">
        <v>4.0718531449027706</v>
      </c>
      <c r="H2341" s="20">
        <v>8.261654844211333E-3</v>
      </c>
      <c r="I2341" s="2">
        <f ca="1"/>
        <v>2334</v>
      </c>
      <c r="J2341">
        <f ca="1"/>
        <v>4.0718531449027706</v>
      </c>
      <c r="K2341">
        <f ca="1"/>
        <v>7.1064836837494774E-3</v>
      </c>
    </row>
    <row r="2342" spans="7:11">
      <c r="G2342" s="20">
        <v>4.0735984741547648</v>
      </c>
      <c r="H2342" s="20">
        <v>8.2740569989711091E-3</v>
      </c>
      <c r="I2342" s="2">
        <f ca="1"/>
        <v>2335</v>
      </c>
      <c r="J2342">
        <f ca="1"/>
        <v>4.0735984741547648</v>
      </c>
      <c r="K2342">
        <f ca="1"/>
        <v>7.105836471911528E-3</v>
      </c>
    </row>
    <row r="2343" spans="7:11">
      <c r="G2343" s="20">
        <v>4.0753438034067591</v>
      </c>
      <c r="H2343" s="20">
        <v>8.2864588927199622E-3</v>
      </c>
      <c r="I2343" s="2">
        <f ca="1"/>
        <v>2336</v>
      </c>
      <c r="J2343">
        <f ca="1"/>
        <v>4.0753438034067591</v>
      </c>
      <c r="K2343">
        <f ca="1"/>
        <v>7.1065944604081326E-3</v>
      </c>
    </row>
    <row r="2344" spans="7:11">
      <c r="G2344" s="20">
        <v>4.0770891326587533</v>
      </c>
      <c r="H2344" s="20">
        <v>8.2988636933587299E-3</v>
      </c>
      <c r="I2344" s="2">
        <f ca="1"/>
        <v>2337</v>
      </c>
      <c r="J2344">
        <f ca="1"/>
        <v>4.0770891326587533</v>
      </c>
      <c r="K2344">
        <f ca="1"/>
        <v>7.1076013250192388E-3</v>
      </c>
    </row>
    <row r="2345" spans="7:11">
      <c r="G2345" s="20">
        <v>4.0788344619107484</v>
      </c>
      <c r="H2345" s="20">
        <v>8.3112691017281064E-3</v>
      </c>
      <c r="I2345" s="2">
        <f ca="1"/>
        <v>2338</v>
      </c>
      <c r="J2345">
        <f ca="1"/>
        <v>4.0788344619107484</v>
      </c>
      <c r="K2345">
        <f ca="1"/>
        <v>7.1058169178752619E-3</v>
      </c>
    </row>
    <row r="2346" spans="7:11">
      <c r="G2346" s="20">
        <v>4.0805797911627417</v>
      </c>
      <c r="H2346" s="20">
        <v>8.3236676736108961E-3</v>
      </c>
      <c r="I2346" s="2">
        <f ca="1"/>
        <v>2339</v>
      </c>
      <c r="J2346">
        <f ca="1"/>
        <v>4.0805797911627417</v>
      </c>
      <c r="K2346">
        <f ca="1"/>
        <v>7.1034318622200153E-3</v>
      </c>
    </row>
    <row r="2347" spans="7:11">
      <c r="G2347" s="20">
        <v>4.0823251204147368</v>
      </c>
      <c r="H2347" s="20">
        <v>8.3360647565654672E-3</v>
      </c>
      <c r="I2347" s="2">
        <f ca="1"/>
        <v>2340</v>
      </c>
      <c r="J2347">
        <f ca="1"/>
        <v>4.0823251204147368</v>
      </c>
      <c r="K2347">
        <f ca="1"/>
        <v>7.1031930216434672E-3</v>
      </c>
    </row>
    <row r="2348" spans="7:11">
      <c r="G2348" s="20">
        <v>4.0840704496667311</v>
      </c>
      <c r="H2348" s="20">
        <v>8.3484624947373735E-3</v>
      </c>
      <c r="I2348" s="2">
        <f ca="1"/>
        <v>2341</v>
      </c>
      <c r="J2348">
        <f ca="1"/>
        <v>4.0840704496667311</v>
      </c>
      <c r="K2348">
        <f ca="1"/>
        <v>7.102679528357035E-3</v>
      </c>
    </row>
    <row r="2349" spans="7:11">
      <c r="G2349" s="20">
        <v>4.0858157789187253</v>
      </c>
      <c r="H2349" s="20">
        <v>8.3608577852622313E-3</v>
      </c>
      <c r="I2349" s="2">
        <f ca="1"/>
        <v>2342</v>
      </c>
      <c r="J2349">
        <f ca="1"/>
        <v>4.0858157789187253</v>
      </c>
      <c r="K2349">
        <f ca="1"/>
        <v>7.1017472458238676E-3</v>
      </c>
    </row>
    <row r="2350" spans="7:11">
      <c r="G2350" s="20">
        <v>4.0875611081707204</v>
      </c>
      <c r="H2350" s="20">
        <v>8.3732522691541914E-3</v>
      </c>
      <c r="I2350" s="2">
        <f ca="1"/>
        <v>2343</v>
      </c>
      <c r="J2350">
        <f ca="1"/>
        <v>4.0875611081707204</v>
      </c>
      <c r="K2350">
        <f ca="1"/>
        <v>7.1022046014796291E-3</v>
      </c>
    </row>
    <row r="2351" spans="7:11">
      <c r="G2351" s="20">
        <v>4.0893064374227146</v>
      </c>
      <c r="H2351" s="20">
        <v>8.3856491561514583E-3</v>
      </c>
      <c r="I2351" s="2">
        <f ca="1"/>
        <v>2344</v>
      </c>
      <c r="J2351">
        <f ca="1"/>
        <v>4.0893064374227146</v>
      </c>
      <c r="K2351">
        <f ca="1"/>
        <v>7.1029215926480746E-3</v>
      </c>
    </row>
    <row r="2352" spans="7:11">
      <c r="G2352" s="20">
        <v>4.0910517666747088</v>
      </c>
      <c r="H2352" s="20">
        <v>8.3980461428147316E-3</v>
      </c>
      <c r="I2352" s="2">
        <f ca="1"/>
        <v>2345</v>
      </c>
      <c r="J2352">
        <f ca="1"/>
        <v>4.0910517666747088</v>
      </c>
      <c r="K2352">
        <f ca="1"/>
        <v>7.1008212219588231E-3</v>
      </c>
    </row>
    <row r="2353" spans="7:11">
      <c r="G2353" s="20">
        <v>4.0927970959267022</v>
      </c>
      <c r="H2353" s="20">
        <v>8.4104356981351842E-3</v>
      </c>
      <c r="I2353" s="2">
        <f ca="1"/>
        <v>2346</v>
      </c>
      <c r="J2353">
        <f ca="1"/>
        <v>4.0927970959267022</v>
      </c>
      <c r="K2353">
        <f ca="1"/>
        <v>7.0981130741445027E-3</v>
      </c>
    </row>
    <row r="2354" spans="7:11">
      <c r="G2354" s="20">
        <v>4.0945424251786973</v>
      </c>
      <c r="H2354" s="20">
        <v>8.4228232315792656E-3</v>
      </c>
      <c r="I2354" s="2">
        <f ca="1"/>
        <v>2347</v>
      </c>
      <c r="J2354">
        <f ca="1"/>
        <v>4.0945424251786973</v>
      </c>
      <c r="K2354">
        <f ca="1"/>
        <v>7.0986829118778062E-3</v>
      </c>
    </row>
    <row r="2355" spans="7:11">
      <c r="G2355" s="20">
        <v>4.0962877544306906</v>
      </c>
      <c r="H2355" s="20">
        <v>8.4352147760086479E-3</v>
      </c>
      <c r="I2355" s="2">
        <f ca="1"/>
        <v>2348</v>
      </c>
      <c r="J2355">
        <f ca="1"/>
        <v>4.0962877544306906</v>
      </c>
      <c r="K2355">
        <f ca="1"/>
        <v>7.0996177336621474E-3</v>
      </c>
    </row>
    <row r="2356" spans="7:11">
      <c r="G2356" s="20">
        <v>4.0980330836826857</v>
      </c>
      <c r="H2356" s="20">
        <v>8.4476055725963405E-3</v>
      </c>
      <c r="I2356" s="2">
        <f ca="1"/>
        <v>2349</v>
      </c>
      <c r="J2356">
        <f ca="1"/>
        <v>4.0980330836826857</v>
      </c>
      <c r="K2356">
        <f ca="1"/>
        <v>7.0971502024207633E-3</v>
      </c>
    </row>
    <row r="2357" spans="7:11">
      <c r="G2357" s="20">
        <v>4.099778412934679</v>
      </c>
      <c r="H2357" s="20">
        <v>8.4599885037168112E-3</v>
      </c>
      <c r="I2357" s="2">
        <f ca="1"/>
        <v>2350</v>
      </c>
      <c r="J2357">
        <f ca="1"/>
        <v>4.099778412934679</v>
      </c>
      <c r="K2357">
        <f ca="1"/>
        <v>7.0947721407833954E-3</v>
      </c>
    </row>
    <row r="2358" spans="7:11">
      <c r="G2358" s="20">
        <v>4.1015237421866741</v>
      </c>
      <c r="H2358" s="20">
        <v>8.4723709993034264E-3</v>
      </c>
      <c r="I2358" s="2">
        <f ca="1"/>
        <v>2351</v>
      </c>
      <c r="J2358">
        <f ca="1"/>
        <v>4.1015237421866741</v>
      </c>
      <c r="K2358">
        <f ca="1"/>
        <v>7.0949073645011551E-3</v>
      </c>
    </row>
    <row r="2359" spans="7:11">
      <c r="G2359" s="20">
        <v>4.1032690714386693</v>
      </c>
      <c r="H2359" s="20">
        <v>8.48475440244373E-3</v>
      </c>
      <c r="I2359" s="2">
        <f ca="1"/>
        <v>2352</v>
      </c>
      <c r="J2359">
        <f ca="1"/>
        <v>4.1032690714386693</v>
      </c>
      <c r="K2359">
        <f ca="1"/>
        <v>7.0931888531285264E-3</v>
      </c>
    </row>
    <row r="2360" spans="7:11">
      <c r="G2360" s="20">
        <v>4.1050144006906626</v>
      </c>
      <c r="H2360" s="20">
        <v>8.4971308992939955E-3</v>
      </c>
      <c r="I2360" s="2">
        <f ca="1"/>
        <v>2353</v>
      </c>
      <c r="J2360">
        <f ca="1"/>
        <v>4.1050144006906626</v>
      </c>
      <c r="K2360">
        <f ca="1"/>
        <v>7.090732821557302E-3</v>
      </c>
    </row>
    <row r="2361" spans="7:11">
      <c r="G2361" s="20">
        <v>4.1067597299426577</v>
      </c>
      <c r="H2361" s="20">
        <v>8.5095057292668089E-3</v>
      </c>
      <c r="I2361" s="2">
        <f ca="1"/>
        <v>2354</v>
      </c>
      <c r="J2361">
        <f ca="1"/>
        <v>4.1067597299426577</v>
      </c>
      <c r="K2361">
        <f ca="1"/>
        <v>7.0910182779844099E-3</v>
      </c>
    </row>
    <row r="2362" spans="7:11">
      <c r="G2362" s="20">
        <v>4.108505059194651</v>
      </c>
      <c r="H2362" s="20">
        <v>8.5218832225479792E-3</v>
      </c>
      <c r="I2362" s="2">
        <f ca="1"/>
        <v>2355</v>
      </c>
      <c r="J2362">
        <f ca="1"/>
        <v>4.108505059194651</v>
      </c>
      <c r="K2362">
        <f ca="1"/>
        <v>7.0914791101330419E-3</v>
      </c>
    </row>
    <row r="2363" spans="7:11">
      <c r="G2363" s="20">
        <v>4.1102503884466461</v>
      </c>
      <c r="H2363" s="20">
        <v>8.5342596611284512E-3</v>
      </c>
      <c r="I2363" s="2">
        <f ca="1"/>
        <v>2356</v>
      </c>
      <c r="J2363">
        <f ca="1"/>
        <v>4.1102503884466461</v>
      </c>
      <c r="K2363">
        <f ca="1"/>
        <v>7.0887439021440884E-3</v>
      </c>
    </row>
    <row r="2364" spans="7:11">
      <c r="G2364" s="20">
        <v>4.1119957176986404</v>
      </c>
      <c r="H2364" s="20">
        <v>8.546627606732601E-3</v>
      </c>
      <c r="I2364" s="2">
        <f ca="1"/>
        <v>2357</v>
      </c>
      <c r="J2364">
        <f ca="1"/>
        <v>4.1119957176986404</v>
      </c>
      <c r="K2364">
        <f ca="1"/>
        <v>7.085414412647143E-3</v>
      </c>
    </row>
    <row r="2365" spans="7:11">
      <c r="G2365" s="20">
        <v>4.1137410469506346</v>
      </c>
      <c r="H2365" s="20">
        <v>8.5589924232022403E-3</v>
      </c>
      <c r="I2365" s="2">
        <f ca="1"/>
        <v>2358</v>
      </c>
      <c r="J2365">
        <f ca="1"/>
        <v>4.1137410469506346</v>
      </c>
      <c r="K2365">
        <f ca="1"/>
        <v>7.0843888393218096E-3</v>
      </c>
    </row>
    <row r="2366" spans="7:11">
      <c r="G2366" s="20">
        <v>4.1154863762026288</v>
      </c>
      <c r="H2366" s="20">
        <v>8.5713567888801405E-3</v>
      </c>
      <c r="I2366" s="2">
        <f ca="1"/>
        <v>2359</v>
      </c>
      <c r="J2366">
        <f ca="1"/>
        <v>4.1154863762026288</v>
      </c>
      <c r="K2366">
        <f ca="1"/>
        <v>7.0831248209992483E-3</v>
      </c>
    </row>
    <row r="2367" spans="7:11">
      <c r="G2367" s="20">
        <v>4.117231705454623</v>
      </c>
      <c r="H2367" s="20">
        <v>8.5837171930934729E-3</v>
      </c>
      <c r="I2367" s="2">
        <f ca="1"/>
        <v>2360</v>
      </c>
      <c r="J2367">
        <f ca="1"/>
        <v>4.117231705454623</v>
      </c>
      <c r="K2367">
        <f ca="1"/>
        <v>7.081373632573401E-3</v>
      </c>
    </row>
    <row r="2368" spans="7:11">
      <c r="G2368" s="20">
        <v>4.1189770347066172</v>
      </c>
      <c r="H2368" s="20">
        <v>8.5960754459706024E-3</v>
      </c>
      <c r="I2368" s="2">
        <f ca="1"/>
        <v>2361</v>
      </c>
      <c r="J2368">
        <f ca="1"/>
        <v>4.1189770347066172</v>
      </c>
      <c r="K2368">
        <f ca="1"/>
        <v>7.0810877264019462E-3</v>
      </c>
    </row>
    <row r="2369" spans="7:11">
      <c r="G2369" s="20">
        <v>4.1207223639586115</v>
      </c>
      <c r="H2369" s="20">
        <v>8.608434852183126E-3</v>
      </c>
      <c r="I2369" s="2">
        <f ca="1"/>
        <v>2362</v>
      </c>
      <c r="J2369">
        <f ca="1"/>
        <v>4.1207223639586115</v>
      </c>
      <c r="K2369">
        <f ca="1"/>
        <v>7.081062737680519E-3</v>
      </c>
    </row>
    <row r="2370" spans="7:11">
      <c r="G2370" s="20">
        <v>4.1224676932106066</v>
      </c>
      <c r="H2370" s="20">
        <v>8.6207930178331688E-3</v>
      </c>
      <c r="I2370" s="2">
        <f ca="1"/>
        <v>2363</v>
      </c>
      <c r="J2370">
        <f ca="1"/>
        <v>4.1224676932106066</v>
      </c>
      <c r="K2370">
        <f ca="1"/>
        <v>7.0781301558843638E-3</v>
      </c>
    </row>
    <row r="2371" spans="7:11">
      <c r="G2371" s="20">
        <v>4.1242130224625999</v>
      </c>
      <c r="H2371" s="20">
        <v>8.6331421874041008E-3</v>
      </c>
      <c r="I2371" s="2">
        <f ca="1"/>
        <v>2364</v>
      </c>
      <c r="J2371">
        <f ca="1"/>
        <v>4.1242130224625999</v>
      </c>
      <c r="K2371">
        <f ca="1"/>
        <v>7.0745726607128034E-3</v>
      </c>
    </row>
    <row r="2372" spans="7:11">
      <c r="G2372" s="20">
        <v>4.125958351714595</v>
      </c>
      <c r="H2372" s="20">
        <v>8.6454879350533701E-3</v>
      </c>
      <c r="I2372" s="2">
        <f ca="1"/>
        <v>2365</v>
      </c>
      <c r="J2372">
        <f ca="1"/>
        <v>4.125958351714595</v>
      </c>
      <c r="K2372">
        <f ca="1"/>
        <v>7.0732523865794737E-3</v>
      </c>
    </row>
    <row r="2373" spans="7:11">
      <c r="G2373" s="20">
        <v>4.1277036809665892</v>
      </c>
      <c r="H2373" s="20">
        <v>8.6578324959981773E-3</v>
      </c>
      <c r="I2373" s="2">
        <f ca="1"/>
        <v>2366</v>
      </c>
      <c r="J2373">
        <f ca="1"/>
        <v>4.1277036809665892</v>
      </c>
      <c r="K2373">
        <f ca="1"/>
        <v>7.0716469186440168E-3</v>
      </c>
    </row>
    <row r="2374" spans="7:11">
      <c r="G2374" s="20">
        <v>4.1294490102185835</v>
      </c>
      <c r="H2374" s="20">
        <v>8.6701726395071385E-3</v>
      </c>
      <c r="I2374" s="2">
        <f ca="1"/>
        <v>2367</v>
      </c>
      <c r="J2374">
        <f ca="1"/>
        <v>4.1294490102185835</v>
      </c>
      <c r="K2374">
        <f ca="1"/>
        <v>7.0696060898548675E-3</v>
      </c>
    </row>
    <row r="2375" spans="7:11">
      <c r="G2375" s="20">
        <v>4.1311943394705777</v>
      </c>
      <c r="H2375" s="20">
        <v>8.6825100766155777E-3</v>
      </c>
      <c r="I2375" s="2">
        <f ca="1"/>
        <v>2368</v>
      </c>
      <c r="J2375">
        <f ca="1"/>
        <v>4.1311943394705777</v>
      </c>
      <c r="K2375">
        <f ca="1"/>
        <v>7.0690147694371921E-3</v>
      </c>
    </row>
    <row r="2376" spans="7:11">
      <c r="G2376" s="20">
        <v>4.1329396687225719</v>
      </c>
      <c r="H2376" s="20">
        <v>8.6948481560268943E-3</v>
      </c>
      <c r="I2376" s="2">
        <f ca="1"/>
        <v>2369</v>
      </c>
      <c r="J2376">
        <f ca="1"/>
        <v>4.1329396687225719</v>
      </c>
      <c r="K2376">
        <f ca="1"/>
        <v>7.068695214501014E-3</v>
      </c>
    </row>
    <row r="2377" spans="7:11">
      <c r="G2377" s="20">
        <v>4.1346849979745661</v>
      </c>
      <c r="H2377" s="20">
        <v>8.707184477678178E-3</v>
      </c>
      <c r="I2377" s="2">
        <f ca="1"/>
        <v>2370</v>
      </c>
      <c r="J2377">
        <f ca="1"/>
        <v>4.1346849979745661</v>
      </c>
      <c r="K2377">
        <f ca="1"/>
        <v>7.0654391777947726E-3</v>
      </c>
    </row>
    <row r="2378" spans="7:11">
      <c r="G2378" s="20">
        <v>4.1364303272265612</v>
      </c>
      <c r="H2378" s="20">
        <v>8.719511191377283E-3</v>
      </c>
      <c r="I2378" s="2">
        <f ca="1"/>
        <v>2371</v>
      </c>
      <c r="J2378">
        <f ca="1"/>
        <v>4.1364303272265612</v>
      </c>
      <c r="K2378">
        <f ca="1"/>
        <v>7.0615503900144771E-3</v>
      </c>
    </row>
    <row r="2379" spans="7:11">
      <c r="G2379" s="20">
        <v>4.1381756564785555</v>
      </c>
      <c r="H2379" s="20">
        <v>8.7318339385984312E-3</v>
      </c>
      <c r="I2379" s="2">
        <f ca="1"/>
        <v>2372</v>
      </c>
      <c r="J2379">
        <f ca="1"/>
        <v>4.1381756564785555</v>
      </c>
      <c r="K2379">
        <f ca="1"/>
        <v>7.0610806860825822E-3</v>
      </c>
    </row>
    <row r="2380" spans="7:11">
      <c r="G2380" s="20">
        <v>4.1399209857305497</v>
      </c>
      <c r="H2380" s="20">
        <v>8.7441590127215058E-3</v>
      </c>
      <c r="I2380" s="2">
        <f ca="1"/>
        <v>2373</v>
      </c>
      <c r="J2380">
        <f ca="1"/>
        <v>4.1399209857305497</v>
      </c>
      <c r="K2380">
        <f ca="1"/>
        <v>7.0609926773262154E-3</v>
      </c>
    </row>
    <row r="2381" spans="7:11">
      <c r="G2381" s="20">
        <v>4.1416663149825439</v>
      </c>
      <c r="H2381" s="20">
        <v>8.7564814527341401E-3</v>
      </c>
      <c r="I2381" s="2">
        <f ca="1"/>
        <v>2374</v>
      </c>
      <c r="J2381">
        <f ca="1"/>
        <v>4.1416663149825439</v>
      </c>
      <c r="K2381">
        <f ca="1"/>
        <v>7.0573572614632393E-3</v>
      </c>
    </row>
    <row r="2382" spans="7:11">
      <c r="G2382" s="20">
        <v>4.1434116442345381</v>
      </c>
      <c r="H2382" s="20">
        <v>8.768793836861917E-3</v>
      </c>
      <c r="I2382" s="2">
        <f ca="1"/>
        <v>2375</v>
      </c>
      <c r="J2382">
        <f ca="1"/>
        <v>4.1434116442345381</v>
      </c>
      <c r="K2382">
        <f ca="1"/>
        <v>7.0538165496399153E-3</v>
      </c>
    </row>
    <row r="2383" spans="7:11">
      <c r="G2383" s="20">
        <v>4.1451569734865323</v>
      </c>
      <c r="H2383" s="20">
        <v>8.7811039174587151E-3</v>
      </c>
      <c r="I2383" s="2">
        <f ca="1"/>
        <v>2376</v>
      </c>
      <c r="J2383">
        <f ca="1"/>
        <v>4.1451569734865323</v>
      </c>
      <c r="K2383">
        <f ca="1"/>
        <v>7.052897995802076E-3</v>
      </c>
    </row>
    <row r="2384" spans="7:11">
      <c r="G2384" s="20">
        <v>4.1469023027385274</v>
      </c>
      <c r="H2384" s="20">
        <v>8.7934130952287328E-3</v>
      </c>
      <c r="I2384" s="2">
        <f ca="1"/>
        <v>2377</v>
      </c>
      <c r="J2384">
        <f ca="1"/>
        <v>4.1469023027385274</v>
      </c>
      <c r="K2384">
        <f ca="1"/>
        <v>7.050045837836796E-3</v>
      </c>
    </row>
    <row r="2385" spans="7:11">
      <c r="G2385" s="20">
        <v>4.1486476319905217</v>
      </c>
      <c r="H2385" s="20">
        <v>8.8057132199160747E-3</v>
      </c>
      <c r="I2385" s="2">
        <f ca="1"/>
        <v>2378</v>
      </c>
      <c r="J2385">
        <f ca="1"/>
        <v>4.1486476319905217</v>
      </c>
      <c r="K2385">
        <f ca="1"/>
        <v>7.0464250829874201E-3</v>
      </c>
    </row>
    <row r="2386" spans="7:11">
      <c r="G2386" s="20">
        <v>4.1503929612425159</v>
      </c>
      <c r="H2386" s="20">
        <v>8.8180097588673803E-3</v>
      </c>
      <c r="I2386" s="2">
        <f ca="1"/>
        <v>2379</v>
      </c>
      <c r="J2386">
        <f ca="1"/>
        <v>4.1503929612425159</v>
      </c>
      <c r="K2386">
        <f ca="1"/>
        <v>7.045665842100696E-3</v>
      </c>
    </row>
    <row r="2387" spans="7:11">
      <c r="G2387" s="20">
        <v>4.1521382904945101</v>
      </c>
      <c r="H2387" s="20">
        <v>8.8303072333040643E-3</v>
      </c>
      <c r="I2387" s="2">
        <f ca="1"/>
        <v>2380</v>
      </c>
      <c r="J2387">
        <f ca="1"/>
        <v>4.1521382904945101</v>
      </c>
      <c r="K2387">
        <f ca="1"/>
        <v>7.0450906451854315E-3</v>
      </c>
    </row>
    <row r="2388" spans="7:11">
      <c r="G2388" s="20">
        <v>4.1538836197465043</v>
      </c>
      <c r="H2388" s="20">
        <v>8.8426017644393663E-3</v>
      </c>
      <c r="I2388" s="2">
        <f ca="1"/>
        <v>2381</v>
      </c>
      <c r="J2388">
        <f ca="1"/>
        <v>4.1538836197465043</v>
      </c>
      <c r="K2388">
        <f ca="1"/>
        <v>7.0411810476953222E-3</v>
      </c>
    </row>
    <row r="2389" spans="7:11">
      <c r="G2389" s="20">
        <v>4.1556289489984986</v>
      </c>
      <c r="H2389" s="20">
        <v>8.8548855918063243E-3</v>
      </c>
      <c r="I2389" s="2">
        <f ca="1"/>
        <v>2382</v>
      </c>
      <c r="J2389">
        <f ca="1"/>
        <v>4.1556289489984986</v>
      </c>
      <c r="K2389">
        <f ca="1"/>
        <v>7.036651932121313E-3</v>
      </c>
    </row>
    <row r="2390" spans="7:11">
      <c r="G2390" s="20">
        <v>4.1573742782504928</v>
      </c>
      <c r="H2390" s="20">
        <v>8.8671643133458322E-3</v>
      </c>
      <c r="I2390" s="2">
        <f ca="1"/>
        <v>2383</v>
      </c>
      <c r="J2390">
        <f ca="1"/>
        <v>4.1573742782504928</v>
      </c>
      <c r="K2390">
        <f ca="1"/>
        <v>7.0345277561622262E-3</v>
      </c>
    </row>
    <row r="2391" spans="7:11">
      <c r="G2391" s="20">
        <v>4.159119607502487</v>
      </c>
      <c r="H2391" s="20">
        <v>8.8794407259399147E-3</v>
      </c>
      <c r="I2391" s="2">
        <f ca="1"/>
        <v>2384</v>
      </c>
      <c r="J2391">
        <f ca="1"/>
        <v>4.159119607502487</v>
      </c>
      <c r="K2391">
        <f ca="1"/>
        <v>7.0321561994059279E-3</v>
      </c>
    </row>
    <row r="2392" spans="7:11">
      <c r="G2392" s="20">
        <v>4.1608649367544821</v>
      </c>
      <c r="H2392" s="20">
        <v>8.8917111691846698E-3</v>
      </c>
      <c r="I2392" s="2">
        <f ca="1"/>
        <v>2385</v>
      </c>
      <c r="J2392">
        <f ca="1"/>
        <v>4.1608649367544821</v>
      </c>
      <c r="K2392">
        <f ca="1"/>
        <v>7.0292772422508995E-3</v>
      </c>
    </row>
    <row r="2393" spans="7:11">
      <c r="G2393" s="20">
        <v>4.1626102660064763</v>
      </c>
      <c r="H2393" s="20">
        <v>8.9039775323224764E-3</v>
      </c>
      <c r="I2393" s="2">
        <f ca="1"/>
        <v>2386</v>
      </c>
      <c r="J2393">
        <f ca="1"/>
        <v>4.1626102660064763</v>
      </c>
      <c r="K2393">
        <f ca="1"/>
        <v>7.0279283830807669E-3</v>
      </c>
    </row>
    <row r="2394" spans="7:11">
      <c r="G2394" s="20">
        <v>4.1643555952584705</v>
      </c>
      <c r="H2394" s="20">
        <v>8.9162432671604924E-3</v>
      </c>
      <c r="I2394" s="2">
        <f ca="1"/>
        <v>2387</v>
      </c>
      <c r="J2394">
        <f ca="1"/>
        <v>4.1643555952584705</v>
      </c>
      <c r="K2394">
        <f ca="1"/>
        <v>7.0268525385015108E-3</v>
      </c>
    </row>
    <row r="2395" spans="7:11">
      <c r="G2395" s="20">
        <v>4.1661009245104648</v>
      </c>
      <c r="H2395" s="20">
        <v>8.9285058748922695E-3</v>
      </c>
      <c r="I2395" s="2">
        <f ca="1"/>
        <v>2388</v>
      </c>
      <c r="J2395">
        <f ca="1"/>
        <v>4.1661009245104648</v>
      </c>
      <c r="K2395">
        <f ca="1"/>
        <v>7.0227412913483576E-3</v>
      </c>
    </row>
    <row r="2396" spans="7:11">
      <c r="G2396" s="20">
        <v>4.167846253762459</v>
      </c>
      <c r="H2396" s="20">
        <v>8.9407572587704483E-3</v>
      </c>
      <c r="I2396" s="2">
        <f ca="1"/>
        <v>2389</v>
      </c>
      <c r="J2396">
        <f ca="1"/>
        <v>4.167846253762459</v>
      </c>
      <c r="K2396">
        <f ca="1"/>
        <v>7.0179784514517955E-3</v>
      </c>
    </row>
    <row r="2397" spans="7:11">
      <c r="G2397" s="20">
        <v>4.1695915830144532</v>
      </c>
      <c r="H2397" s="20">
        <v>8.9530032410546374E-3</v>
      </c>
      <c r="I2397" s="2">
        <f ca="1"/>
        <v>2390</v>
      </c>
      <c r="J2397">
        <f ca="1"/>
        <v>4.1695915830144532</v>
      </c>
      <c r="K2397">
        <f ca="1"/>
        <v>7.0155526266236744E-3</v>
      </c>
    </row>
    <row r="2398" spans="7:11">
      <c r="G2398" s="20">
        <v>4.1713369122664474</v>
      </c>
      <c r="H2398" s="20">
        <v>8.9652461572067507E-3</v>
      </c>
      <c r="I2398" s="2">
        <f ca="1"/>
        <v>2391</v>
      </c>
      <c r="J2398">
        <f ca="1"/>
        <v>4.1713369122664474</v>
      </c>
      <c r="K2398">
        <f ca="1"/>
        <v>7.012829891658294E-3</v>
      </c>
    </row>
    <row r="2399" spans="7:11">
      <c r="G2399" s="20">
        <v>4.1730822415184416</v>
      </c>
      <c r="H2399" s="20">
        <v>8.9774826353529787E-3</v>
      </c>
      <c r="I2399" s="2">
        <f ca="1"/>
        <v>2392</v>
      </c>
      <c r="J2399">
        <f ca="1"/>
        <v>4.1730822415184416</v>
      </c>
      <c r="K2399">
        <f ca="1"/>
        <v>7.0096530395248472E-3</v>
      </c>
    </row>
    <row r="2400" spans="7:11">
      <c r="G2400" s="20">
        <v>4.1748275707704368</v>
      </c>
      <c r="H2400" s="20">
        <v>8.9897144621991828E-3</v>
      </c>
      <c r="I2400" s="2">
        <f ca="1"/>
        <v>2393</v>
      </c>
      <c r="J2400">
        <f ca="1"/>
        <v>4.1748275707704368</v>
      </c>
      <c r="K2400">
        <f ca="1"/>
        <v>7.0079910843400947E-3</v>
      </c>
    </row>
    <row r="2401" spans="7:11">
      <c r="G2401" s="20">
        <v>4.176572900022431</v>
      </c>
      <c r="H2401" s="20">
        <v>9.0019451390274119E-3</v>
      </c>
      <c r="I2401" s="2">
        <f ca="1"/>
        <v>2394</v>
      </c>
      <c r="J2401">
        <f ca="1"/>
        <v>4.176572900022431</v>
      </c>
      <c r="K2401">
        <f ca="1"/>
        <v>7.0066141062920364E-3</v>
      </c>
    </row>
    <row r="2402" spans="7:11">
      <c r="G2402" s="20">
        <v>4.1783182292744252</v>
      </c>
      <c r="H2402" s="20">
        <v>9.0141721593134765E-3</v>
      </c>
      <c r="I2402" s="2">
        <f ca="1"/>
        <v>2395</v>
      </c>
      <c r="J2402">
        <f ca="1"/>
        <v>4.1783182292744252</v>
      </c>
      <c r="K2402">
        <f ca="1"/>
        <v>7.0021695016434793E-3</v>
      </c>
    </row>
    <row r="2403" spans="7:11">
      <c r="G2403" s="20">
        <v>4.1800635585264194</v>
      </c>
      <c r="H2403" s="20">
        <v>9.0263873215446922E-3</v>
      </c>
      <c r="I2403" s="2">
        <f ca="1"/>
        <v>2396</v>
      </c>
      <c r="J2403">
        <f ca="1"/>
        <v>4.1800635585264194</v>
      </c>
      <c r="K2403">
        <f ca="1"/>
        <v>6.997064419337928E-3</v>
      </c>
    </row>
    <row r="2404" spans="7:11">
      <c r="G2404" s="20">
        <v>4.1818088877784145</v>
      </c>
      <c r="H2404" s="20">
        <v>9.0385965217317996E-3</v>
      </c>
      <c r="I2404" s="2">
        <f ca="1"/>
        <v>2397</v>
      </c>
      <c r="J2404">
        <f ca="1"/>
        <v>4.1818088877784145</v>
      </c>
      <c r="K2404">
        <f ca="1"/>
        <v>6.9955330197210572E-3</v>
      </c>
    </row>
    <row r="2405" spans="7:11">
      <c r="G2405" s="20">
        <v>4.1835542170304079</v>
      </c>
      <c r="H2405" s="20">
        <v>9.0508063383699135E-3</v>
      </c>
      <c r="I2405" s="2">
        <f ca="1"/>
        <v>2398</v>
      </c>
      <c r="J2405">
        <f ca="1"/>
        <v>4.1835542170304079</v>
      </c>
      <c r="K2405">
        <f ca="1"/>
        <v>6.9944012394034796E-3</v>
      </c>
    </row>
    <row r="2406" spans="7:11">
      <c r="G2406" s="20">
        <v>4.185299546282403</v>
      </c>
      <c r="H2406" s="20">
        <v>9.0630115878984306E-3</v>
      </c>
      <c r="I2406" s="2">
        <f ca="1"/>
        <v>2399</v>
      </c>
      <c r="J2406">
        <f ca="1"/>
        <v>4.185299546282403</v>
      </c>
      <c r="K2406">
        <f ca="1"/>
        <v>6.989562251530951E-3</v>
      </c>
    </row>
    <row r="2407" spans="7:11">
      <c r="G2407" s="20">
        <v>4.1870448755343963</v>
      </c>
      <c r="H2407" s="20">
        <v>9.0752045132823766E-3</v>
      </c>
      <c r="I2407" s="2">
        <f ca="1"/>
        <v>2400</v>
      </c>
      <c r="J2407">
        <f ca="1"/>
        <v>4.1870448755343963</v>
      </c>
      <c r="K2407">
        <f ca="1"/>
        <v>6.9848235402617462E-3</v>
      </c>
    </row>
    <row r="2408" spans="7:11">
      <c r="G2408" s="20">
        <v>4.1887902047863905</v>
      </c>
      <c r="H2408" s="20">
        <v>9.0873932215880977E-3</v>
      </c>
      <c r="I2408" s="2">
        <f ca="1"/>
        <v>2401</v>
      </c>
      <c r="J2408">
        <f ca="1"/>
        <v>4.1887902047863905</v>
      </c>
      <c r="K2408">
        <f ca="1"/>
        <v>6.9828265714065594E-3</v>
      </c>
    </row>
    <row r="2409" spans="7:11">
      <c r="G2409" s="20">
        <v>4.1905355340383856</v>
      </c>
      <c r="H2409" s="20">
        <v>9.0995791762357395E-3</v>
      </c>
      <c r="I2409" s="2">
        <f ca="1"/>
        <v>2402</v>
      </c>
      <c r="J2409">
        <f ca="1"/>
        <v>4.1905355340383856</v>
      </c>
      <c r="K2409">
        <f ca="1"/>
        <v>6.9788076105052506E-3</v>
      </c>
    </row>
    <row r="2410" spans="7:11">
      <c r="G2410" s="20">
        <v>4.192280863290379</v>
      </c>
      <c r="H2410" s="20">
        <v>9.1117538557214071E-3</v>
      </c>
      <c r="I2410" s="2">
        <f ca="1"/>
        <v>2403</v>
      </c>
      <c r="J2410">
        <f ca="1"/>
        <v>4.192280863290379</v>
      </c>
      <c r="K2410">
        <f ca="1"/>
        <v>6.9739854502990058E-3</v>
      </c>
    </row>
    <row r="2411" spans="7:11">
      <c r="G2411" s="20">
        <v>4.1940261925423741</v>
      </c>
      <c r="H2411" s="20">
        <v>9.1239229778545174E-3</v>
      </c>
      <c r="I2411" s="2">
        <f ca="1"/>
        <v>2404</v>
      </c>
      <c r="J2411">
        <f ca="1"/>
        <v>4.1940261925423741</v>
      </c>
      <c r="K2411">
        <f ca="1"/>
        <v>6.9721569616304352E-3</v>
      </c>
    </row>
    <row r="2412" spans="7:11">
      <c r="G2412" s="20">
        <v>4.1957715217943674</v>
      </c>
      <c r="H2412" s="20">
        <v>9.1360912747106646E-3</v>
      </c>
      <c r="I2412" s="2">
        <f ca="1"/>
        <v>2405</v>
      </c>
      <c r="J2412">
        <f ca="1"/>
        <v>4.1957715217943674</v>
      </c>
      <c r="K2412">
        <f ca="1"/>
        <v>6.9705219812666542E-3</v>
      </c>
    </row>
    <row r="2413" spans="7:11">
      <c r="G2413" s="20">
        <v>4.1975168510463625</v>
      </c>
      <c r="H2413" s="20">
        <v>9.1482546896856642E-3</v>
      </c>
      <c r="I2413" s="2">
        <f ca="1"/>
        <v>2406</v>
      </c>
      <c r="J2413">
        <f ca="1"/>
        <v>4.1975168510463625</v>
      </c>
      <c r="K2413">
        <f ca="1"/>
        <v>6.9653995690261037E-3</v>
      </c>
    </row>
    <row r="2414" spans="7:11">
      <c r="G2414" s="20">
        <v>4.1992621802983567</v>
      </c>
      <c r="H2414" s="20">
        <v>9.1604051059499692E-3</v>
      </c>
      <c r="I2414" s="2">
        <f ca="1"/>
        <v>2407</v>
      </c>
      <c r="J2414">
        <f ca="1"/>
        <v>4.1992621802983567</v>
      </c>
      <c r="K2414">
        <f ca="1"/>
        <v>6.9603722498359326E-3</v>
      </c>
    </row>
    <row r="2415" spans="7:11">
      <c r="G2415" s="20">
        <v>4.201007509550351</v>
      </c>
      <c r="H2415" s="20">
        <v>9.1725509722704792E-3</v>
      </c>
      <c r="I2415" s="2">
        <f ca="1"/>
        <v>2408</v>
      </c>
      <c r="J2415">
        <f ca="1"/>
        <v>4.201007509550351</v>
      </c>
      <c r="K2415">
        <f ca="1"/>
        <v>6.9581090174822263E-3</v>
      </c>
    </row>
    <row r="2416" spans="7:11">
      <c r="G2416" s="20">
        <v>4.2027528388023452</v>
      </c>
      <c r="H2416" s="20">
        <v>9.1846934883635222E-3</v>
      </c>
      <c r="I2416" s="2">
        <f ca="1"/>
        <v>2409</v>
      </c>
      <c r="J2416">
        <f ca="1"/>
        <v>4.2027528388023452</v>
      </c>
      <c r="K2416">
        <f ca="1"/>
        <v>6.9537302659288397E-3</v>
      </c>
    </row>
    <row r="2417" spans="7:11">
      <c r="G2417" s="20">
        <v>4.2044981680543403</v>
      </c>
      <c r="H2417" s="20">
        <v>9.1968240699576917E-3</v>
      </c>
      <c r="I2417" s="2">
        <f ca="1"/>
        <v>2410</v>
      </c>
      <c r="J2417">
        <f ca="1"/>
        <v>4.2044981680543403</v>
      </c>
      <c r="K2417">
        <f ca="1"/>
        <v>6.9485427507135272E-3</v>
      </c>
    </row>
    <row r="2418" spans="7:11">
      <c r="G2418" s="20">
        <v>4.2062434973063345</v>
      </c>
      <c r="H2418" s="20">
        <v>9.2089484782066338E-3</v>
      </c>
      <c r="I2418" s="2">
        <f ca="1"/>
        <v>2411</v>
      </c>
      <c r="J2418">
        <f ca="1"/>
        <v>4.2062434973063345</v>
      </c>
      <c r="K2418">
        <f ca="1"/>
        <v>6.9464054107002933E-3</v>
      </c>
    </row>
    <row r="2419" spans="7:11">
      <c r="G2419" s="20">
        <v>4.2079888265583287</v>
      </c>
      <c r="H2419" s="20">
        <v>9.221071599076704E-3</v>
      </c>
      <c r="I2419" s="2">
        <f ca="1"/>
        <v>2412</v>
      </c>
      <c r="J2419">
        <f ca="1"/>
        <v>4.2079888265583287</v>
      </c>
      <c r="K2419">
        <f ca="1"/>
        <v>6.9444769408818384E-3</v>
      </c>
    </row>
    <row r="2420" spans="7:11">
      <c r="G2420" s="20">
        <v>4.209734155810323</v>
      </c>
      <c r="H2420" s="20">
        <v>9.2331892756960746E-3</v>
      </c>
      <c r="I2420" s="2">
        <f ca="1"/>
        <v>2413</v>
      </c>
      <c r="J2420">
        <f ca="1"/>
        <v>4.209734155810323</v>
      </c>
      <c r="K2420">
        <f ca="1"/>
        <v>6.9390049425927924E-3</v>
      </c>
    </row>
    <row r="2421" spans="7:11">
      <c r="G2421" s="20">
        <v>4.2114794850623163</v>
      </c>
      <c r="H2421" s="20">
        <v>9.2452932956887772E-3</v>
      </c>
      <c r="I2421" s="2">
        <f ca="1"/>
        <v>2414</v>
      </c>
      <c r="J2421">
        <f ca="1"/>
        <v>4.2114794850623163</v>
      </c>
      <c r="K2421">
        <f ca="1"/>
        <v>6.9328774466635955E-3</v>
      </c>
    </row>
    <row r="2422" spans="7:11">
      <c r="G2422" s="20">
        <v>4.2132248143143114</v>
      </c>
      <c r="H2422" s="20">
        <v>9.2573895833123806E-3</v>
      </c>
      <c r="I2422" s="2">
        <f ca="1"/>
        <v>2415</v>
      </c>
      <c r="J2422">
        <f ca="1"/>
        <v>4.2132248143143114</v>
      </c>
      <c r="K2422">
        <f ca="1"/>
        <v>6.9292999132418874E-3</v>
      </c>
    </row>
    <row r="2423" spans="7:11">
      <c r="G2423" s="20">
        <v>4.2149701435663056</v>
      </c>
      <c r="H2423" s="20">
        <v>9.2694811153576275E-3</v>
      </c>
      <c r="I2423" s="2">
        <f ca="1"/>
        <v>2416</v>
      </c>
      <c r="J2423">
        <f ca="1"/>
        <v>4.2149701435663056</v>
      </c>
      <c r="K2423">
        <f ca="1"/>
        <v>6.9254623602196036E-3</v>
      </c>
    </row>
    <row r="2424" spans="7:11">
      <c r="G2424" s="20">
        <v>4.2167154728182998</v>
      </c>
      <c r="H2424" s="20">
        <v>9.281564007394133E-3</v>
      </c>
      <c r="I2424" s="2">
        <f ca="1"/>
        <v>2417</v>
      </c>
      <c r="J2424">
        <f ca="1"/>
        <v>4.2167154728182998</v>
      </c>
      <c r="K2424">
        <f ca="1"/>
        <v>6.9210865106679271E-3</v>
      </c>
    </row>
    <row r="2425" spans="7:11">
      <c r="G2425" s="20">
        <v>4.2184608020702949</v>
      </c>
      <c r="H2425" s="20">
        <v>9.2936402648429364E-3</v>
      </c>
      <c r="I2425" s="2">
        <f ca="1"/>
        <v>2418</v>
      </c>
      <c r="J2425">
        <f ca="1"/>
        <v>4.2184608020702949</v>
      </c>
      <c r="K2425">
        <f ca="1"/>
        <v>6.9183349674344294E-3</v>
      </c>
    </row>
    <row r="2426" spans="7:11">
      <c r="G2426" s="20">
        <v>4.2202061313222892</v>
      </c>
      <c r="H2426" s="20">
        <v>9.3057135521816547E-3</v>
      </c>
      <c r="I2426" s="2">
        <f ca="1"/>
        <v>2419</v>
      </c>
      <c r="J2426">
        <f ca="1"/>
        <v>4.2202061313222892</v>
      </c>
      <c r="K2426">
        <f ca="1"/>
        <v>6.9158738491546645E-3</v>
      </c>
    </row>
    <row r="2427" spans="7:11">
      <c r="G2427" s="20">
        <v>4.2219514605742834</v>
      </c>
      <c r="H2427" s="20">
        <v>9.3177812187069994E-3</v>
      </c>
      <c r="I2427" s="2">
        <f ca="1"/>
        <v>2420</v>
      </c>
      <c r="J2427">
        <f ca="1"/>
        <v>4.2219514605742834</v>
      </c>
      <c r="K2427">
        <f ca="1"/>
        <v>6.9101931448102664E-3</v>
      </c>
    </row>
    <row r="2428" spans="7:11">
      <c r="G2428" s="20">
        <v>4.2236967898262776</v>
      </c>
      <c r="H2428" s="20">
        <v>9.3298346766467893E-3</v>
      </c>
      <c r="I2428" s="2">
        <f ca="1"/>
        <v>2421</v>
      </c>
      <c r="J2428">
        <f ca="1"/>
        <v>4.2236967898262776</v>
      </c>
      <c r="K2428">
        <f ca="1"/>
        <v>6.9038217330860555E-3</v>
      </c>
    </row>
    <row r="2429" spans="7:11">
      <c r="G2429" s="20">
        <v>4.2254421190782718</v>
      </c>
      <c r="H2429" s="20">
        <v>9.3418801027496164E-3</v>
      </c>
      <c r="I2429" s="2">
        <f ca="1"/>
        <v>2422</v>
      </c>
      <c r="J2429">
        <f ca="1"/>
        <v>4.2254421190782718</v>
      </c>
      <c r="K2429">
        <f ca="1"/>
        <v>6.901197863116517E-3</v>
      </c>
    </row>
    <row r="2430" spans="7:11">
      <c r="G2430" s="20">
        <v>4.2271874483302661</v>
      </c>
      <c r="H2430" s="20">
        <v>9.3539244016553839E-3</v>
      </c>
      <c r="I2430" s="2">
        <f ca="1"/>
        <v>2423</v>
      </c>
      <c r="J2430">
        <f ca="1"/>
        <v>4.2271874483302661</v>
      </c>
      <c r="K2430">
        <f ca="1"/>
        <v>6.8989945436192723E-3</v>
      </c>
    </row>
    <row r="2431" spans="7:11">
      <c r="G2431" s="20">
        <v>4.2289327775822603</v>
      </c>
      <c r="H2431" s="20">
        <v>9.3659621367222709E-3</v>
      </c>
      <c r="I2431" s="2">
        <f ca="1"/>
        <v>2424</v>
      </c>
      <c r="J2431">
        <f ca="1"/>
        <v>4.2289327775822603</v>
      </c>
      <c r="K2431">
        <f ca="1"/>
        <v>6.8929052825349012E-3</v>
      </c>
    </row>
    <row r="2432" spans="7:11">
      <c r="G2432" s="20">
        <v>4.2306781068342536</v>
      </c>
      <c r="H2432" s="20">
        <v>9.3779851800970451E-3</v>
      </c>
      <c r="I2432" s="2">
        <f ca="1"/>
        <v>2425</v>
      </c>
      <c r="J2432">
        <f ca="1"/>
        <v>4.2306781068342536</v>
      </c>
      <c r="K2432">
        <f ca="1"/>
        <v>6.8869222021808053E-3</v>
      </c>
    </row>
    <row r="2433" spans="7:11">
      <c r="G2433" s="20">
        <v>4.2324234360862487</v>
      </c>
      <c r="H2433" s="20">
        <v>9.3900020302736201E-3</v>
      </c>
      <c r="I2433" s="2">
        <f ca="1"/>
        <v>2426</v>
      </c>
      <c r="J2433">
        <f ca="1"/>
        <v>4.2324234360862487</v>
      </c>
      <c r="K2433">
        <f ca="1"/>
        <v>6.8838131826740919E-3</v>
      </c>
    </row>
    <row r="2434" spans="7:11">
      <c r="G2434" s="20">
        <v>4.2341687653382438</v>
      </c>
      <c r="H2434" s="20">
        <v>9.4020142211230263E-3</v>
      </c>
      <c r="I2434" s="2">
        <f ca="1"/>
        <v>2427</v>
      </c>
      <c r="J2434">
        <f ca="1"/>
        <v>4.2341687653382438</v>
      </c>
      <c r="K2434">
        <f ca="1"/>
        <v>6.8785841941245386E-3</v>
      </c>
    </row>
    <row r="2435" spans="7:11">
      <c r="G2435" s="20">
        <v>4.2359140945902372</v>
      </c>
      <c r="H2435" s="20">
        <v>9.4140128186862414E-3</v>
      </c>
      <c r="I2435" s="2">
        <f ca="1"/>
        <v>2428</v>
      </c>
      <c r="J2435">
        <f ca="1"/>
        <v>4.2359140945902372</v>
      </c>
      <c r="K2435">
        <f ca="1"/>
        <v>6.8725136992035772E-3</v>
      </c>
    </row>
    <row r="2436" spans="7:11">
      <c r="G2436" s="20">
        <v>4.2376594238422323</v>
      </c>
      <c r="H2436" s="20">
        <v>9.4260038195109284E-3</v>
      </c>
      <c r="I2436" s="2">
        <f ca="1"/>
        <v>2429</v>
      </c>
      <c r="J2436">
        <f ca="1"/>
        <v>4.2376594238422323</v>
      </c>
      <c r="K2436">
        <f ca="1"/>
        <v>6.869583425220073E-3</v>
      </c>
    </row>
    <row r="2437" spans="7:11">
      <c r="G2437" s="20">
        <v>4.2394047530942256</v>
      </c>
      <c r="H2437" s="20">
        <v>9.4379921884883439E-3</v>
      </c>
      <c r="I2437" s="2">
        <f ca="1"/>
        <v>2430</v>
      </c>
      <c r="J2437">
        <f ca="1"/>
        <v>4.2394047530942256</v>
      </c>
      <c r="K2437">
        <f ca="1"/>
        <v>6.866856606442857E-3</v>
      </c>
    </row>
    <row r="2438" spans="7:11">
      <c r="G2438" s="20">
        <v>4.2411500823462207</v>
      </c>
      <c r="H2438" s="20">
        <v>9.4499736709198773E-3</v>
      </c>
      <c r="I2438" s="2">
        <f ca="1"/>
        <v>2431</v>
      </c>
      <c r="J2438">
        <f ca="1"/>
        <v>4.2411500823462207</v>
      </c>
      <c r="K2438">
        <f ca="1"/>
        <v>6.8604724098293209E-3</v>
      </c>
    </row>
    <row r="2439" spans="7:11">
      <c r="G2439" s="20">
        <v>4.2428954115982149</v>
      </c>
      <c r="H2439" s="20">
        <v>9.4619397548470988E-3</v>
      </c>
      <c r="I2439" s="2">
        <f ca="1"/>
        <v>2432</v>
      </c>
      <c r="J2439">
        <f ca="1"/>
        <v>4.2428954115982149</v>
      </c>
      <c r="K2439">
        <f ca="1"/>
        <v>6.8541890019353504E-3</v>
      </c>
    </row>
    <row r="2440" spans="7:11">
      <c r="G2440" s="20">
        <v>4.2446407408502091</v>
      </c>
      <c r="H2440" s="20">
        <v>9.473899304047427E-3</v>
      </c>
      <c r="I2440" s="2">
        <f ca="1"/>
        <v>2433</v>
      </c>
      <c r="J2440">
        <f ca="1"/>
        <v>4.2446407408502091</v>
      </c>
      <c r="K2440">
        <f ca="1"/>
        <v>6.8508050309835505E-3</v>
      </c>
    </row>
    <row r="2441" spans="7:11">
      <c r="G2441" s="20">
        <v>4.2463860701022034</v>
      </c>
      <c r="H2441" s="20">
        <v>9.4858535756876684E-3</v>
      </c>
      <c r="I2441" s="2">
        <f ca="1"/>
        <v>2434</v>
      </c>
      <c r="J2441">
        <f ca="1"/>
        <v>4.2463860701022034</v>
      </c>
      <c r="K2441">
        <f ca="1"/>
        <v>6.8452011557970007E-3</v>
      </c>
    </row>
    <row r="2442" spans="7:11">
      <c r="G2442" s="20">
        <v>4.2481313993541976</v>
      </c>
      <c r="H2442" s="20">
        <v>9.4977935636734213E-3</v>
      </c>
      <c r="I2442" s="2">
        <f ca="1"/>
        <v>2435</v>
      </c>
      <c r="J2442">
        <f ca="1"/>
        <v>4.2481313993541976</v>
      </c>
      <c r="K2442">
        <f ca="1"/>
        <v>6.8387493612757297E-3</v>
      </c>
    </row>
    <row r="2443" spans="7:11">
      <c r="G2443" s="20">
        <v>4.2498767286061918</v>
      </c>
      <c r="H2443" s="20">
        <v>9.509725314302251E-3</v>
      </c>
      <c r="I2443" s="2">
        <f ca="1"/>
        <v>2436</v>
      </c>
      <c r="J2443">
        <f ca="1"/>
        <v>4.2498767286061918</v>
      </c>
      <c r="K2443">
        <f ca="1"/>
        <v>6.8354994552121909E-3</v>
      </c>
    </row>
    <row r="2444" spans="7:11">
      <c r="G2444" s="20">
        <v>4.251622057858186</v>
      </c>
      <c r="H2444" s="20">
        <v>9.5216539579757661E-3</v>
      </c>
      <c r="I2444" s="2">
        <f ca="1"/>
        <v>2437</v>
      </c>
      <c r="J2444">
        <f ca="1"/>
        <v>4.251622057858186</v>
      </c>
      <c r="K2444">
        <f ca="1"/>
        <v>6.8324692214170955E-3</v>
      </c>
    </row>
    <row r="2445" spans="7:11">
      <c r="G2445" s="20">
        <v>4.2533673871101811</v>
      </c>
      <c r="H2445" s="20">
        <v>9.533575131093236E-3</v>
      </c>
      <c r="I2445" s="2">
        <f ca="1"/>
        <v>2438</v>
      </c>
      <c r="J2445">
        <f ca="1"/>
        <v>4.2533673871101811</v>
      </c>
      <c r="K2445">
        <f ca="1"/>
        <v>6.8257197256015537E-3</v>
      </c>
    </row>
    <row r="2446" spans="7:11">
      <c r="G2446" s="20">
        <v>4.2551127163621754</v>
      </c>
      <c r="H2446" s="20">
        <v>9.5454802145817849E-3</v>
      </c>
      <c r="I2446" s="2">
        <f ca="1"/>
        <v>2439</v>
      </c>
      <c r="J2446">
        <f ca="1"/>
        <v>4.2551127163621754</v>
      </c>
      <c r="K2446">
        <f ca="1"/>
        <v>6.8182826706178661E-3</v>
      </c>
    </row>
    <row r="2447" spans="7:11">
      <c r="G2447" s="20">
        <v>4.2568580456141696</v>
      </c>
      <c r="H2447" s="20">
        <v>9.5573754274800252E-3</v>
      </c>
      <c r="I2447" s="2">
        <f ca="1"/>
        <v>2440</v>
      </c>
      <c r="J2447">
        <f ca="1"/>
        <v>4.2568580456141696</v>
      </c>
      <c r="K2447">
        <f ca="1"/>
        <v>6.8135223945937655E-3</v>
      </c>
    </row>
    <row r="2448" spans="7:11">
      <c r="G2448" s="20">
        <v>4.2586033748661638</v>
      </c>
      <c r="H2448" s="20">
        <v>9.5692638944705893E-3</v>
      </c>
      <c r="I2448" s="2">
        <f ca="1"/>
        <v>2441</v>
      </c>
      <c r="J2448">
        <f ca="1"/>
        <v>4.2586033748661638</v>
      </c>
      <c r="K2448">
        <f ca="1"/>
        <v>6.8084896571321135E-3</v>
      </c>
    </row>
    <row r="2449" spans="7:11">
      <c r="G2449" s="20">
        <v>4.260348704118158</v>
      </c>
      <c r="H2449" s="20">
        <v>9.5811415398010108E-3</v>
      </c>
      <c r="I2449" s="2">
        <f ca="1"/>
        <v>2442</v>
      </c>
      <c r="J2449">
        <f ca="1"/>
        <v>4.260348704118158</v>
      </c>
      <c r="K2449">
        <f ca="1"/>
        <v>6.8028923442749632E-3</v>
      </c>
    </row>
    <row r="2450" spans="7:11">
      <c r="G2450" s="20">
        <v>4.2620940333701531</v>
      </c>
      <c r="H2450" s="20">
        <v>9.5930104684838566E-3</v>
      </c>
      <c r="I2450" s="2">
        <f ca="1"/>
        <v>2443</v>
      </c>
      <c r="J2450">
        <f ca="1"/>
        <v>4.2620940333701531</v>
      </c>
      <c r="K2450">
        <f ca="1"/>
        <v>6.7990014275943677E-3</v>
      </c>
    </row>
    <row r="2451" spans="7:11">
      <c r="G2451" s="20">
        <v>4.2638393626221474</v>
      </c>
      <c r="H2451" s="20">
        <v>9.6048745319528787E-3</v>
      </c>
      <c r="I2451" s="2">
        <f ca="1"/>
        <v>2444</v>
      </c>
      <c r="J2451">
        <f ca="1"/>
        <v>4.2638393626221474</v>
      </c>
      <c r="K2451">
        <f ca="1"/>
        <v>6.7954162665731354E-3</v>
      </c>
    </row>
    <row r="2452" spans="7:11">
      <c r="G2452" s="20">
        <v>4.2655846918741407</v>
      </c>
      <c r="H2452" s="20">
        <v>9.6167309460629055E-3</v>
      </c>
      <c r="I2452" s="2">
        <f ca="1"/>
        <v>2445</v>
      </c>
      <c r="J2452">
        <f ca="1"/>
        <v>4.2655846918741407</v>
      </c>
      <c r="K2452">
        <f ca="1"/>
        <v>6.7909448397545872E-3</v>
      </c>
    </row>
    <row r="2453" spans="7:11">
      <c r="G2453" s="20">
        <v>4.2673300211261358</v>
      </c>
      <c r="H2453" s="20">
        <v>9.6285794013078844E-3</v>
      </c>
      <c r="I2453" s="2">
        <f ca="1"/>
        <v>2446</v>
      </c>
      <c r="J2453">
        <f ca="1"/>
        <v>4.2673300211261358</v>
      </c>
      <c r="K2453">
        <f ca="1"/>
        <v>6.7861634963209648E-3</v>
      </c>
    </row>
    <row r="2454" spans="7:11">
      <c r="G2454" s="20">
        <v>4.26907535037813</v>
      </c>
      <c r="H2454" s="20">
        <v>9.6404191253808003E-3</v>
      </c>
      <c r="I2454" s="2">
        <f ca="1"/>
        <v>2447</v>
      </c>
      <c r="J2454">
        <f ca="1"/>
        <v>4.26907535037813</v>
      </c>
      <c r="K2454">
        <f ca="1"/>
        <v>6.7810576638935478E-3</v>
      </c>
    </row>
    <row r="2455" spans="7:11">
      <c r="G2455" s="20">
        <v>4.2708206796301242</v>
      </c>
      <c r="H2455" s="20">
        <v>9.6522497579083905E-3</v>
      </c>
      <c r="I2455" s="2">
        <f ca="1"/>
        <v>2448</v>
      </c>
      <c r="J2455">
        <f ca="1"/>
        <v>4.2708206796301242</v>
      </c>
      <c r="K2455">
        <f ca="1"/>
        <v>6.7757715479477235E-3</v>
      </c>
    </row>
    <row r="2456" spans="7:11">
      <c r="G2456" s="20">
        <v>4.2725660088821185</v>
      </c>
      <c r="H2456" s="20">
        <v>9.6640710299557269E-3</v>
      </c>
      <c r="I2456" s="2">
        <f ca="1"/>
        <v>2449</v>
      </c>
      <c r="J2456">
        <f ca="1"/>
        <v>4.2725660088821185</v>
      </c>
      <c r="K2456">
        <f ca="1"/>
        <v>6.7671006682526163E-3</v>
      </c>
    </row>
    <row r="2457" spans="7:11">
      <c r="G2457" s="20">
        <v>4.2743113381341127</v>
      </c>
      <c r="H2457" s="20">
        <v>9.6758713954033723E-3</v>
      </c>
      <c r="I2457" s="2">
        <f ca="1"/>
        <v>2450</v>
      </c>
      <c r="J2457">
        <f ca="1"/>
        <v>4.2743113381341127</v>
      </c>
      <c r="K2457">
        <f ca="1"/>
        <v>6.7585090289365999E-3</v>
      </c>
    </row>
    <row r="2458" spans="7:11">
      <c r="G2458" s="20">
        <v>4.2760566673861069</v>
      </c>
      <c r="H2458" s="20">
        <v>9.6876626769718671E-3</v>
      </c>
      <c r="I2458" s="2">
        <f ca="1"/>
        <v>2451</v>
      </c>
      <c r="J2458">
        <f ca="1"/>
        <v>4.2760566673861069</v>
      </c>
      <c r="K2458">
        <f ca="1"/>
        <v>6.7541755390762084E-3</v>
      </c>
    </row>
    <row r="2459" spans="7:11">
      <c r="G2459" s="20">
        <v>4.277801996638102</v>
      </c>
      <c r="H2459" s="20">
        <v>9.6994479156862854E-3</v>
      </c>
      <c r="I2459" s="2">
        <f ca="1"/>
        <v>2452</v>
      </c>
      <c r="J2459">
        <f ca="1"/>
        <v>4.277801996638102</v>
      </c>
      <c r="K2459">
        <f ca="1"/>
        <v>6.748021651024806E-3</v>
      </c>
    </row>
    <row r="2460" spans="7:11">
      <c r="G2460" s="20">
        <v>4.2795473258900962</v>
      </c>
      <c r="H2460" s="20">
        <v>9.711217716133121E-3</v>
      </c>
      <c r="I2460" s="2">
        <f ca="1"/>
        <v>2453</v>
      </c>
      <c r="J2460">
        <f ca="1"/>
        <v>4.2795473258900962</v>
      </c>
      <c r="K2460">
        <f ca="1"/>
        <v>6.7409245519768676E-3</v>
      </c>
    </row>
    <row r="2461" spans="7:11">
      <c r="G2461" s="20">
        <v>4.2812926551420905</v>
      </c>
      <c r="H2461" s="20">
        <v>9.7229781812983879E-3</v>
      </c>
      <c r="I2461" s="2">
        <f ca="1"/>
        <v>2454</v>
      </c>
      <c r="J2461">
        <f ca="1"/>
        <v>4.2812926551420905</v>
      </c>
      <c r="K2461">
        <f ca="1"/>
        <v>6.7368458374343961E-3</v>
      </c>
    </row>
    <row r="2462" spans="7:11">
      <c r="G2462" s="20">
        <v>4.2830379843940847</v>
      </c>
      <c r="H2462" s="20">
        <v>9.7347337443456205E-3</v>
      </c>
      <c r="I2462" s="2">
        <f ca="1"/>
        <v>2455</v>
      </c>
      <c r="J2462">
        <f ca="1"/>
        <v>4.2830379843940847</v>
      </c>
      <c r="K2462">
        <f ca="1"/>
        <v>6.7329011286874673E-3</v>
      </c>
    </row>
    <row r="2463" spans="7:11">
      <c r="G2463" s="20">
        <v>4.2847833136460789</v>
      </c>
      <c r="H2463" s="20">
        <v>9.7464804398797542E-3</v>
      </c>
      <c r="I2463" s="2">
        <f ca="1"/>
        <v>2456</v>
      </c>
      <c r="J2463">
        <f ca="1"/>
        <v>4.2847833136460789</v>
      </c>
      <c r="K2463">
        <f ca="1"/>
        <v>6.7252242729069107E-3</v>
      </c>
    </row>
    <row r="2464" spans="7:11">
      <c r="G2464" s="20">
        <v>4.2865286428980731</v>
      </c>
      <c r="H2464" s="20">
        <v>9.7582092056450725E-3</v>
      </c>
      <c r="I2464" s="2">
        <f ca="1"/>
        <v>2457</v>
      </c>
      <c r="J2464">
        <f ca="1"/>
        <v>4.2865286428980731</v>
      </c>
      <c r="K2464">
        <f ca="1"/>
        <v>6.7176515904207477E-3</v>
      </c>
    </row>
    <row r="2465" spans="7:11">
      <c r="G2465" s="20">
        <v>4.2882739721500673</v>
      </c>
      <c r="H2465" s="20">
        <v>9.7699294675306879E-3</v>
      </c>
      <c r="I2465" s="2">
        <f ca="1"/>
        <v>2458</v>
      </c>
      <c r="J2465">
        <f ca="1"/>
        <v>4.2882739721500673</v>
      </c>
      <c r="K2465">
        <f ca="1"/>
        <v>6.7131222516165264E-3</v>
      </c>
    </row>
    <row r="2466" spans="7:11">
      <c r="G2466" s="20">
        <v>4.2900193014020616</v>
      </c>
      <c r="H2466" s="20">
        <v>9.7816424229209917E-3</v>
      </c>
      <c r="I2466" s="2">
        <f ca="1"/>
        <v>2459</v>
      </c>
      <c r="J2466">
        <f ca="1"/>
        <v>4.2900193014020616</v>
      </c>
      <c r="K2466">
        <f ca="1"/>
        <v>6.7062270927589571E-3</v>
      </c>
    </row>
    <row r="2467" spans="7:11">
      <c r="G2467" s="20">
        <v>4.2917646306540567</v>
      </c>
      <c r="H2467" s="20">
        <v>9.7933386161617106E-3</v>
      </c>
      <c r="I2467" s="2">
        <f ca="1"/>
        <v>2460</v>
      </c>
      <c r="J2467">
        <f ca="1"/>
        <v>4.2917646306540567</v>
      </c>
      <c r="K2467">
        <f ca="1"/>
        <v>6.6984420389638978E-3</v>
      </c>
    </row>
    <row r="2468" spans="7:11">
      <c r="G2468" s="20">
        <v>4.2935099599060509</v>
      </c>
      <c r="H2468" s="20">
        <v>9.8050243965877807E-3</v>
      </c>
      <c r="I2468" s="2">
        <f ca="1"/>
        <v>2461</v>
      </c>
      <c r="J2468">
        <f ca="1"/>
        <v>4.2935099599060509</v>
      </c>
      <c r="K2468">
        <f ca="1"/>
        <v>6.6940353704257475E-3</v>
      </c>
    </row>
    <row r="2469" spans="7:11">
      <c r="G2469" s="20">
        <v>4.2952552891580451</v>
      </c>
      <c r="H2469" s="20">
        <v>9.8167052076534866E-3</v>
      </c>
      <c r="I2469" s="2">
        <f ca="1"/>
        <v>2462</v>
      </c>
      <c r="J2469">
        <f ca="1"/>
        <v>4.2952552891580451</v>
      </c>
      <c r="K2469">
        <f ca="1"/>
        <v>6.6898661472705664E-3</v>
      </c>
    </row>
    <row r="2470" spans="7:11">
      <c r="G2470" s="20">
        <v>4.2970006184100393</v>
      </c>
      <c r="H2470" s="20">
        <v>9.8283764347452951E-3</v>
      </c>
      <c r="I2470" s="2">
        <f ca="1"/>
        <v>2463</v>
      </c>
      <c r="J2470">
        <f ca="1"/>
        <v>4.2970006184100393</v>
      </c>
      <c r="K2470">
        <f ca="1"/>
        <v>6.681777112173529E-3</v>
      </c>
    </row>
    <row r="2471" spans="7:11">
      <c r="G2471" s="20">
        <v>4.2987459476620336</v>
      </c>
      <c r="H2471" s="20">
        <v>9.8400290097518505E-3</v>
      </c>
      <c r="I2471" s="2">
        <f ca="1"/>
        <v>2464</v>
      </c>
      <c r="J2471">
        <f ca="1"/>
        <v>4.2987459476620336</v>
      </c>
      <c r="K2471">
        <f ca="1"/>
        <v>6.6729648896091728E-3</v>
      </c>
    </row>
    <row r="2472" spans="7:11">
      <c r="G2472" s="20">
        <v>4.3004912769140287</v>
      </c>
      <c r="H2472" s="20">
        <v>9.8516694763840316E-3</v>
      </c>
      <c r="I2472" s="2">
        <f ca="1"/>
        <v>2465</v>
      </c>
      <c r="J2472">
        <f ca="1"/>
        <v>4.3004912769140287</v>
      </c>
      <c r="K2472">
        <f ca="1"/>
        <v>6.6669712254860351E-3</v>
      </c>
    </row>
    <row r="2473" spans="7:11">
      <c r="G2473" s="20">
        <v>4.3022366061660229</v>
      </c>
      <c r="H2473" s="20">
        <v>9.8633011295559455E-3</v>
      </c>
      <c r="I2473" s="2">
        <f ca="1"/>
        <v>2466</v>
      </c>
      <c r="J2473">
        <f ca="1"/>
        <v>4.3022366061660229</v>
      </c>
      <c r="K2473">
        <f ca="1"/>
        <v>6.6606917963541049E-3</v>
      </c>
    </row>
    <row r="2474" spans="7:11">
      <c r="G2474" s="20">
        <v>4.3039819354180171</v>
      </c>
      <c r="H2474" s="20">
        <v>9.8749196768454211E-3</v>
      </c>
      <c r="I2474" s="2">
        <f ca="1"/>
        <v>2467</v>
      </c>
      <c r="J2474">
        <f ca="1"/>
        <v>4.3039819354180171</v>
      </c>
      <c r="K2474">
        <f ca="1"/>
        <v>6.6538178559167865E-3</v>
      </c>
    </row>
    <row r="2475" spans="7:11">
      <c r="G2475" s="20">
        <v>4.3057272646700113</v>
      </c>
      <c r="H2475" s="20">
        <v>9.8865273354386916E-3</v>
      </c>
      <c r="I2475" s="2">
        <f ca="1"/>
        <v>2468</v>
      </c>
      <c r="J2475">
        <f ca="1"/>
        <v>4.3057272646700113</v>
      </c>
      <c r="K2475">
        <f ca="1"/>
        <v>6.6487420053590682E-3</v>
      </c>
    </row>
    <row r="2476" spans="7:11">
      <c r="G2476" s="20">
        <v>4.3074725939220055</v>
      </c>
      <c r="H2476" s="20">
        <v>9.8981281646672529E-3</v>
      </c>
      <c r="I2476" s="2">
        <f ca="1"/>
        <v>2469</v>
      </c>
      <c r="J2476">
        <f ca="1"/>
        <v>4.3074725939220055</v>
      </c>
      <c r="K2476">
        <f ca="1"/>
        <v>6.6439886330767767E-3</v>
      </c>
    </row>
    <row r="2477" spans="7:11">
      <c r="G2477" s="20">
        <v>4.3092179231739998</v>
      </c>
      <c r="H2477" s="20">
        <v>9.9097192308611436E-3</v>
      </c>
      <c r="I2477" s="2">
        <f ca="1"/>
        <v>2470</v>
      </c>
      <c r="J2477">
        <f ca="1"/>
        <v>4.3092179231739998</v>
      </c>
      <c r="K2477">
        <f ca="1"/>
        <v>6.6356720715951495E-3</v>
      </c>
    </row>
    <row r="2478" spans="7:11">
      <c r="G2478" s="20">
        <v>4.310963252425994</v>
      </c>
      <c r="H2478" s="20">
        <v>9.9212910298136451E-3</v>
      </c>
      <c r="I2478" s="2">
        <f ca="1"/>
        <v>2471</v>
      </c>
      <c r="J2478">
        <f ca="1"/>
        <v>4.310963252425994</v>
      </c>
      <c r="K2478">
        <f ca="1"/>
        <v>6.6265917274635948E-3</v>
      </c>
    </row>
    <row r="2479" spans="7:11">
      <c r="G2479" s="20">
        <v>4.3127085816779891</v>
      </c>
      <c r="H2479" s="20">
        <v>9.9328503996270797E-3</v>
      </c>
      <c r="I2479" s="2">
        <f ca="1"/>
        <v>2472</v>
      </c>
      <c r="J2479">
        <f ca="1"/>
        <v>4.3127085816779891</v>
      </c>
      <c r="K2479">
        <f ca="1"/>
        <v>6.6216614989127636E-3</v>
      </c>
    </row>
    <row r="2480" spans="7:11">
      <c r="G2480" s="20">
        <v>4.3144539109299824</v>
      </c>
      <c r="H2480" s="20">
        <v>9.9444049888353578E-3</v>
      </c>
      <c r="I2480" s="2">
        <f ca="1"/>
        <v>2473</v>
      </c>
      <c r="J2480">
        <f ca="1"/>
        <v>4.3144539109299824</v>
      </c>
      <c r="K2480">
        <f ca="1"/>
        <v>6.6171979180030312E-3</v>
      </c>
    </row>
    <row r="2481" spans="7:11">
      <c r="G2481" s="20">
        <v>4.3161992401819775</v>
      </c>
      <c r="H2481" s="20">
        <v>9.9559487778121316E-3</v>
      </c>
      <c r="I2481" s="2">
        <f ca="1"/>
        <v>2474</v>
      </c>
      <c r="J2481">
        <f ca="1"/>
        <v>4.3161992401819775</v>
      </c>
      <c r="K2481">
        <f ca="1"/>
        <v>6.6084305336494191E-3</v>
      </c>
    </row>
    <row r="2482" spans="7:11">
      <c r="G2482" s="20">
        <v>4.3179445694339709</v>
      </c>
      <c r="H2482" s="20">
        <v>9.967472763075658E-3</v>
      </c>
      <c r="I2482" s="2">
        <f ca="1"/>
        <v>2475</v>
      </c>
      <c r="J2482">
        <f ca="1"/>
        <v>4.3179445694339709</v>
      </c>
      <c r="K2482">
        <f ca="1"/>
        <v>6.5997830045560852E-3</v>
      </c>
    </row>
    <row r="2483" spans="7:11">
      <c r="G2483" s="20">
        <v>4.319689898685966</v>
      </c>
      <c r="H2483" s="20">
        <v>9.9789863664814637E-3</v>
      </c>
      <c r="I2483" s="2">
        <f ca="1"/>
        <v>2476</v>
      </c>
      <c r="J2483">
        <f ca="1"/>
        <v>4.319689898685966</v>
      </c>
      <c r="K2483">
        <f ca="1"/>
        <v>6.5943206019096045E-3</v>
      </c>
    </row>
    <row r="2484" spans="7:11">
      <c r="G2484" s="20">
        <v>4.3214352279379602</v>
      </c>
      <c r="H2484" s="20">
        <v>9.9904912843627458E-3</v>
      </c>
      <c r="I2484" s="2">
        <f ca="1"/>
        <v>2477</v>
      </c>
      <c r="J2484">
        <f ca="1"/>
        <v>4.3214352279379602</v>
      </c>
      <c r="K2484">
        <f ca="1"/>
        <v>6.5865068957797653E-3</v>
      </c>
    </row>
    <row r="2485" spans="7:11">
      <c r="G2485" s="20">
        <v>4.3231805571899544</v>
      </c>
      <c r="H2485" s="20">
        <v>1.0001977612788796E-2</v>
      </c>
      <c r="I2485" s="2">
        <f ca="1"/>
        <v>2478</v>
      </c>
      <c r="J2485">
        <f ca="1"/>
        <v>4.3231805571899544</v>
      </c>
      <c r="K2485">
        <f ca="1"/>
        <v>6.5777607249217955E-3</v>
      </c>
    </row>
    <row r="2486" spans="7:11">
      <c r="G2486" s="20">
        <v>4.3249258864419486</v>
      </c>
      <c r="H2486" s="20">
        <v>1.0013452000774395E-2</v>
      </c>
      <c r="I2486" s="2">
        <f ca="1"/>
        <v>2479</v>
      </c>
      <c r="J2486">
        <f ca="1"/>
        <v>4.3249258864419486</v>
      </c>
      <c r="K2486">
        <f ca="1"/>
        <v>6.5724989115918077E-3</v>
      </c>
    </row>
    <row r="2487" spans="7:11">
      <c r="G2487" s="20">
        <v>4.3266712156939429</v>
      </c>
      <c r="H2487" s="20">
        <v>1.0024919962006999E-2</v>
      </c>
      <c r="I2487" s="2">
        <f ca="1"/>
        <v>2480</v>
      </c>
      <c r="J2487">
        <f ca="1"/>
        <v>4.3266712156939429</v>
      </c>
      <c r="K2487">
        <f ca="1"/>
        <v>6.5674642192191171E-3</v>
      </c>
    </row>
    <row r="2488" spans="7:11">
      <c r="G2488" s="20">
        <v>4.3284165449459371</v>
      </c>
      <c r="H2488" s="20">
        <v>1.0036376775600852E-2</v>
      </c>
      <c r="I2488" s="2">
        <f ca="1"/>
        <v>2481</v>
      </c>
      <c r="J2488">
        <f ca="1"/>
        <v>4.3284165449459371</v>
      </c>
      <c r="K2488">
        <f ca="1"/>
        <v>6.5583715629230375E-3</v>
      </c>
    </row>
    <row r="2489" spans="7:11">
      <c r="G2489" s="20">
        <v>4.3301618741979313</v>
      </c>
      <c r="H2489" s="20">
        <v>1.0047812997475432E-2</v>
      </c>
      <c r="I2489" s="2">
        <f ca="1"/>
        <v>2482</v>
      </c>
      <c r="J2489">
        <f ca="1"/>
        <v>4.3301618741979313</v>
      </c>
      <c r="K2489">
        <f ca="1"/>
        <v>6.5493930415965271E-3</v>
      </c>
    </row>
    <row r="2490" spans="7:11">
      <c r="G2490" s="20">
        <v>4.3319072034499255</v>
      </c>
      <c r="H2490" s="20">
        <v>1.0059238470117464E-2</v>
      </c>
      <c r="I2490" s="2">
        <f ca="1"/>
        <v>2483</v>
      </c>
      <c r="J2490">
        <f ca="1"/>
        <v>4.3319072034499255</v>
      </c>
      <c r="K2490">
        <f ca="1"/>
        <v>6.5436332462388436E-3</v>
      </c>
    </row>
    <row r="2491" spans="7:11">
      <c r="G2491" s="20">
        <v>4.3336525327019197</v>
      </c>
      <c r="H2491" s="20">
        <v>1.0070654586513397E-2</v>
      </c>
      <c r="I2491" s="2">
        <f ca="1"/>
        <v>2484</v>
      </c>
      <c r="J2491">
        <f ca="1"/>
        <v>4.3336525327019197</v>
      </c>
      <c r="K2491">
        <f ca="1"/>
        <v>6.5354076611702097E-3</v>
      </c>
    </row>
    <row r="2492" spans="7:11">
      <c r="G2492" s="20">
        <v>4.3353978619539149</v>
      </c>
      <c r="H2492" s="20">
        <v>1.0082051346446965E-2</v>
      </c>
      <c r="I2492" s="2">
        <f ca="1"/>
        <v>2485</v>
      </c>
      <c r="J2492">
        <f ca="1"/>
        <v>4.3353978619539149</v>
      </c>
      <c r="K2492">
        <f ca="1"/>
        <v>6.5262408561267546E-3</v>
      </c>
    </row>
    <row r="2493" spans="7:11">
      <c r="G2493" s="20">
        <v>4.3371431912059091</v>
      </c>
      <c r="H2493" s="20">
        <v>1.0093435464656918E-2</v>
      </c>
      <c r="I2493" s="2">
        <f ca="1"/>
        <v>2486</v>
      </c>
      <c r="J2493">
        <f ca="1"/>
        <v>4.3371431912059091</v>
      </c>
      <c r="K2493">
        <f ca="1"/>
        <v>6.5206322586237389E-3</v>
      </c>
    </row>
    <row r="2494" spans="7:11">
      <c r="G2494" s="20">
        <v>4.3388885204579033</v>
      </c>
      <c r="H2494" s="20">
        <v>1.0104812646891911E-2</v>
      </c>
      <c r="I2494" s="2">
        <f ca="1"/>
        <v>2487</v>
      </c>
      <c r="J2494">
        <f ca="1"/>
        <v>4.3388885204579033</v>
      </c>
      <c r="K2494">
        <f ca="1"/>
        <v>6.5152692019049604E-3</v>
      </c>
    </row>
    <row r="2495" spans="7:11">
      <c r="G2495" s="20">
        <v>4.3406338497098975</v>
      </c>
      <c r="H2495" s="20">
        <v>1.0116178044502322E-2</v>
      </c>
      <c r="I2495" s="2">
        <f ca="1"/>
        <v>2488</v>
      </c>
      <c r="J2495">
        <f ca="1"/>
        <v>4.3406338497098975</v>
      </c>
      <c r="K2495">
        <f ca="1"/>
        <v>6.5057731231769412E-3</v>
      </c>
    </row>
    <row r="2496" spans="7:11">
      <c r="G2496" s="20">
        <v>4.3423791789618917</v>
      </c>
      <c r="H2496" s="20">
        <v>1.0127522079169348E-2</v>
      </c>
      <c r="I2496" s="2">
        <f ca="1"/>
        <v>2489</v>
      </c>
      <c r="J2496">
        <f ca="1"/>
        <v>4.3423791789618917</v>
      </c>
      <c r="K2496">
        <f ca="1"/>
        <v>6.4955136508128321E-3</v>
      </c>
    </row>
    <row r="2497" spans="7:11">
      <c r="G2497" s="20">
        <v>4.344124508213886</v>
      </c>
      <c r="H2497" s="20">
        <v>1.0138851664465305E-2</v>
      </c>
      <c r="I2497" s="2">
        <f ca="1"/>
        <v>2490</v>
      </c>
      <c r="J2497">
        <f ca="1"/>
        <v>4.344124508213886</v>
      </c>
      <c r="K2497">
        <f ca="1"/>
        <v>6.488229776497839E-3</v>
      </c>
    </row>
    <row r="2498" spans="7:11">
      <c r="G2498" s="20">
        <v>4.3458698374658802</v>
      </c>
      <c r="H2498" s="20">
        <v>1.0150170273614511E-2</v>
      </c>
      <c r="I2498" s="2">
        <f ca="1"/>
        <v>2491</v>
      </c>
      <c r="J2498">
        <f ca="1"/>
        <v>4.3458698374658802</v>
      </c>
      <c r="K2498">
        <f ca="1"/>
        <v>6.4806439709923702E-3</v>
      </c>
    </row>
    <row r="2499" spans="7:11">
      <c r="G2499" s="20">
        <v>4.3476151667178744</v>
      </c>
      <c r="H2499" s="20">
        <v>1.0161473379453971E-2</v>
      </c>
      <c r="I2499" s="2">
        <f ca="1"/>
        <v>2492</v>
      </c>
      <c r="J2499">
        <f ca="1"/>
        <v>4.3476151667178744</v>
      </c>
      <c r="K2499">
        <f ca="1"/>
        <v>6.472431586086915E-3</v>
      </c>
    </row>
    <row r="2500" spans="7:11">
      <c r="G2500" s="20">
        <v>4.3493604959698695</v>
      </c>
      <c r="H2500" s="20">
        <v>1.0172763321971975E-2</v>
      </c>
      <c r="I2500" s="2">
        <f ca="1"/>
        <v>2493</v>
      </c>
      <c r="J2500">
        <f ca="1"/>
        <v>4.3493604959698695</v>
      </c>
      <c r="K2500">
        <f ca="1"/>
        <v>6.4661185935432249E-3</v>
      </c>
    </row>
    <row r="2501" spans="7:11">
      <c r="G2501" s="20">
        <v>4.3511058252218637</v>
      </c>
      <c r="H2501" s="20">
        <v>1.0184044391310326E-2</v>
      </c>
      <c r="I2501" s="2">
        <f ca="1"/>
        <v>2494</v>
      </c>
      <c r="J2501">
        <f ca="1"/>
        <v>4.3511058252218637</v>
      </c>
      <c r="K2501">
        <f ca="1"/>
        <v>6.4601469373553261E-3</v>
      </c>
    </row>
    <row r="2502" spans="7:11">
      <c r="G2502" s="20">
        <v>4.352851154473858</v>
      </c>
      <c r="H2502" s="20">
        <v>1.0195313488815869E-2</v>
      </c>
      <c r="I2502" s="2">
        <f ca="1"/>
        <v>2495</v>
      </c>
      <c r="J2502">
        <f ca="1"/>
        <v>4.352851154473858</v>
      </c>
      <c r="K2502">
        <f ca="1"/>
        <v>6.4504110036648432E-3</v>
      </c>
    </row>
    <row r="2503" spans="7:11">
      <c r="G2503" s="20">
        <v>4.3545964837258522</v>
      </c>
      <c r="H2503" s="20">
        <v>1.0206560573334489E-2</v>
      </c>
      <c r="I2503" s="2">
        <f ca="1"/>
        <v>2496</v>
      </c>
      <c r="J2503">
        <f ca="1"/>
        <v>4.3545964837258522</v>
      </c>
      <c r="K2503">
        <f ca="1"/>
        <v>6.4398684204391285E-3</v>
      </c>
    </row>
    <row r="2504" spans="7:11">
      <c r="G2504" s="20">
        <v>4.3563418129778473</v>
      </c>
      <c r="H2504" s="20">
        <v>1.0217792870282247E-2</v>
      </c>
      <c r="I2504" s="2">
        <f ca="1"/>
        <v>2497</v>
      </c>
      <c r="J2504">
        <f ca="1"/>
        <v>4.3563418129778473</v>
      </c>
      <c r="K2504">
        <f ca="1"/>
        <v>6.4337116468003164E-3</v>
      </c>
    </row>
    <row r="2505" spans="7:11">
      <c r="G2505" s="20">
        <v>4.3580871422298406</v>
      </c>
      <c r="H2505" s="20">
        <v>1.0229018463606602E-2</v>
      </c>
      <c r="I2505" s="2">
        <f ca="1"/>
        <v>2498</v>
      </c>
      <c r="J2505">
        <f ca="1"/>
        <v>4.3580871422298406</v>
      </c>
      <c r="K2505">
        <f ca="1"/>
        <v>6.4280484726411333E-3</v>
      </c>
    </row>
    <row r="2506" spans="7:11">
      <c r="G2506" s="20">
        <v>4.3598324714818357</v>
      </c>
      <c r="H2506" s="20">
        <v>1.0240230992347322E-2</v>
      </c>
      <c r="I2506" s="2">
        <f ca="1"/>
        <v>2499</v>
      </c>
      <c r="J2506">
        <f ca="1"/>
        <v>4.3598324714818357</v>
      </c>
      <c r="K2506">
        <f ca="1"/>
        <v>6.4178368045028971E-3</v>
      </c>
    </row>
    <row r="2507" spans="7:11">
      <c r="G2507" s="20">
        <v>4.3615778007338291</v>
      </c>
      <c r="H2507" s="20">
        <v>1.025142094022545E-2</v>
      </c>
      <c r="I2507" s="2">
        <f ca="1"/>
        <v>2500</v>
      </c>
      <c r="J2507">
        <f ca="1"/>
        <v>4.3615778007338291</v>
      </c>
      <c r="K2507">
        <f ca="1"/>
        <v>6.4077529967482474E-3</v>
      </c>
    </row>
    <row r="2508" spans="7:11">
      <c r="G2508" s="20">
        <v>4.3633231299858233</v>
      </c>
      <c r="H2508" s="20">
        <v>1.0262598269836873E-2</v>
      </c>
      <c r="I2508" s="2">
        <f ca="1"/>
        <v>2501</v>
      </c>
      <c r="J2508">
        <f ca="1"/>
        <v>4.3633231299858233</v>
      </c>
      <c r="K2508">
        <f ca="1"/>
        <v>6.4010363339211535E-3</v>
      </c>
    </row>
    <row r="2509" spans="7:11">
      <c r="G2509" s="20">
        <v>4.3650684592378184</v>
      </c>
      <c r="H2509" s="20">
        <v>1.0273764772138797E-2</v>
      </c>
      <c r="I2509" s="2">
        <f ca="1"/>
        <v>2502</v>
      </c>
      <c r="J2509">
        <f ca="1"/>
        <v>4.3650684592378184</v>
      </c>
      <c r="K2509">
        <f ca="1"/>
        <v>6.3918330437674987E-3</v>
      </c>
    </row>
    <row r="2510" spans="7:11">
      <c r="G2510" s="20">
        <v>4.3668137884898117</v>
      </c>
      <c r="H2510" s="20">
        <v>1.0284909976207174E-2</v>
      </c>
      <c r="I2510" s="2">
        <f ca="1"/>
        <v>2503</v>
      </c>
      <c r="J2510">
        <f ca="1"/>
        <v>4.3668137884898117</v>
      </c>
      <c r="K2510">
        <f ca="1"/>
        <v>6.3816444324193457E-3</v>
      </c>
    </row>
    <row r="2511" spans="7:11">
      <c r="G2511" s="20">
        <v>4.3685591177418068</v>
      </c>
      <c r="H2511" s="20">
        <v>1.0296040913546252E-2</v>
      </c>
      <c r="I2511" s="2">
        <f ca="1"/>
        <v>2504</v>
      </c>
      <c r="J2511">
        <f ca="1"/>
        <v>4.3685591177418068</v>
      </c>
      <c r="K2511">
        <f ca="1"/>
        <v>6.3751415262461881E-3</v>
      </c>
    </row>
    <row r="2512" spans="7:11">
      <c r="G2512" s="20">
        <v>4.3703044469938002</v>
      </c>
      <c r="H2512" s="20">
        <v>1.0307163418189895E-2</v>
      </c>
      <c r="I2512" s="2">
        <f ca="1"/>
        <v>2505</v>
      </c>
      <c r="J2512">
        <f ca="1"/>
        <v>4.3703044469938002</v>
      </c>
      <c r="K2512">
        <f ca="1"/>
        <v>6.3688795944719682E-3</v>
      </c>
    </row>
    <row r="2513" spans="7:11">
      <c r="G2513" s="20">
        <v>4.3720497762457953</v>
      </c>
      <c r="H2513" s="20">
        <v>1.0318272497263574E-2</v>
      </c>
      <c r="I2513" s="2">
        <f ca="1"/>
        <v>2506</v>
      </c>
      <c r="J2513">
        <f ca="1"/>
        <v>4.3720497762457953</v>
      </c>
      <c r="K2513">
        <f ca="1"/>
        <v>6.3583255312716991E-3</v>
      </c>
    </row>
    <row r="2514" spans="7:11">
      <c r="G2514" s="20">
        <v>4.3737951054977895</v>
      </c>
      <c r="H2514" s="20">
        <v>1.0329358161276761E-2</v>
      </c>
      <c r="I2514" s="2">
        <f ca="1"/>
        <v>2507</v>
      </c>
      <c r="J2514">
        <f ca="1"/>
        <v>4.3737951054977895</v>
      </c>
      <c r="K2514">
        <f ca="1"/>
        <v>6.347893104254731E-3</v>
      </c>
    </row>
    <row r="2515" spans="7:11">
      <c r="G2515" s="20">
        <v>4.3755404347497837</v>
      </c>
      <c r="H2515" s="20">
        <v>1.034043082431035E-2</v>
      </c>
      <c r="I2515" s="2">
        <f ca="1"/>
        <v>2508</v>
      </c>
      <c r="J2515">
        <f ca="1"/>
        <v>4.3755404347497837</v>
      </c>
      <c r="K2515">
        <f ca="1"/>
        <v>6.340865924058239E-3</v>
      </c>
    </row>
    <row r="2516" spans="7:11">
      <c r="G2516" s="20">
        <v>4.3772857640017779</v>
      </c>
      <c r="H2516" s="20">
        <v>1.0351491958837226E-2</v>
      </c>
      <c r="I2516" s="2">
        <f ca="1"/>
        <v>2509</v>
      </c>
      <c r="J2516">
        <f ca="1"/>
        <v>4.3772857640017779</v>
      </c>
      <c r="K2516">
        <f ca="1"/>
        <v>6.3312292197551549E-3</v>
      </c>
    </row>
    <row r="2517" spans="7:11">
      <c r="G2517" s="20">
        <v>4.379031093253773</v>
      </c>
      <c r="H2517" s="20">
        <v>1.0362530983426994E-2</v>
      </c>
      <c r="I2517" s="2">
        <f ca="1"/>
        <v>2510</v>
      </c>
      <c r="J2517">
        <f ca="1"/>
        <v>4.379031093253773</v>
      </c>
      <c r="K2517">
        <f ca="1"/>
        <v>6.3205971176826369E-3</v>
      </c>
    </row>
    <row r="2518" spans="7:11">
      <c r="G2518" s="20">
        <v>4.3807764225057673</v>
      </c>
      <c r="H2518" s="20">
        <v>1.0373555004916355E-2</v>
      </c>
      <c r="I2518" s="2">
        <f ca="1"/>
        <v>2511</v>
      </c>
      <c r="J2518">
        <f ca="1"/>
        <v>4.3807764225057673</v>
      </c>
      <c r="K2518">
        <f ca="1"/>
        <v>6.313731898020359E-3</v>
      </c>
    </row>
    <row r="2519" spans="7:11">
      <c r="G2519" s="20">
        <v>4.3825217517577606</v>
      </c>
      <c r="H2519" s="20">
        <v>1.0384570065368717E-2</v>
      </c>
      <c r="I2519" s="2">
        <f ca="1"/>
        <v>2512</v>
      </c>
      <c r="J2519">
        <f ca="1"/>
        <v>4.3825217517577606</v>
      </c>
      <c r="K2519">
        <f ca="1"/>
        <v>6.3071272412631918E-3</v>
      </c>
    </row>
    <row r="2520" spans="7:11">
      <c r="G2520" s="20">
        <v>4.3842670810097557</v>
      </c>
      <c r="H2520" s="20">
        <v>1.0395571032256808E-2</v>
      </c>
      <c r="I2520" s="2">
        <f ca="1"/>
        <v>2513</v>
      </c>
      <c r="J2520">
        <f ca="1"/>
        <v>4.3842670810097557</v>
      </c>
      <c r="K2520">
        <f ca="1"/>
        <v>6.2961478905013257E-3</v>
      </c>
    </row>
    <row r="2521" spans="7:11">
      <c r="G2521" s="20">
        <v>4.3860124102617499</v>
      </c>
      <c r="H2521" s="20">
        <v>1.040654776754507E-2</v>
      </c>
      <c r="I2521" s="2">
        <f ca="1"/>
        <v>2514</v>
      </c>
      <c r="J2521">
        <f ca="1"/>
        <v>4.3860124102617499</v>
      </c>
      <c r="K2521">
        <f ca="1"/>
        <v>6.2843609004388408E-3</v>
      </c>
    </row>
    <row r="2522" spans="7:11">
      <c r="G2522" s="20">
        <v>4.3877577395137441</v>
      </c>
      <c r="H2522" s="20">
        <v>1.0417507590076057E-2</v>
      </c>
      <c r="I2522" s="2">
        <f ca="1"/>
        <v>2515</v>
      </c>
      <c r="J2522">
        <f ca="1"/>
        <v>4.3877577395137441</v>
      </c>
      <c r="K2522">
        <f ca="1"/>
        <v>6.2757240486728174E-3</v>
      </c>
    </row>
    <row r="2523" spans="7:11">
      <c r="G2523" s="20">
        <v>4.3895030687657384</v>
      </c>
      <c r="H2523" s="20">
        <v>1.0428454177064254E-2</v>
      </c>
      <c r="I2523" s="2">
        <f ca="1"/>
        <v>2516</v>
      </c>
      <c r="J2523">
        <f ca="1"/>
        <v>4.3895030687657384</v>
      </c>
      <c r="K2523">
        <f ca="1"/>
        <v>6.2683773611406264E-3</v>
      </c>
    </row>
    <row r="2524" spans="7:11">
      <c r="G2524" s="20">
        <v>4.3912483980177326</v>
      </c>
      <c r="H2524" s="20">
        <v>1.0439388354817931E-2</v>
      </c>
      <c r="I2524" s="2">
        <f ca="1"/>
        <v>2517</v>
      </c>
      <c r="J2524">
        <f ca="1"/>
        <v>4.3912483980177326</v>
      </c>
      <c r="K2524">
        <f ca="1"/>
        <v>6.2608846166294805E-3</v>
      </c>
    </row>
    <row r="2525" spans="7:11">
      <c r="G2525" s="20">
        <v>4.3929937272697277</v>
      </c>
      <c r="H2525" s="20">
        <v>1.0450308787193788E-2</v>
      </c>
      <c r="I2525" s="2">
        <f ca="1"/>
        <v>2518</v>
      </c>
      <c r="J2525">
        <f ca="1"/>
        <v>4.3929937272697277</v>
      </c>
      <c r="K2525">
        <f ca="1"/>
        <v>6.2527178331873365E-3</v>
      </c>
    </row>
    <row r="2526" spans="7:11">
      <c r="G2526" s="20">
        <v>4.3947390565217219</v>
      </c>
      <c r="H2526" s="20">
        <v>1.0461214457495392E-2</v>
      </c>
      <c r="I2526" s="2">
        <f ca="1"/>
        <v>2519</v>
      </c>
      <c r="J2526">
        <f ca="1"/>
        <v>4.3947390565217219</v>
      </c>
      <c r="K2526">
        <f ca="1"/>
        <v>6.2441385634859027E-3</v>
      </c>
    </row>
    <row r="2527" spans="7:11">
      <c r="G2527" s="20">
        <v>4.3964843857737161</v>
      </c>
      <c r="H2527" s="20">
        <v>1.0472104942570502E-2</v>
      </c>
      <c r="I2527" s="2">
        <f ca="1"/>
        <v>2520</v>
      </c>
      <c r="J2527">
        <f ca="1"/>
        <v>4.3964843857737161</v>
      </c>
      <c r="K2527">
        <f ca="1"/>
        <v>6.231789483113202E-3</v>
      </c>
    </row>
    <row r="2528" spans="7:11">
      <c r="G2528" s="20">
        <v>4.3982297150257104</v>
      </c>
      <c r="H2528" s="20">
        <v>1.0482967506449687E-2</v>
      </c>
      <c r="I2528" s="2">
        <f ca="1"/>
        <v>2521</v>
      </c>
      <c r="J2528">
        <f ca="1"/>
        <v>4.3982297150257104</v>
      </c>
      <c r="K2528">
        <f ca="1"/>
        <v>6.2187665607776723E-3</v>
      </c>
    </row>
    <row r="2529" spans="7:11">
      <c r="G2529" s="20">
        <v>4.3999750442777046</v>
      </c>
      <c r="H2529" s="20">
        <v>1.04938125329502E-2</v>
      </c>
      <c r="I2529" s="2">
        <f ca="1"/>
        <v>2522</v>
      </c>
      <c r="J2529">
        <f ca="1"/>
        <v>4.3999750442777046</v>
      </c>
      <c r="K2529">
        <f ca="1"/>
        <v>6.2115411811480741E-3</v>
      </c>
    </row>
    <row r="2530" spans="7:11">
      <c r="G2530" s="20">
        <v>4.4017203735296988</v>
      </c>
      <c r="H2530" s="20">
        <v>1.0504649875496536E-2</v>
      </c>
      <c r="I2530" s="2">
        <f ca="1"/>
        <v>2523</v>
      </c>
      <c r="J2530">
        <f ca="1"/>
        <v>4.4017203735296988</v>
      </c>
      <c r="K2530">
        <f ca="1"/>
        <v>6.2048269656532259E-3</v>
      </c>
    </row>
    <row r="2531" spans="7:11">
      <c r="G2531" s="20">
        <v>4.403465702781693</v>
      </c>
      <c r="H2531" s="20">
        <v>1.0515471464963634E-2</v>
      </c>
      <c r="I2531" s="2">
        <f ca="1"/>
        <v>2524</v>
      </c>
      <c r="J2531">
        <f ca="1"/>
        <v>4.403465702781693</v>
      </c>
      <c r="K2531">
        <f ca="1"/>
        <v>6.19298058633994E-3</v>
      </c>
    </row>
    <row r="2532" spans="7:11">
      <c r="G2532" s="20">
        <v>4.4052110320336872</v>
      </c>
      <c r="H2532" s="20">
        <v>1.0526267455845279E-2</v>
      </c>
      <c r="I2532" s="2">
        <f ca="1"/>
        <v>2525</v>
      </c>
      <c r="J2532">
        <f ca="1"/>
        <v>4.4052110320336872</v>
      </c>
      <c r="K2532">
        <f ca="1"/>
        <v>6.1812785700773682E-3</v>
      </c>
    </row>
    <row r="2533" spans="7:11">
      <c r="G2533" s="20">
        <v>4.4069563612856815</v>
      </c>
      <c r="H2533" s="20">
        <v>1.0537048197569796E-2</v>
      </c>
      <c r="I2533" s="2">
        <f ca="1"/>
        <v>2526</v>
      </c>
      <c r="J2533">
        <f ca="1"/>
        <v>4.4069563612856815</v>
      </c>
      <c r="K2533">
        <f ca="1"/>
        <v>6.1731967817751972E-3</v>
      </c>
    </row>
    <row r="2534" spans="7:11">
      <c r="G2534" s="20">
        <v>4.4087016905376766</v>
      </c>
      <c r="H2534" s="20">
        <v>1.0547815977688382E-2</v>
      </c>
      <c r="I2534" s="2">
        <f ca="1"/>
        <v>2527</v>
      </c>
      <c r="J2534">
        <f ca="1"/>
        <v>4.4087016905376766</v>
      </c>
      <c r="K2534">
        <f ca="1"/>
        <v>6.1625735826740715E-3</v>
      </c>
    </row>
    <row r="2535" spans="7:11">
      <c r="G2535" s="20">
        <v>4.4104470197896708</v>
      </c>
      <c r="H2535" s="20">
        <v>1.0558559637452617E-2</v>
      </c>
      <c r="I2535" s="2">
        <f ca="1"/>
        <v>2528</v>
      </c>
      <c r="J2535">
        <f ca="1"/>
        <v>4.4104470197896708</v>
      </c>
      <c r="K2535">
        <f ca="1"/>
        <v>6.150898752973007E-3</v>
      </c>
    </row>
    <row r="2536" spans="7:11">
      <c r="G2536" s="20">
        <v>4.412192349041665</v>
      </c>
      <c r="H2536" s="20">
        <v>1.0569286664727619E-2</v>
      </c>
      <c r="I2536" s="2">
        <f ca="1"/>
        <v>2529</v>
      </c>
      <c r="J2536">
        <f ca="1"/>
        <v>4.412192349041665</v>
      </c>
      <c r="K2536">
        <f ca="1"/>
        <v>6.1431034042974259E-3</v>
      </c>
    </row>
    <row r="2537" spans="7:11">
      <c r="G2537" s="20">
        <v>4.4139376782936592</v>
      </c>
      <c r="H2537" s="20">
        <v>1.0580003113591708E-2</v>
      </c>
      <c r="I2537" s="2">
        <f ca="1"/>
        <v>2530</v>
      </c>
      <c r="J2537">
        <f ca="1"/>
        <v>4.4139376782936592</v>
      </c>
      <c r="K2537">
        <f ca="1"/>
        <v>6.1355466664010129E-3</v>
      </c>
    </row>
    <row r="2538" spans="7:11">
      <c r="G2538" s="20">
        <v>4.4156830075456535</v>
      </c>
      <c r="H2538" s="20">
        <v>1.059070376287531E-2</v>
      </c>
      <c r="I2538" s="2">
        <f ca="1"/>
        <v>2531</v>
      </c>
      <c r="J2538">
        <f ca="1"/>
        <v>4.4156830075456535</v>
      </c>
      <c r="K2538">
        <f ca="1"/>
        <v>6.1234550598125827E-3</v>
      </c>
    </row>
    <row r="2539" spans="7:11">
      <c r="G2539" s="20">
        <v>4.4174283367976477</v>
      </c>
      <c r="H2539" s="20">
        <v>1.0601378004070034E-2</v>
      </c>
      <c r="I2539" s="2">
        <f ca="1"/>
        <v>2532</v>
      </c>
      <c r="J2539">
        <f ca="1"/>
        <v>4.4174283367976477</v>
      </c>
      <c r="K2539">
        <f ca="1"/>
        <v>6.1114932865741836E-3</v>
      </c>
    </row>
    <row r="2540" spans="7:11">
      <c r="G2540" s="20">
        <v>4.4191736660496428</v>
      </c>
      <c r="H2540" s="20">
        <v>1.0612036898888164E-2</v>
      </c>
      <c r="I2540" s="2">
        <f ca="1"/>
        <v>2533</v>
      </c>
      <c r="J2540">
        <f ca="1"/>
        <v>4.4191736660496428</v>
      </c>
      <c r="K2540">
        <f ca="1"/>
        <v>6.1031429679951604E-3</v>
      </c>
    </row>
    <row r="2541" spans="7:11">
      <c r="G2541" s="20">
        <v>4.420918995301637</v>
      </c>
      <c r="H2541" s="20">
        <v>1.0622681991972329E-2</v>
      </c>
      <c r="I2541" s="2">
        <f ca="1"/>
        <v>2534</v>
      </c>
      <c r="J2541">
        <f ca="1"/>
        <v>4.420918995301637</v>
      </c>
      <c r="K2541">
        <f ca="1"/>
        <v>6.0920208545499066E-3</v>
      </c>
    </row>
    <row r="2542" spans="7:11">
      <c r="G2542" s="20">
        <v>4.4226643245536312</v>
      </c>
      <c r="H2542" s="20">
        <v>1.0633302063290573E-2</v>
      </c>
      <c r="I2542" s="2">
        <f ca="1"/>
        <v>2535</v>
      </c>
      <c r="J2542">
        <f ca="1"/>
        <v>4.4226643245536312</v>
      </c>
      <c r="K2542">
        <f ca="1"/>
        <v>6.0798439130532005E-3</v>
      </c>
    </row>
    <row r="2543" spans="7:11">
      <c r="G2543" s="20">
        <v>4.4244096538056255</v>
      </c>
      <c r="H2543" s="20">
        <v>1.0643904650830351E-2</v>
      </c>
      <c r="I2543" s="2">
        <f ca="1"/>
        <v>2536</v>
      </c>
      <c r="J2543">
        <f ca="1"/>
        <v>4.4244096538056255</v>
      </c>
      <c r="K2543">
        <f ca="1"/>
        <v>6.0716651342370359E-3</v>
      </c>
    </row>
    <row r="2544" spans="7:11">
      <c r="G2544" s="20">
        <v>4.4261549830576197</v>
      </c>
      <c r="H2544" s="20">
        <v>1.0654496172824768E-2</v>
      </c>
      <c r="I2544" s="2">
        <f ca="1"/>
        <v>2537</v>
      </c>
      <c r="J2544">
        <f ca="1"/>
        <v>4.4261549830576197</v>
      </c>
      <c r="K2544">
        <f ca="1"/>
        <v>6.0637643549510574E-3</v>
      </c>
    </row>
    <row r="2545" spans="7:11">
      <c r="G2545" s="20">
        <v>4.4279003123096139</v>
      </c>
      <c r="H2545" s="20">
        <v>1.0665071181442142E-2</v>
      </c>
      <c r="I2545" s="2">
        <f ca="1"/>
        <v>2538</v>
      </c>
      <c r="J2545">
        <f ca="1"/>
        <v>4.4279003123096139</v>
      </c>
      <c r="K2545">
        <f ca="1"/>
        <v>6.0512216727155619E-3</v>
      </c>
    </row>
    <row r="2546" spans="7:11">
      <c r="G2546" s="20">
        <v>4.4296456415616081</v>
      </c>
      <c r="H2546" s="20">
        <v>1.0675618921216152E-2</v>
      </c>
      <c r="I2546" s="2">
        <f ca="1"/>
        <v>2539</v>
      </c>
      <c r="J2546">
        <f ca="1"/>
        <v>4.4296456415616081</v>
      </c>
      <c r="K2546">
        <f ca="1"/>
        <v>6.0378226819333787E-3</v>
      </c>
    </row>
    <row r="2547" spans="7:11">
      <c r="G2547" s="20">
        <v>4.4313909708136032</v>
      </c>
      <c r="H2547" s="20">
        <v>1.0686147158532413E-2</v>
      </c>
      <c r="I2547" s="2">
        <f ca="1"/>
        <v>2540</v>
      </c>
      <c r="J2547">
        <f ca="1"/>
        <v>4.4313909708136032</v>
      </c>
      <c r="K2547">
        <f ca="1"/>
        <v>6.0277667222238332E-3</v>
      </c>
    </row>
    <row r="2548" spans="7:11">
      <c r="G2548" s="20">
        <v>4.4331363000655974</v>
      </c>
      <c r="H2548" s="20">
        <v>1.0696659796385146E-2</v>
      </c>
      <c r="I2548" s="2">
        <f ca="1"/>
        <v>2541</v>
      </c>
      <c r="J2548">
        <f ca="1"/>
        <v>4.4331363000655974</v>
      </c>
      <c r="K2548">
        <f ca="1"/>
        <v>6.0173730241149552E-3</v>
      </c>
    </row>
    <row r="2549" spans="7:11">
      <c r="G2549" s="20">
        <v>4.4348816293175917</v>
      </c>
      <c r="H2549" s="20">
        <v>1.070715175285071E-2</v>
      </c>
      <c r="I2549" s="2">
        <f ca="1"/>
        <v>2542</v>
      </c>
      <c r="J2549">
        <f ca="1"/>
        <v>4.4348816293175917</v>
      </c>
      <c r="K2549">
        <f ca="1"/>
        <v>6.0062767315838825E-3</v>
      </c>
    </row>
    <row r="2550" spans="7:11">
      <c r="G2550" s="20">
        <v>4.4366269585695859</v>
      </c>
      <c r="H2550" s="20">
        <v>1.0717625657335557E-2</v>
      </c>
      <c r="I2550" s="2">
        <f ca="1"/>
        <v>2543</v>
      </c>
      <c r="J2550">
        <f ca="1"/>
        <v>4.4366269585695859</v>
      </c>
      <c r="K2550">
        <f ca="1"/>
        <v>5.9973172505341683E-3</v>
      </c>
    </row>
    <row r="2551" spans="7:11">
      <c r="G2551" s="20">
        <v>4.4383722878215801</v>
      </c>
      <c r="H2551" s="20">
        <v>1.0728086339312404E-2</v>
      </c>
      <c r="I2551" s="2">
        <f ca="1"/>
        <v>2544</v>
      </c>
      <c r="J2551">
        <f ca="1"/>
        <v>4.4383722878215801</v>
      </c>
      <c r="K2551">
        <f ca="1"/>
        <v>5.9887432940550819E-3</v>
      </c>
    </row>
    <row r="2552" spans="7:11">
      <c r="G2552" s="20">
        <v>4.4401176170735743</v>
      </c>
      <c r="H2552" s="20">
        <v>1.0738530315043154E-2</v>
      </c>
      <c r="I2552" s="2">
        <f ca="1"/>
        <v>2545</v>
      </c>
      <c r="J2552">
        <f ca="1"/>
        <v>4.4401176170735743</v>
      </c>
      <c r="K2552">
        <f ca="1"/>
        <v>5.9759367726724584E-3</v>
      </c>
    </row>
    <row r="2553" spans="7:11">
      <c r="G2553" s="20">
        <v>4.4418629463255686</v>
      </c>
      <c r="H2553" s="20">
        <v>1.074894629382723E-2</v>
      </c>
      <c r="I2553" s="2">
        <f ca="1"/>
        <v>2546</v>
      </c>
      <c r="J2553">
        <f ca="1"/>
        <v>4.4418629463255686</v>
      </c>
      <c r="K2553">
        <f ca="1"/>
        <v>5.9622242197164841E-3</v>
      </c>
    </row>
    <row r="2554" spans="7:11">
      <c r="G2554" s="20">
        <v>4.4436082755775637</v>
      </c>
      <c r="H2554" s="20">
        <v>1.0759342403718399E-2</v>
      </c>
      <c r="I2554" s="2">
        <f ca="1"/>
        <v>2547</v>
      </c>
      <c r="J2554">
        <f ca="1"/>
        <v>4.4436082755775637</v>
      </c>
      <c r="K2554">
        <f ca="1"/>
        <v>5.9534467128301762E-3</v>
      </c>
    </row>
    <row r="2555" spans="7:11">
      <c r="G2555" s="20">
        <v>4.445353604829557</v>
      </c>
      <c r="H2555" s="20">
        <v>1.0769727743223413E-2</v>
      </c>
      <c r="I2555" s="2">
        <f ca="1"/>
        <v>2548</v>
      </c>
      <c r="J2555">
        <f ca="1"/>
        <v>4.445353604829557</v>
      </c>
      <c r="K2555">
        <f ca="1"/>
        <v>5.9452261668695491E-3</v>
      </c>
    </row>
    <row r="2556" spans="7:11">
      <c r="G2556" s="20">
        <v>4.4470989340815521</v>
      </c>
      <c r="H2556" s="20">
        <v>1.0780095157995917E-2</v>
      </c>
      <c r="I2556" s="2">
        <f ca="1"/>
        <v>2549</v>
      </c>
      <c r="J2556">
        <f ca="1"/>
        <v>4.4470989340815521</v>
      </c>
      <c r="K2556">
        <f ca="1"/>
        <v>5.9318883413339929E-3</v>
      </c>
    </row>
    <row r="2557" spans="7:11">
      <c r="G2557" s="20">
        <v>4.4488442633335454</v>
      </c>
      <c r="H2557" s="20">
        <v>1.0790433939706801E-2</v>
      </c>
      <c r="I2557" s="2">
        <f ca="1"/>
        <v>2550</v>
      </c>
      <c r="J2557">
        <f ca="1"/>
        <v>4.4488442633335454</v>
      </c>
      <c r="K2557">
        <f ca="1"/>
        <v>5.918696991335304E-3</v>
      </c>
    </row>
    <row r="2558" spans="7:11">
      <c r="G2558" s="20">
        <v>4.4505895925855405</v>
      </c>
      <c r="H2558" s="20">
        <v>1.0800755307981252E-2</v>
      </c>
      <c r="I2558" s="2">
        <f ca="1"/>
        <v>2551</v>
      </c>
      <c r="J2558">
        <f ca="1"/>
        <v>4.4505895925855405</v>
      </c>
      <c r="K2558">
        <f ca="1"/>
        <v>5.9092966507312255E-3</v>
      </c>
    </row>
    <row r="2559" spans="7:11">
      <c r="G2559" s="20">
        <v>4.4523349218375348</v>
      </c>
      <c r="H2559" s="20">
        <v>1.0811061276313271E-2</v>
      </c>
      <c r="I2559" s="2">
        <f ca="1"/>
        <v>2552</v>
      </c>
      <c r="J2559">
        <f ca="1"/>
        <v>4.4523349218375348</v>
      </c>
      <c r="K2559">
        <f ca="1"/>
        <v>5.899677379771563E-3</v>
      </c>
    </row>
    <row r="2560" spans="7:11">
      <c r="G2560" s="20">
        <v>4.454080251089529</v>
      </c>
      <c r="H2560" s="20">
        <v>1.082134906699774E-2</v>
      </c>
      <c r="I2560" s="2">
        <f ca="1"/>
        <v>2553</v>
      </c>
      <c r="J2560">
        <f ca="1"/>
        <v>4.454080251089529</v>
      </c>
      <c r="K2560">
        <f ca="1"/>
        <v>5.8893794657446097E-3</v>
      </c>
    </row>
    <row r="2561" spans="7:11">
      <c r="G2561" s="20">
        <v>4.4558255803415241</v>
      </c>
      <c r="H2561" s="20">
        <v>1.0831619088828593E-2</v>
      </c>
      <c r="I2561" s="2">
        <f ca="1"/>
        <v>2554</v>
      </c>
      <c r="J2561">
        <f ca="1"/>
        <v>4.4558255803415241</v>
      </c>
      <c r="K2561">
        <f ca="1"/>
        <v>5.8788263742566077E-3</v>
      </c>
    </row>
    <row r="2562" spans="7:11">
      <c r="G2562" s="20">
        <v>4.4575709095935174</v>
      </c>
      <c r="H2562" s="20">
        <v>1.084187004227451E-2</v>
      </c>
      <c r="I2562" s="2">
        <f ca="1"/>
        <v>2555</v>
      </c>
      <c r="J2562">
        <f ca="1"/>
        <v>4.4575709095935174</v>
      </c>
      <c r="K2562">
        <f ca="1"/>
        <v>5.8679028115058542E-3</v>
      </c>
    </row>
    <row r="2563" spans="7:11">
      <c r="G2563" s="20">
        <v>4.4593162388455116</v>
      </c>
      <c r="H2563" s="20">
        <v>1.0852101933678148E-2</v>
      </c>
      <c r="I2563" s="2">
        <f ca="1"/>
        <v>2556</v>
      </c>
      <c r="J2563">
        <f ca="1"/>
        <v>4.4593162388455116</v>
      </c>
      <c r="K2563">
        <f ca="1"/>
        <v>5.8528674238273494E-3</v>
      </c>
    </row>
    <row r="2564" spans="7:11">
      <c r="G2564" s="20">
        <v>4.4610615680975059</v>
      </c>
      <c r="H2564" s="20">
        <v>1.086230040372021E-2</v>
      </c>
      <c r="I2564" s="2">
        <f ca="1"/>
        <v>2557</v>
      </c>
      <c r="J2564">
        <f ca="1"/>
        <v>4.4610615680975059</v>
      </c>
      <c r="K2564">
        <f ca="1"/>
        <v>5.8379376325396939E-3</v>
      </c>
    </row>
    <row r="2565" spans="7:11">
      <c r="G2565" s="20">
        <v>4.4628068973495001</v>
      </c>
      <c r="H2565" s="20">
        <v>1.0872480180320927E-2</v>
      </c>
      <c r="I2565" s="2">
        <f ca="1"/>
        <v>2558</v>
      </c>
      <c r="J2565">
        <f ca="1"/>
        <v>4.4628068973495001</v>
      </c>
      <c r="K2565">
        <f ca="1"/>
        <v>5.8281257379927303E-3</v>
      </c>
    </row>
    <row r="2566" spans="7:11">
      <c r="G2566" s="20">
        <v>4.4645522266014943</v>
      </c>
      <c r="H2566" s="20">
        <v>1.0882644400389848E-2</v>
      </c>
      <c r="I2566" s="2">
        <f ca="1"/>
        <v>2559</v>
      </c>
      <c r="J2566">
        <f ca="1"/>
        <v>4.4645522266014943</v>
      </c>
      <c r="K2566">
        <f ca="1"/>
        <v>5.8157943962642749E-3</v>
      </c>
    </row>
    <row r="2567" spans="7:11">
      <c r="G2567" s="20">
        <v>4.4662975558534894</v>
      </c>
      <c r="H2567" s="20">
        <v>1.08927811324877E-2</v>
      </c>
      <c r="I2567" s="2">
        <f ca="1"/>
        <v>2560</v>
      </c>
      <c r="J2567">
        <f ca="1"/>
        <v>4.4662975558534894</v>
      </c>
      <c r="K2567">
        <f ca="1"/>
        <v>5.8022816546003308E-3</v>
      </c>
    </row>
    <row r="2568" spans="7:11">
      <c r="G2568" s="20">
        <v>4.4680428851054836</v>
      </c>
      <c r="H2568" s="20">
        <v>1.090289818419002E-2</v>
      </c>
      <c r="I2568" s="2">
        <f ca="1"/>
        <v>2561</v>
      </c>
      <c r="J2568">
        <f ca="1"/>
        <v>4.4680428851054836</v>
      </c>
      <c r="K2568">
        <f ca="1"/>
        <v>5.792725444708542E-3</v>
      </c>
    </row>
    <row r="2569" spans="7:11">
      <c r="G2569" s="20">
        <v>4.4697882143574788</v>
      </c>
      <c r="H2569" s="20">
        <v>1.0913001558822548E-2</v>
      </c>
      <c r="I2569" s="2">
        <f ca="1"/>
        <v>2562</v>
      </c>
      <c r="J2569">
        <f ca="1"/>
        <v>4.4697882143574788</v>
      </c>
      <c r="K2569">
        <f ca="1"/>
        <v>5.7833817751905018E-3</v>
      </c>
    </row>
    <row r="2570" spans="7:11">
      <c r="G2570" s="20">
        <v>4.4715335436094721</v>
      </c>
      <c r="H2570" s="20">
        <v>1.0923085994965401E-2</v>
      </c>
      <c r="I2570" s="2">
        <f ca="1"/>
        <v>2563</v>
      </c>
      <c r="J2570">
        <f ca="1"/>
        <v>4.4715335436094721</v>
      </c>
      <c r="K2570">
        <f ca="1"/>
        <v>5.7692222878475957E-3</v>
      </c>
    </row>
    <row r="2571" spans="7:11">
      <c r="G2571" s="20">
        <v>4.4732788728614672</v>
      </c>
      <c r="H2571" s="20">
        <v>1.0933139943663022E-2</v>
      </c>
      <c r="I2571" s="2">
        <f ca="1"/>
        <v>2564</v>
      </c>
      <c r="J2571">
        <f ca="1"/>
        <v>4.4732788728614672</v>
      </c>
      <c r="K2571">
        <f ca="1"/>
        <v>5.7541472537171118E-3</v>
      </c>
    </row>
    <row r="2572" spans="7:11">
      <c r="G2572" s="20">
        <v>4.4750242021134605</v>
      </c>
      <c r="H2572" s="20">
        <v>1.094317175800979E-2</v>
      </c>
      <c r="I2572" s="2">
        <f ca="1"/>
        <v>2565</v>
      </c>
      <c r="J2572">
        <f ca="1"/>
        <v>4.4750242021134605</v>
      </c>
      <c r="K2572">
        <f ca="1"/>
        <v>5.742611836593952E-3</v>
      </c>
    </row>
    <row r="2573" spans="7:11">
      <c r="G2573" s="20">
        <v>4.4767695313654556</v>
      </c>
      <c r="H2573" s="20">
        <v>1.0953185440505534E-2</v>
      </c>
      <c r="I2573" s="2">
        <f ca="1"/>
        <v>2566</v>
      </c>
      <c r="J2573">
        <f ca="1"/>
        <v>4.4767695313654556</v>
      </c>
      <c r="K2573">
        <f ca="1"/>
        <v>5.730701037131484E-3</v>
      </c>
    </row>
    <row r="2574" spans="7:11">
      <c r="G2574" s="20">
        <v>4.4785148606174499</v>
      </c>
      <c r="H2574" s="20">
        <v>1.0963175678318874E-2</v>
      </c>
      <c r="I2574" s="2">
        <f ca="1"/>
        <v>2567</v>
      </c>
      <c r="J2574">
        <f ca="1"/>
        <v>4.4785148606174499</v>
      </c>
      <c r="K2574">
        <f ca="1"/>
        <v>5.7180606864819725E-3</v>
      </c>
    </row>
    <row r="2575" spans="7:11">
      <c r="G2575" s="20">
        <v>4.480260189869445</v>
      </c>
      <c r="H2575" s="20">
        <v>1.0973145237667129E-2</v>
      </c>
      <c r="I2575" s="2">
        <f ca="1"/>
        <v>2568</v>
      </c>
      <c r="J2575">
        <f ca="1"/>
        <v>4.480260189869445</v>
      </c>
      <c r="K2575">
        <f ca="1"/>
        <v>5.7076852703215886E-3</v>
      </c>
    </row>
    <row r="2576" spans="7:11">
      <c r="G2576" s="20">
        <v>4.4820055191214383</v>
      </c>
      <c r="H2576" s="20">
        <v>1.0983099258445811E-2</v>
      </c>
      <c r="I2576" s="2">
        <f ca="1"/>
        <v>2569</v>
      </c>
      <c r="J2576">
        <f ca="1"/>
        <v>4.4820055191214383</v>
      </c>
      <c r="K2576">
        <f ca="1"/>
        <v>5.6977229986239974E-3</v>
      </c>
    </row>
    <row r="2577" spans="7:11">
      <c r="G2577" s="20">
        <v>4.4837508483734334</v>
      </c>
      <c r="H2577" s="20">
        <v>1.0993034042905647E-2</v>
      </c>
      <c r="I2577" s="2">
        <f ca="1"/>
        <v>2570</v>
      </c>
      <c r="J2577">
        <f ca="1"/>
        <v>4.4837508483734334</v>
      </c>
      <c r="K2577">
        <f ca="1"/>
        <v>5.686585588943016E-3</v>
      </c>
    </row>
    <row r="2578" spans="7:11">
      <c r="G2578" s="20">
        <v>4.4854961776254267</v>
      </c>
      <c r="H2578" s="20">
        <v>1.1002949186790513E-2</v>
      </c>
      <c r="I2578" s="2">
        <f ca="1"/>
        <v>2571</v>
      </c>
      <c r="J2578">
        <f ca="1"/>
        <v>4.4854961776254267</v>
      </c>
      <c r="K2578">
        <f ca="1"/>
        <v>5.6750389380569892E-3</v>
      </c>
    </row>
    <row r="2579" spans="7:11">
      <c r="G2579" s="20">
        <v>4.4872415068774218</v>
      </c>
      <c r="H2579" s="20">
        <v>1.1012843665835241E-2</v>
      </c>
      <c r="I2579" s="2">
        <f ca="1"/>
        <v>2572</v>
      </c>
      <c r="J2579">
        <f ca="1"/>
        <v>4.4872415068774218</v>
      </c>
      <c r="K2579">
        <f ca="1"/>
        <v>5.6630640926832532E-3</v>
      </c>
    </row>
    <row r="2580" spans="7:11">
      <c r="G2580" s="20">
        <v>4.4889868361294152</v>
      </c>
      <c r="H2580" s="20">
        <v>1.102271700962427E-2</v>
      </c>
      <c r="I2580" s="2">
        <f ca="1"/>
        <v>2573</v>
      </c>
      <c r="J2580">
        <f ca="1"/>
        <v>4.4889868361294152</v>
      </c>
      <c r="K2580">
        <f ca="1"/>
        <v>5.6508523370238494E-3</v>
      </c>
    </row>
    <row r="2581" spans="7:11">
      <c r="G2581" s="20">
        <v>4.4907321653814103</v>
      </c>
      <c r="H2581" s="20">
        <v>1.1032568861600256E-2</v>
      </c>
      <c r="I2581" s="2">
        <f ca="1"/>
        <v>2574</v>
      </c>
      <c r="J2581">
        <f ca="1"/>
        <v>4.4907321653814103</v>
      </c>
      <c r="K2581">
        <f ca="1"/>
        <v>5.6341292733736907E-3</v>
      </c>
    </row>
    <row r="2582" spans="7:11">
      <c r="G2582" s="20">
        <v>4.4924774946334036</v>
      </c>
      <c r="H2582" s="20">
        <v>1.1042383830884942E-2</v>
      </c>
      <c r="I2582" s="2">
        <f ca="1"/>
        <v>2575</v>
      </c>
      <c r="J2582">
        <f ca="1"/>
        <v>4.4924774946334036</v>
      </c>
      <c r="K2582">
        <f ca="1"/>
        <v>5.6175197652785338E-3</v>
      </c>
    </row>
    <row r="2583" spans="7:11">
      <c r="G2583" s="20">
        <v>4.4942228238853987</v>
      </c>
      <c r="H2583" s="20">
        <v>1.1052177704740249E-2</v>
      </c>
      <c r="I2583" s="2">
        <f ca="1"/>
        <v>2576</v>
      </c>
      <c r="J2583">
        <f ca="1"/>
        <v>4.4942228238853987</v>
      </c>
      <c r="K2583">
        <f ca="1"/>
        <v>5.606592504446224E-3</v>
      </c>
    </row>
    <row r="2584" spans="7:11">
      <c r="G2584" s="20">
        <v>4.495968153137393</v>
      </c>
      <c r="H2584" s="20">
        <v>1.106195453068899E-2</v>
      </c>
      <c r="I2584" s="2">
        <f ca="1"/>
        <v>2577</v>
      </c>
      <c r="J2584">
        <f ca="1"/>
        <v>4.495968153137393</v>
      </c>
      <c r="K2584">
        <f ca="1"/>
        <v>5.5932291715061208E-3</v>
      </c>
    </row>
    <row r="2585" spans="7:11">
      <c r="G2585" s="20">
        <v>4.4977134823893872</v>
      </c>
      <c r="H2585" s="20">
        <v>1.1071701757712523E-2</v>
      </c>
      <c r="I2585" s="2">
        <f ca="1"/>
        <v>2578</v>
      </c>
      <c r="J2585">
        <f ca="1"/>
        <v>4.4977134823893872</v>
      </c>
      <c r="K2585">
        <f ca="1"/>
        <v>5.5786092164067562E-3</v>
      </c>
    </row>
    <row r="2586" spans="7:11">
      <c r="G2586" s="20">
        <v>4.4994588116413814</v>
      </c>
      <c r="H2586" s="20">
        <v>1.1081427550390668E-2</v>
      </c>
      <c r="I2586" s="2">
        <f ca="1"/>
        <v>2579</v>
      </c>
      <c r="J2586">
        <f ca="1"/>
        <v>4.4994588116413814</v>
      </c>
      <c r="K2586">
        <f ca="1"/>
        <v>5.5680340119338414E-3</v>
      </c>
    </row>
    <row r="2587" spans="7:11">
      <c r="G2587" s="20">
        <v>4.5012041408933747</v>
      </c>
      <c r="H2587" s="20">
        <v>1.1091137862986771E-2</v>
      </c>
      <c r="I2587" s="2">
        <f ca="1"/>
        <v>2580</v>
      </c>
      <c r="J2587">
        <f ca="1"/>
        <v>4.5012041408933747</v>
      </c>
      <c r="K2587">
        <f ca="1"/>
        <v>5.5576437476402875E-3</v>
      </c>
    </row>
    <row r="2588" spans="7:11">
      <c r="G2588" s="20">
        <v>4.5029494701453698</v>
      </c>
      <c r="H2588" s="20">
        <v>1.1100827386800507E-2</v>
      </c>
      <c r="I2588" s="2">
        <f ca="1"/>
        <v>2581</v>
      </c>
      <c r="J2588">
        <f ca="1"/>
        <v>4.5029494701453698</v>
      </c>
      <c r="K2588">
        <f ca="1"/>
        <v>5.5422596208781257E-3</v>
      </c>
    </row>
    <row r="2589" spans="7:11">
      <c r="G2589" s="20">
        <v>4.5046947993973641</v>
      </c>
      <c r="H2589" s="20">
        <v>1.1110483998663706E-2</v>
      </c>
      <c r="I2589" s="2">
        <f ca="1"/>
        <v>2582</v>
      </c>
      <c r="J2589">
        <f ca="1"/>
        <v>4.5046947993973641</v>
      </c>
      <c r="K2589">
        <f ca="1"/>
        <v>5.527022119020464E-3</v>
      </c>
    </row>
    <row r="2590" spans="7:11">
      <c r="G2590" s="20">
        <v>4.5064401286493583</v>
      </c>
      <c r="H2590" s="20">
        <v>1.1120120333561998E-2</v>
      </c>
      <c r="I2590" s="2">
        <f ca="1"/>
        <v>2583</v>
      </c>
      <c r="J2590">
        <f ca="1"/>
        <v>4.5064401286493583</v>
      </c>
      <c r="K2590">
        <f ca="1"/>
        <v>5.5158631150395076E-3</v>
      </c>
    </row>
    <row r="2591" spans="7:11">
      <c r="G2591" s="20">
        <v>4.5081854579013525</v>
      </c>
      <c r="H2591" s="20">
        <v>1.1129737993153055E-2</v>
      </c>
      <c r="I2591" s="2">
        <f ca="1"/>
        <v>2584</v>
      </c>
      <c r="J2591">
        <f ca="1"/>
        <v>4.5081854579013525</v>
      </c>
      <c r="K2591">
        <f ca="1"/>
        <v>5.5015331663345992E-3</v>
      </c>
    </row>
    <row r="2592" spans="7:11">
      <c r="G2592" s="20">
        <v>4.5099307871533467</v>
      </c>
      <c r="H2592" s="20">
        <v>1.1139324307094038E-2</v>
      </c>
      <c r="I2592" s="2">
        <f ca="1"/>
        <v>2585</v>
      </c>
      <c r="J2592">
        <f ca="1"/>
        <v>4.5099307871533467</v>
      </c>
      <c r="K2592">
        <f ca="1"/>
        <v>5.4860141786052703E-3</v>
      </c>
    </row>
    <row r="2593" spans="7:11">
      <c r="G2593" s="20">
        <v>4.5116761164053418</v>
      </c>
      <c r="H2593" s="20">
        <v>1.114888779519861E-2</v>
      </c>
      <c r="I2593" s="2">
        <f ca="1"/>
        <v>2586</v>
      </c>
      <c r="J2593">
        <f ca="1"/>
        <v>4.5116761164053418</v>
      </c>
      <c r="K2593">
        <f ca="1"/>
        <v>5.4750332865661014E-3</v>
      </c>
    </row>
    <row r="2594" spans="7:11">
      <c r="G2594" s="20">
        <v>4.5134214456573361</v>
      </c>
      <c r="H2594" s="20">
        <v>1.1158435778595415E-2</v>
      </c>
      <c r="I2594" s="2">
        <f ca="1"/>
        <v>2587</v>
      </c>
      <c r="J2594">
        <f ca="1"/>
        <v>4.5134214456573361</v>
      </c>
      <c r="K2594">
        <f ca="1"/>
        <v>5.4643762679943142E-3</v>
      </c>
    </row>
    <row r="2595" spans="7:11">
      <c r="G2595" s="20">
        <v>4.5151667749093303</v>
      </c>
      <c r="H2595" s="20">
        <v>1.1167962066687477E-2</v>
      </c>
      <c r="I2595" s="2">
        <f ca="1"/>
        <v>2588</v>
      </c>
      <c r="J2595">
        <f ca="1"/>
        <v>4.5151667749093303</v>
      </c>
      <c r="K2595">
        <f ca="1"/>
        <v>5.4484597340563158E-3</v>
      </c>
    </row>
    <row r="2596" spans="7:11">
      <c r="G2596" s="20">
        <v>4.5169121041613245</v>
      </c>
      <c r="H2596" s="20">
        <v>1.1177454490899737E-2</v>
      </c>
      <c r="I2596" s="2">
        <f ca="1"/>
        <v>2589</v>
      </c>
      <c r="J2596">
        <f ca="1"/>
        <v>4.5169121041613245</v>
      </c>
      <c r="K2596">
        <f ca="1"/>
        <v>5.4315762774115326E-3</v>
      </c>
    </row>
    <row r="2597" spans="7:11">
      <c r="G2597" s="20">
        <v>4.5186574334133187</v>
      </c>
      <c r="H2597" s="20">
        <v>1.1186921844610285E-2</v>
      </c>
      <c r="I2597" s="2">
        <f ca="1"/>
        <v>2590</v>
      </c>
      <c r="J2597">
        <f ca="1"/>
        <v>4.5186574334133187</v>
      </c>
      <c r="K2597">
        <f ca="1"/>
        <v>5.4184807640211829E-3</v>
      </c>
    </row>
    <row r="2598" spans="7:11">
      <c r="G2598" s="20">
        <v>4.5204027626653129</v>
      </c>
      <c r="H2598" s="20">
        <v>1.1196368556857366E-2</v>
      </c>
      <c r="I2598" s="2">
        <f ca="1"/>
        <v>2591</v>
      </c>
      <c r="J2598">
        <f ca="1"/>
        <v>4.5204027626653129</v>
      </c>
      <c r="K2598">
        <f ca="1"/>
        <v>5.4050060585933927E-3</v>
      </c>
    </row>
    <row r="2599" spans="7:11">
      <c r="G2599" s="20">
        <v>4.522148091917308</v>
      </c>
      <c r="H2599" s="20">
        <v>1.1205788874972828E-2</v>
      </c>
      <c r="I2599" s="2">
        <f ca="1"/>
        <v>2592</v>
      </c>
      <c r="J2599">
        <f ca="1"/>
        <v>4.522148091917308</v>
      </c>
      <c r="K2599">
        <f ca="1"/>
        <v>5.3907372275357034E-3</v>
      </c>
    </row>
    <row r="2600" spans="7:11">
      <c r="G2600" s="20">
        <v>4.5238934211693032</v>
      </c>
      <c r="H2600" s="20">
        <v>1.121518577960344E-2</v>
      </c>
      <c r="I2600" s="2">
        <f ca="1"/>
        <v>2593</v>
      </c>
      <c r="J2600">
        <f ca="1"/>
        <v>4.5238934211693032</v>
      </c>
      <c r="K2600">
        <f ca="1"/>
        <v>5.3788922302845073E-3</v>
      </c>
    </row>
    <row r="2601" spans="7:11">
      <c r="G2601" s="20">
        <v>4.5256387504212965</v>
      </c>
      <c r="H2601" s="20">
        <v>1.1224564750878508E-2</v>
      </c>
      <c r="I2601" s="2">
        <f ca="1"/>
        <v>2594</v>
      </c>
      <c r="J2601">
        <f ca="1"/>
        <v>4.5256387504212965</v>
      </c>
      <c r="K2601">
        <f ca="1"/>
        <v>5.3674870305996996E-3</v>
      </c>
    </row>
    <row r="2602" spans="7:11">
      <c r="G2602" s="20">
        <v>4.5273840796732916</v>
      </c>
      <c r="H2602" s="20">
        <v>1.123392184385185E-2</v>
      </c>
      <c r="I2602" s="2">
        <f ca="1"/>
        <v>2595</v>
      </c>
      <c r="J2602">
        <f ca="1"/>
        <v>4.5273840796732916</v>
      </c>
      <c r="K2602">
        <f ca="1"/>
        <v>5.3512872906002771E-3</v>
      </c>
    </row>
    <row r="2603" spans="7:11">
      <c r="G2603" s="20">
        <v>4.5291294089252849</v>
      </c>
      <c r="H2603" s="20">
        <v>1.1243244267366727E-2</v>
      </c>
      <c r="I2603" s="2">
        <f ca="1"/>
        <v>2596</v>
      </c>
      <c r="J2603">
        <f ca="1"/>
        <v>4.5291294089252849</v>
      </c>
      <c r="K2603">
        <f ca="1"/>
        <v>5.3340633051710152E-3</v>
      </c>
    </row>
    <row r="2604" spans="7:11">
      <c r="G2604" s="20">
        <v>4.53087473817728</v>
      </c>
      <c r="H2604" s="20">
        <v>1.1252541237288858E-2</v>
      </c>
      <c r="I2604" s="2">
        <f ca="1"/>
        <v>2597</v>
      </c>
      <c r="J2604">
        <f ca="1"/>
        <v>4.53087473817728</v>
      </c>
      <c r="K2604">
        <f ca="1"/>
        <v>5.322435531214819E-3</v>
      </c>
    </row>
    <row r="2605" spans="7:11">
      <c r="G2605" s="20">
        <v>4.5326200674292734</v>
      </c>
      <c r="H2605" s="20">
        <v>1.1261823072215692E-2</v>
      </c>
      <c r="I2605" s="2">
        <f ca="1"/>
        <v>2598</v>
      </c>
      <c r="J2605">
        <f ca="1"/>
        <v>4.5326200674292734</v>
      </c>
      <c r="K2605">
        <f ca="1"/>
        <v>5.3114417902713137E-3</v>
      </c>
    </row>
    <row r="2606" spans="7:11">
      <c r="G2606" s="20">
        <v>4.5343653966812676</v>
      </c>
      <c r="H2606" s="20">
        <v>1.1271081666742504E-2</v>
      </c>
      <c r="I2606" s="2">
        <f ca="1"/>
        <v>2599</v>
      </c>
      <c r="J2606">
        <f ca="1"/>
        <v>4.5343653966812676</v>
      </c>
      <c r="K2606">
        <f ca="1"/>
        <v>5.2946489686291577E-3</v>
      </c>
    </row>
    <row r="2607" spans="7:11">
      <c r="G2607" s="20">
        <v>4.5361107259332618</v>
      </c>
      <c r="H2607" s="20">
        <v>1.1280304883663671E-2</v>
      </c>
      <c r="I2607" s="2">
        <f ca="1"/>
        <v>2600</v>
      </c>
      <c r="J2607">
        <f ca="1"/>
        <v>4.5361107259332618</v>
      </c>
      <c r="K2607">
        <f ca="1"/>
        <v>5.2780259632753731E-3</v>
      </c>
    </row>
    <row r="2608" spans="7:11">
      <c r="G2608" s="20">
        <v>4.5378560551852569</v>
      </c>
      <c r="H2608" s="20">
        <v>1.1289505452955487E-2</v>
      </c>
      <c r="I2608" s="2">
        <f ca="1"/>
        <v>2601</v>
      </c>
      <c r="J2608">
        <f ca="1"/>
        <v>4.5378560551852569</v>
      </c>
      <c r="K2608">
        <f ca="1"/>
        <v>5.2657041991328347E-3</v>
      </c>
    </row>
    <row r="2609" spans="7:11">
      <c r="G2609" s="20">
        <v>4.5396013844372511</v>
      </c>
      <c r="H2609" s="20">
        <v>1.1298685658805867E-2</v>
      </c>
      <c r="I2609" s="2">
        <f ca="1"/>
        <v>2602</v>
      </c>
      <c r="J2609">
        <f ca="1"/>
        <v>4.5396013844372511</v>
      </c>
      <c r="K2609">
        <f ca="1"/>
        <v>5.2502073243861037E-3</v>
      </c>
    </row>
    <row r="2610" spans="7:11">
      <c r="G2610" s="20">
        <v>4.5413467136892454</v>
      </c>
      <c r="H2610" s="20">
        <v>1.1307832133800058E-2</v>
      </c>
      <c r="I2610" s="2">
        <f ca="1"/>
        <v>2603</v>
      </c>
      <c r="J2610">
        <f ca="1"/>
        <v>4.5413467136892454</v>
      </c>
      <c r="K2610">
        <f ca="1"/>
        <v>5.2334561155970797E-3</v>
      </c>
    </row>
    <row r="2611" spans="7:11">
      <c r="G2611" s="20">
        <v>4.5430920429412396</v>
      </c>
      <c r="H2611" s="20">
        <v>1.1316953866901026E-2</v>
      </c>
      <c r="I2611" s="2">
        <f ca="1"/>
        <v>2604</v>
      </c>
      <c r="J2611">
        <f ca="1"/>
        <v>4.5430920429412396</v>
      </c>
      <c r="K2611">
        <f ca="1"/>
        <v>5.2214210323688589E-3</v>
      </c>
    </row>
    <row r="2612" spans="7:11">
      <c r="G2612" s="20">
        <v>4.5448373721932338</v>
      </c>
      <c r="H2612" s="20">
        <v>1.1326058331529601E-2</v>
      </c>
      <c r="I2612" s="2">
        <f ca="1"/>
        <v>2605</v>
      </c>
      <c r="J2612">
        <f ca="1"/>
        <v>4.5448373721932338</v>
      </c>
      <c r="K2612">
        <f ca="1"/>
        <v>5.2096995769675587E-3</v>
      </c>
    </row>
    <row r="2613" spans="7:11">
      <c r="G2613" s="20">
        <v>4.546582701445228</v>
      </c>
      <c r="H2613" s="20">
        <v>1.1335139149032593E-2</v>
      </c>
      <c r="I2613" s="2">
        <f ca="1"/>
        <v>2606</v>
      </c>
      <c r="J2613">
        <f ca="1"/>
        <v>4.546582701445228</v>
      </c>
      <c r="K2613">
        <f ca="1"/>
        <v>5.1924941935609968E-3</v>
      </c>
    </row>
    <row r="2614" spans="7:11">
      <c r="G2614" s="20">
        <v>4.5483280306972222</v>
      </c>
      <c r="H2614" s="20">
        <v>1.1344183555543265E-2</v>
      </c>
      <c r="I2614" s="2">
        <f ca="1"/>
        <v>2607</v>
      </c>
      <c r="J2614">
        <f ca="1"/>
        <v>4.5483280306972222</v>
      </c>
      <c r="K2614">
        <f ca="1"/>
        <v>5.1754514141182815E-3</v>
      </c>
    </row>
    <row r="2615" spans="7:11">
      <c r="G2615" s="20">
        <v>4.5500733599492174</v>
      </c>
      <c r="H2615" s="20">
        <v>1.1353204882523268E-2</v>
      </c>
      <c r="I2615" s="2">
        <f ca="1"/>
        <v>2608</v>
      </c>
      <c r="J2615">
        <f ca="1"/>
        <v>4.5500733599492174</v>
      </c>
      <c r="K2615">
        <f ca="1"/>
        <v>5.162767444820378E-3</v>
      </c>
    </row>
    <row r="2616" spans="7:11">
      <c r="G2616" s="20">
        <v>4.5518186892012107</v>
      </c>
      <c r="H2616" s="20">
        <v>1.1362205013628642E-2</v>
      </c>
      <c r="I2616" s="2">
        <f ca="1"/>
        <v>2609</v>
      </c>
      <c r="J2616">
        <f ca="1"/>
        <v>4.5518186892012107</v>
      </c>
      <c r="K2616">
        <f ca="1"/>
        <v>5.1467460285027009E-3</v>
      </c>
    </row>
    <row r="2617" spans="7:11">
      <c r="G2617" s="20">
        <v>4.5535640184532058</v>
      </c>
      <c r="H2617" s="20">
        <v>1.137117041531553E-2</v>
      </c>
      <c r="I2617" s="2">
        <f ca="1"/>
        <v>2610</v>
      </c>
      <c r="J2617">
        <f ca="1"/>
        <v>4.5535640184532058</v>
      </c>
      <c r="K2617">
        <f ca="1"/>
        <v>5.1294555416230994E-3</v>
      </c>
    </row>
    <row r="2618" spans="7:11">
      <c r="G2618" s="20">
        <v>4.5553093477052</v>
      </c>
      <c r="H2618" s="20">
        <v>1.1380110191235844E-2</v>
      </c>
      <c r="I2618" s="2">
        <f ca="1"/>
        <v>2611</v>
      </c>
      <c r="J2618">
        <f ca="1"/>
        <v>4.5553093477052</v>
      </c>
      <c r="K2618">
        <f ca="1"/>
        <v>5.1169940710921917E-3</v>
      </c>
    </row>
    <row r="2619" spans="7:11">
      <c r="G2619" s="20">
        <v>4.5570546769571942</v>
      </c>
      <c r="H2619" s="20">
        <v>1.1389032094184647E-2</v>
      </c>
      <c r="I2619" s="2">
        <f ca="1"/>
        <v>2612</v>
      </c>
      <c r="J2619">
        <f ca="1"/>
        <v>4.5570546769571942</v>
      </c>
      <c r="K2619">
        <f ca="1"/>
        <v>5.1048720739245972E-3</v>
      </c>
    </row>
    <row r="2620" spans="7:11">
      <c r="G2620" s="20">
        <v>4.5588000062091885</v>
      </c>
      <c r="H2620" s="20">
        <v>1.1397929556352462E-2</v>
      </c>
      <c r="I2620" s="2">
        <f ca="1"/>
        <v>2613</v>
      </c>
      <c r="J2620">
        <f ca="1"/>
        <v>4.5588000062091885</v>
      </c>
      <c r="K2620">
        <f ca="1"/>
        <v>5.0871509567150834E-3</v>
      </c>
    </row>
    <row r="2621" spans="7:11">
      <c r="G2621" s="20">
        <v>4.5605453354611836</v>
      </c>
      <c r="H2621" s="20">
        <v>1.1406789600932781E-2</v>
      </c>
      <c r="I2621" s="2">
        <f ca="1"/>
        <v>2614</v>
      </c>
      <c r="J2621">
        <f ca="1"/>
        <v>4.5605453354611836</v>
      </c>
      <c r="K2621">
        <f ca="1"/>
        <v>5.0684004499182552E-3</v>
      </c>
    </row>
    <row r="2622" spans="7:11">
      <c r="G2622" s="20">
        <v>4.5622906647131769</v>
      </c>
      <c r="H2622" s="20">
        <v>1.1415621611484588E-2</v>
      </c>
      <c r="I2622" s="2">
        <f ca="1"/>
        <v>2615</v>
      </c>
      <c r="J2622">
        <f ca="1"/>
        <v>4.5622906647131769</v>
      </c>
      <c r="K2622">
        <f ca="1"/>
        <v>5.0536895364613364E-3</v>
      </c>
    </row>
    <row r="2623" spans="7:11">
      <c r="G2623" s="20">
        <v>4.564035993965172</v>
      </c>
      <c r="H2623" s="20">
        <v>1.1424430305289748E-2</v>
      </c>
      <c r="I2623" s="2">
        <f ca="1"/>
        <v>2616</v>
      </c>
      <c r="J2623">
        <f ca="1"/>
        <v>4.564035993965172</v>
      </c>
      <c r="K2623">
        <f ca="1"/>
        <v>5.038575384411232E-3</v>
      </c>
    </row>
    <row r="2624" spans="7:11">
      <c r="G2624" s="20">
        <v>4.5657813232171662</v>
      </c>
      <c r="H2624" s="20">
        <v>1.1433209557498174E-2</v>
      </c>
      <c r="I2624" s="2">
        <f ca="1"/>
        <v>2617</v>
      </c>
      <c r="J2624">
        <f ca="1"/>
        <v>4.5657813232171662</v>
      </c>
      <c r="K2624">
        <f ca="1"/>
        <v>5.0226172458270758E-3</v>
      </c>
    </row>
    <row r="2625" spans="7:11">
      <c r="G2625" s="20">
        <v>4.5675266524691605</v>
      </c>
      <c r="H2625" s="20">
        <v>1.1441962546891173E-2</v>
      </c>
      <c r="I2625" s="2">
        <f ca="1"/>
        <v>2618</v>
      </c>
      <c r="J2625">
        <f ca="1"/>
        <v>4.5675266524691605</v>
      </c>
      <c r="K2625">
        <f ca="1"/>
        <v>5.009244942618089E-3</v>
      </c>
    </row>
    <row r="2626" spans="7:11">
      <c r="G2626" s="20">
        <v>4.5692719817211547</v>
      </c>
      <c r="H2626" s="20">
        <v>1.1450695120955685E-2</v>
      </c>
      <c r="I2626" s="2">
        <f ca="1"/>
        <v>2619</v>
      </c>
      <c r="J2626">
        <f ca="1"/>
        <v>4.5692719817211547</v>
      </c>
      <c r="K2626">
        <f ca="1"/>
        <v>4.9963437549489977E-3</v>
      </c>
    </row>
    <row r="2627" spans="7:11">
      <c r="G2627" s="20">
        <v>4.5710173109731489</v>
      </c>
      <c r="H2627" s="20">
        <v>1.1459403076708235E-2</v>
      </c>
      <c r="I2627" s="2">
        <f ca="1"/>
        <v>2620</v>
      </c>
      <c r="J2627">
        <f ca="1"/>
        <v>4.5710173109731489</v>
      </c>
      <c r="K2627">
        <f ca="1"/>
        <v>4.978331850035835E-3</v>
      </c>
    </row>
    <row r="2628" spans="7:11">
      <c r="G2628" s="20">
        <v>4.572762640225144</v>
      </c>
      <c r="H2628" s="20">
        <v>1.1468072777363694E-2</v>
      </c>
      <c r="I2628" s="2">
        <f ca="1"/>
        <v>2621</v>
      </c>
      <c r="J2628">
        <f ca="1"/>
        <v>4.572762640225144</v>
      </c>
      <c r="K2628">
        <f ca="1"/>
        <v>4.9592294411713641E-3</v>
      </c>
    </row>
    <row r="2629" spans="7:11">
      <c r="G2629" s="20">
        <v>4.5745079694771382</v>
      </c>
      <c r="H2629" s="20">
        <v>1.1476714053130294E-2</v>
      </c>
      <c r="I2629" s="2">
        <f ca="1"/>
        <v>2622</v>
      </c>
      <c r="J2629">
        <f ca="1"/>
        <v>4.5745079694771382</v>
      </c>
      <c r="K2629">
        <f ca="1"/>
        <v>4.9460964824498254E-3</v>
      </c>
    </row>
    <row r="2630" spans="7:11">
      <c r="G2630" s="20">
        <v>4.5762532987291316</v>
      </c>
      <c r="H2630" s="20">
        <v>1.14853379111117E-2</v>
      </c>
      <c r="I2630" s="2">
        <f ca="1"/>
        <v>2623</v>
      </c>
      <c r="J2630">
        <f ca="1"/>
        <v>4.5762532987291316</v>
      </c>
      <c r="K2630">
        <f ca="1"/>
        <v>4.9336415266479985E-3</v>
      </c>
    </row>
    <row r="2631" spans="7:11">
      <c r="G2631" s="20">
        <v>4.5779986279811267</v>
      </c>
      <c r="H2631" s="20">
        <v>1.1493935710880919E-2</v>
      </c>
      <c r="I2631" s="2">
        <f ca="1"/>
        <v>2624</v>
      </c>
      <c r="J2631">
        <f ca="1"/>
        <v>4.5779986279811267</v>
      </c>
      <c r="K2631">
        <f ca="1"/>
        <v>4.9150044046995375E-3</v>
      </c>
    </row>
    <row r="2632" spans="7:11">
      <c r="G2632" s="20">
        <v>4.57974395723312</v>
      </c>
      <c r="H2632" s="20">
        <v>1.1502494513034105E-2</v>
      </c>
      <c r="I2632" s="2">
        <f ca="1"/>
        <v>2625</v>
      </c>
      <c r="J2632">
        <f ca="1"/>
        <v>4.57974395723312</v>
      </c>
      <c r="K2632">
        <f ca="1"/>
        <v>4.896550909807478E-3</v>
      </c>
    </row>
    <row r="2633" spans="7:11">
      <c r="G2633" s="20">
        <v>4.5814892864851151</v>
      </c>
      <c r="H2633" s="20">
        <v>1.151102789795445E-2</v>
      </c>
      <c r="I2633" s="2">
        <f ca="1"/>
        <v>2626</v>
      </c>
      <c r="J2633">
        <f ca="1"/>
        <v>4.5814892864851151</v>
      </c>
      <c r="K2633">
        <f ca="1"/>
        <v>4.8826863793332504E-3</v>
      </c>
    </row>
    <row r="2634" spans="7:11">
      <c r="G2634" s="20">
        <v>4.5832346157371102</v>
      </c>
      <c r="H2634" s="20">
        <v>1.1519538303766442E-2</v>
      </c>
      <c r="I2634" s="2">
        <f ca="1"/>
        <v>2627</v>
      </c>
      <c r="J2634">
        <f ca="1"/>
        <v>4.5832346157371102</v>
      </c>
      <c r="K2634">
        <f ca="1"/>
        <v>4.865437139274586E-3</v>
      </c>
    </row>
    <row r="2635" spans="7:11">
      <c r="G2635" s="20">
        <v>4.5849799449891036</v>
      </c>
      <c r="H2635" s="20">
        <v>1.152801147748028E-2</v>
      </c>
      <c r="I2635" s="2">
        <f ca="1"/>
        <v>2628</v>
      </c>
      <c r="J2635">
        <f ca="1"/>
        <v>4.5849799449891036</v>
      </c>
      <c r="K2635">
        <f ca="1"/>
        <v>4.84685194968039E-3</v>
      </c>
    </row>
    <row r="2636" spans="7:11">
      <c r="G2636" s="20">
        <v>4.5867252742410987</v>
      </c>
      <c r="H2636" s="20">
        <v>1.1536457008742167E-2</v>
      </c>
      <c r="I2636" s="2">
        <f ca="1"/>
        <v>2629</v>
      </c>
      <c r="J2636">
        <f ca="1"/>
        <v>4.5867252742410987</v>
      </c>
      <c r="K2636">
        <f ca="1"/>
        <v>4.8332989132098799E-3</v>
      </c>
    </row>
    <row r="2637" spans="7:11">
      <c r="G2637" s="20">
        <v>4.588470603493092</v>
      </c>
      <c r="H2637" s="20">
        <v>1.1544882873433995E-2</v>
      </c>
      <c r="I2637" s="2">
        <f ca="1"/>
        <v>2630</v>
      </c>
      <c r="J2637">
        <f ca="1"/>
        <v>4.588470603493092</v>
      </c>
      <c r="K2637">
        <f ca="1"/>
        <v>4.820082672974459E-3</v>
      </c>
    </row>
    <row r="2638" spans="7:11">
      <c r="G2638" s="20">
        <v>4.5902159327450871</v>
      </c>
      <c r="H2638" s="20">
        <v>1.1553282271314512E-2</v>
      </c>
      <c r="I2638" s="2">
        <f ca="1"/>
        <v>2631</v>
      </c>
      <c r="J2638">
        <f ca="1"/>
        <v>4.5902159327450871</v>
      </c>
      <c r="K2638">
        <f ca="1"/>
        <v>4.8010195593015063E-3</v>
      </c>
    </row>
    <row r="2639" spans="7:11">
      <c r="G2639" s="20">
        <v>4.5919612619970804</v>
      </c>
      <c r="H2639" s="20">
        <v>1.1561641593186485E-2</v>
      </c>
      <c r="I2639" s="2">
        <f ca="1"/>
        <v>2632</v>
      </c>
      <c r="J2639">
        <f ca="1"/>
        <v>4.5919612619970804</v>
      </c>
      <c r="K2639">
        <f ca="1"/>
        <v>4.7821323925598081E-3</v>
      </c>
    </row>
    <row r="2640" spans="7:11">
      <c r="G2640" s="20">
        <v>4.5937065912490755</v>
      </c>
      <c r="H2640" s="20">
        <v>1.15699750624178E-2</v>
      </c>
      <c r="I2640" s="2">
        <f ca="1"/>
        <v>2633</v>
      </c>
      <c r="J2640">
        <f ca="1"/>
        <v>4.5937065912490755</v>
      </c>
      <c r="K2640">
        <f ca="1"/>
        <v>4.7678961663356204E-3</v>
      </c>
    </row>
    <row r="2641" spans="7:11">
      <c r="G2641" s="20">
        <v>4.5954519205010689</v>
      </c>
      <c r="H2641" s="20">
        <v>1.1578284690485639E-2</v>
      </c>
      <c r="I2641" s="2">
        <f ca="1"/>
        <v>2634</v>
      </c>
      <c r="J2641">
        <f ca="1"/>
        <v>4.5954519205010689</v>
      </c>
      <c r="K2641">
        <f ca="1"/>
        <v>4.7501019426703693E-3</v>
      </c>
    </row>
    <row r="2642" spans="7:11">
      <c r="G2642" s="20">
        <v>4.5971972497530631</v>
      </c>
      <c r="H2642" s="20">
        <v>1.158655604615879E-2</v>
      </c>
      <c r="I2642" s="2">
        <f ca="1"/>
        <v>2635</v>
      </c>
      <c r="J2642">
        <f ca="1"/>
        <v>4.5971972497530631</v>
      </c>
      <c r="K2642">
        <f ca="1"/>
        <v>4.7309563255079467E-3</v>
      </c>
    </row>
    <row r="2643" spans="7:11">
      <c r="G2643" s="20">
        <v>4.5989425790050582</v>
      </c>
      <c r="H2643" s="20">
        <v>1.1594798843415275E-2</v>
      </c>
      <c r="I2643" s="2">
        <f ca="1"/>
        <v>2636</v>
      </c>
      <c r="J2643">
        <f ca="1"/>
        <v>4.5989425790050582</v>
      </c>
      <c r="K2643">
        <f ca="1"/>
        <v>4.7169639609115129E-3</v>
      </c>
    </row>
    <row r="2644" spans="7:11">
      <c r="G2644" s="20">
        <v>4.6006879082570533</v>
      </c>
      <c r="H2644" s="20">
        <v>1.1603021356521961E-2</v>
      </c>
      <c r="I2644" s="2">
        <f ca="1"/>
        <v>2637</v>
      </c>
      <c r="J2644">
        <f ca="1"/>
        <v>4.6006879082570533</v>
      </c>
      <c r="K2644">
        <f ca="1"/>
        <v>4.7033361207745924E-3</v>
      </c>
    </row>
    <row r="2645" spans="7:11">
      <c r="G2645" s="20">
        <v>4.6024332375090466</v>
      </c>
      <c r="H2645" s="20">
        <v>1.1611216583642373E-2</v>
      </c>
      <c r="I2645" s="2">
        <f ca="1"/>
        <v>2638</v>
      </c>
      <c r="J2645">
        <f ca="1"/>
        <v>4.6024332375090466</v>
      </c>
      <c r="K2645">
        <f ca="1"/>
        <v>4.683738103353461E-3</v>
      </c>
    </row>
    <row r="2646" spans="7:11">
      <c r="G2646" s="20">
        <v>4.6041785667610418</v>
      </c>
      <c r="H2646" s="20">
        <v>1.1619370686762887E-2</v>
      </c>
      <c r="I2646" s="2">
        <f ca="1"/>
        <v>2639</v>
      </c>
      <c r="J2646">
        <f ca="1"/>
        <v>4.6041785667610418</v>
      </c>
      <c r="K2646">
        <f ca="1"/>
        <v>4.6630440061329378E-3</v>
      </c>
    </row>
    <row r="2647" spans="7:11">
      <c r="G2647" s="20">
        <v>4.6059238960130351</v>
      </c>
      <c r="H2647" s="20">
        <v>1.1627493677856853E-2</v>
      </c>
      <c r="I2647" s="2">
        <f ca="1"/>
        <v>2640</v>
      </c>
      <c r="J2647">
        <f ca="1"/>
        <v>4.6059238960130351</v>
      </c>
      <c r="K2647">
        <f ca="1"/>
        <v>4.6466609082663419E-3</v>
      </c>
    </row>
    <row r="2648" spans="7:11">
      <c r="G2648" s="20">
        <v>4.6076692252650302</v>
      </c>
      <c r="H2648" s="20">
        <v>1.1635590593177477E-2</v>
      </c>
      <c r="I2648" s="2">
        <f ca="1"/>
        <v>2641</v>
      </c>
      <c r="J2648">
        <f ca="1"/>
        <v>4.6076692252650302</v>
      </c>
      <c r="K2648">
        <f ca="1"/>
        <v>4.6320521541018634E-3</v>
      </c>
    </row>
    <row r="2649" spans="7:11">
      <c r="G2649" s="20">
        <v>4.6094145545170244</v>
      </c>
      <c r="H2649" s="20">
        <v>1.1643662590099491E-2</v>
      </c>
      <c r="I2649" s="2">
        <f ca="1"/>
        <v>2642</v>
      </c>
      <c r="J2649">
        <f ca="1"/>
        <v>4.6094145545170244</v>
      </c>
      <c r="K2649">
        <f ca="1"/>
        <v>4.617252928229597E-3</v>
      </c>
    </row>
    <row r="2650" spans="7:11">
      <c r="G2650" s="20">
        <v>4.6111598837690195</v>
      </c>
      <c r="H2650" s="20">
        <v>1.1651707846376471E-2</v>
      </c>
      <c r="I2650" s="2">
        <f ca="1"/>
        <v>2643</v>
      </c>
      <c r="J2650">
        <f ca="1"/>
        <v>4.6111598837690195</v>
      </c>
      <c r="K2650">
        <f ca="1"/>
        <v>4.6015387661728158E-3</v>
      </c>
    </row>
    <row r="2651" spans="7:11">
      <c r="G2651" s="20">
        <v>4.6129052130210129</v>
      </c>
      <c r="H2651" s="20">
        <v>1.1659724990525065E-2</v>
      </c>
      <c r="I2651" s="2">
        <f ca="1"/>
        <v>2644</v>
      </c>
      <c r="J2651">
        <f ca="1"/>
        <v>4.6129052130210129</v>
      </c>
      <c r="K2651">
        <f ca="1"/>
        <v>4.5852688857324761E-3</v>
      </c>
    </row>
    <row r="2652" spans="7:11">
      <c r="G2652" s="20">
        <v>4.614650542273008</v>
      </c>
      <c r="H2652" s="20">
        <v>1.1667713454205527E-2</v>
      </c>
      <c r="I2652" s="2">
        <f ca="1"/>
        <v>2645</v>
      </c>
      <c r="J2652">
        <f ca="1"/>
        <v>4.614650542273008</v>
      </c>
      <c r="K2652">
        <f ca="1"/>
        <v>4.5638479439993355E-3</v>
      </c>
    </row>
    <row r="2653" spans="7:11">
      <c r="G2653" s="20">
        <v>4.6163958715250013</v>
      </c>
      <c r="H2653" s="20">
        <v>1.1675655825161696E-2</v>
      </c>
      <c r="I2653" s="2">
        <f ca="1"/>
        <v>2646</v>
      </c>
      <c r="J2653">
        <f ca="1"/>
        <v>4.6163958715250013</v>
      </c>
      <c r="K2653">
        <f ca="1"/>
        <v>4.5415129425906897E-3</v>
      </c>
    </row>
    <row r="2654" spans="7:11">
      <c r="G2654" s="20">
        <v>4.6181412007769964</v>
      </c>
      <c r="H2654" s="20">
        <v>1.1683566324979555E-2</v>
      </c>
      <c r="I2654" s="2">
        <f ca="1"/>
        <v>2647</v>
      </c>
      <c r="J2654">
        <f ca="1"/>
        <v>4.6181412007769964</v>
      </c>
      <c r="K2654">
        <f ca="1"/>
        <v>4.5271214166455508E-3</v>
      </c>
    </row>
    <row r="2655" spans="7:11">
      <c r="G2655" s="20">
        <v>4.6198865300289897</v>
      </c>
      <c r="H2655" s="20">
        <v>1.1691458460033298E-2</v>
      </c>
      <c r="I2655" s="2">
        <f ca="1"/>
        <v>2648</v>
      </c>
      <c r="J2655">
        <f ca="1"/>
        <v>4.6198865300289897</v>
      </c>
      <c r="K2655">
        <f ca="1"/>
        <v>4.5134389391210195E-3</v>
      </c>
    </row>
    <row r="2656" spans="7:11">
      <c r="G2656" s="20">
        <v>4.6216318592809849</v>
      </c>
      <c r="H2656" s="20">
        <v>1.169932119899463E-2</v>
      </c>
      <c r="I2656" s="2">
        <f ca="1"/>
        <v>2649</v>
      </c>
      <c r="J2656">
        <f ca="1"/>
        <v>4.6216318592809849</v>
      </c>
      <c r="K2656">
        <f ca="1"/>
        <v>4.4927363821095816E-3</v>
      </c>
    </row>
    <row r="2657" spans="7:11">
      <c r="G2657" s="20">
        <v>4.6233771885329782</v>
      </c>
      <c r="H2657" s="20">
        <v>1.1707141068491687E-2</v>
      </c>
      <c r="I2657" s="2">
        <f ca="1"/>
        <v>2650</v>
      </c>
      <c r="J2657">
        <f ca="1"/>
        <v>4.6233771885329782</v>
      </c>
      <c r="K2657">
        <f ca="1"/>
        <v>4.4722427724380506E-3</v>
      </c>
    </row>
    <row r="2658" spans="7:11">
      <c r="G2658" s="20">
        <v>4.6251225177849733</v>
      </c>
      <c r="H2658" s="20">
        <v>1.1714932271260142E-2</v>
      </c>
      <c r="I2658" s="2">
        <f ca="1"/>
        <v>2651</v>
      </c>
      <c r="J2658">
        <f ca="1"/>
        <v>4.6251225177849733</v>
      </c>
      <c r="K2658">
        <f ca="1"/>
        <v>4.456717273262115E-3</v>
      </c>
    </row>
    <row r="2659" spans="7:11">
      <c r="G2659" s="20">
        <v>4.6268678470369684</v>
      </c>
      <c r="H2659" s="20">
        <v>1.172269794654148E-2</v>
      </c>
      <c r="I2659" s="2">
        <f ca="1"/>
        <v>2652</v>
      </c>
      <c r="J2659">
        <f ca="1"/>
        <v>4.6268678470369684</v>
      </c>
      <c r="K2659">
        <f ca="1"/>
        <v>4.4377129316718836E-3</v>
      </c>
    </row>
    <row r="2660" spans="7:11">
      <c r="G2660" s="20">
        <v>4.6286131762889617</v>
      </c>
      <c r="H2660" s="20">
        <v>1.1730422811643342E-2</v>
      </c>
      <c r="I2660" s="2">
        <f ca="1"/>
        <v>2653</v>
      </c>
      <c r="J2660">
        <f ca="1"/>
        <v>4.6286131762889617</v>
      </c>
      <c r="K2660">
        <f ca="1"/>
        <v>4.4172755055904853E-3</v>
      </c>
    </row>
    <row r="2661" spans="7:11">
      <c r="G2661" s="20">
        <v>4.630358505540956</v>
      </c>
      <c r="H2661" s="20">
        <v>1.1738117146849525E-2</v>
      </c>
      <c r="I2661" s="2">
        <f ca="1"/>
        <v>2654</v>
      </c>
      <c r="J2661">
        <f ca="1"/>
        <v>4.630358505540956</v>
      </c>
      <c r="K2661">
        <f ca="1"/>
        <v>4.4021693324007736E-3</v>
      </c>
    </row>
    <row r="2662" spans="7:11">
      <c r="G2662" s="20">
        <v>4.6321038347929502</v>
      </c>
      <c r="H2662" s="20">
        <v>1.1745789281459484E-2</v>
      </c>
      <c r="I2662" s="2">
        <f ca="1"/>
        <v>2655</v>
      </c>
      <c r="J2662">
        <f ca="1"/>
        <v>4.6321038347929502</v>
      </c>
      <c r="K2662">
        <f ca="1"/>
        <v>4.3874008385198365E-3</v>
      </c>
    </row>
    <row r="2663" spans="7:11">
      <c r="G2663" s="20">
        <v>4.6338491640449444</v>
      </c>
      <c r="H2663" s="20">
        <v>1.175343206489691E-2</v>
      </c>
      <c r="I2663" s="2">
        <f ca="1"/>
        <v>2656</v>
      </c>
      <c r="J2663">
        <f ca="1"/>
        <v>4.6338491640449444</v>
      </c>
      <c r="K2663">
        <f ca="1"/>
        <v>4.3664196270562835E-3</v>
      </c>
    </row>
    <row r="2664" spans="7:11">
      <c r="G2664" s="20">
        <v>4.6355944932969386</v>
      </c>
      <c r="H2664" s="20">
        <v>1.176103096126265E-2</v>
      </c>
      <c r="I2664" s="2">
        <f ca="1"/>
        <v>2657</v>
      </c>
      <c r="J2664">
        <f ca="1"/>
        <v>4.6355944932969386</v>
      </c>
      <c r="K2664">
        <f ca="1"/>
        <v>4.3456282816222123E-3</v>
      </c>
    </row>
    <row r="2665" spans="7:11">
      <c r="G2665" s="20">
        <v>4.6373398225489328</v>
      </c>
      <c r="H2665" s="20">
        <v>1.1768601169213327E-2</v>
      </c>
      <c r="I2665" s="2">
        <f ca="1"/>
        <v>2658</v>
      </c>
      <c r="J2665">
        <f ca="1"/>
        <v>4.6373398225489328</v>
      </c>
      <c r="K2665">
        <f ca="1"/>
        <v>4.3298010564316773E-3</v>
      </c>
    </row>
    <row r="2666" spans="7:11">
      <c r="G2666" s="20">
        <v>4.6390851518009271</v>
      </c>
      <c r="H2666" s="20">
        <v>1.1776144818140861E-2</v>
      </c>
      <c r="I2666" s="2">
        <f ca="1"/>
        <v>2659</v>
      </c>
      <c r="J2666">
        <f ca="1"/>
        <v>4.6390851518009271</v>
      </c>
      <c r="K2666">
        <f ca="1"/>
        <v>4.3101760034583731E-3</v>
      </c>
    </row>
    <row r="2667" spans="7:11">
      <c r="G2667" s="20">
        <v>4.6408304810529213</v>
      </c>
      <c r="H2667" s="20">
        <v>1.1783646521733486E-2</v>
      </c>
      <c r="I2667" s="2">
        <f ca="1"/>
        <v>2660</v>
      </c>
      <c r="J2667">
        <f ca="1"/>
        <v>4.6408304810529213</v>
      </c>
      <c r="K2667">
        <f ca="1"/>
        <v>4.289112152269103E-3</v>
      </c>
    </row>
    <row r="2668" spans="7:11">
      <c r="G2668" s="20">
        <v>4.6425758103049164</v>
      </c>
      <c r="H2668" s="20">
        <v>1.1791116643949743E-2</v>
      </c>
      <c r="I2668" s="2">
        <f ca="1"/>
        <v>2661</v>
      </c>
      <c r="J2668">
        <f ca="1"/>
        <v>4.6425758103049164</v>
      </c>
      <c r="K2668">
        <f ca="1"/>
        <v>4.2735495836435655E-3</v>
      </c>
    </row>
    <row r="2669" spans="7:11">
      <c r="G2669" s="20">
        <v>4.6443211395569115</v>
      </c>
      <c r="H2669" s="20">
        <v>1.1798564023929856E-2</v>
      </c>
      <c r="I2669" s="2">
        <f ca="1"/>
        <v>2662</v>
      </c>
      <c r="J2669">
        <f ca="1"/>
        <v>4.6443211395569115</v>
      </c>
      <c r="K2669">
        <f ca="1"/>
        <v>4.2583797699692347E-3</v>
      </c>
    </row>
    <row r="2670" spans="7:11">
      <c r="G2670" s="20">
        <v>4.6460664688089048</v>
      </c>
      <c r="H2670" s="20">
        <v>1.1805981193506999E-2</v>
      </c>
      <c r="I2670" s="2">
        <f ca="1"/>
        <v>2663</v>
      </c>
      <c r="J2670">
        <f ca="1"/>
        <v>4.6460664688089048</v>
      </c>
      <c r="K2670">
        <f ca="1"/>
        <v>4.2368437067836981E-3</v>
      </c>
    </row>
    <row r="2671" spans="7:11">
      <c r="G2671" s="20">
        <v>4.6478117980608999</v>
      </c>
      <c r="H2671" s="20">
        <v>1.181335339844501E-2</v>
      </c>
      <c r="I2671" s="2">
        <f ca="1"/>
        <v>2664</v>
      </c>
      <c r="J2671">
        <f ca="1"/>
        <v>4.6478117980608999</v>
      </c>
      <c r="K2671">
        <f ca="1"/>
        <v>4.2141417319432181E-3</v>
      </c>
    </row>
    <row r="2672" spans="7:11">
      <c r="G2672" s="20">
        <v>4.6495571273128933</v>
      </c>
      <c r="H2672" s="20">
        <v>1.1820691323180619E-2</v>
      </c>
      <c r="I2672" s="2">
        <f ca="1"/>
        <v>2665</v>
      </c>
      <c r="J2672">
        <f ca="1"/>
        <v>4.6495571273128933</v>
      </c>
      <c r="K2672">
        <f ca="1"/>
        <v>4.1960409729516791E-3</v>
      </c>
    </row>
    <row r="2673" spans="7:11">
      <c r="G2673" s="20">
        <v>4.6513024565648875</v>
      </c>
      <c r="H2673" s="20">
        <v>1.1828000344550324E-2</v>
      </c>
      <c r="I2673" s="2">
        <f ca="1"/>
        <v>2666</v>
      </c>
      <c r="J2673">
        <f ca="1"/>
        <v>4.6513024565648875</v>
      </c>
      <c r="K2673">
        <f ca="1"/>
        <v>4.1774872506998729E-3</v>
      </c>
    </row>
    <row r="2674" spans="7:11">
      <c r="G2674" s="20">
        <v>4.6530477858168826</v>
      </c>
      <c r="H2674" s="20">
        <v>1.1835273504577581E-2</v>
      </c>
      <c r="I2674" s="2">
        <f ca="1"/>
        <v>2667</v>
      </c>
      <c r="J2674">
        <f ca="1"/>
        <v>4.6530477858168826</v>
      </c>
      <c r="K2674">
        <f ca="1"/>
        <v>4.1579789490929159E-3</v>
      </c>
    </row>
    <row r="2675" spans="7:11">
      <c r="G2675" s="20">
        <v>4.6547931150688777</v>
      </c>
      <c r="H2675" s="20">
        <v>1.1842514429128388E-2</v>
      </c>
      <c r="I2675" s="2">
        <f ca="1"/>
        <v>2668</v>
      </c>
      <c r="J2675">
        <f ca="1"/>
        <v>4.6547931150688777</v>
      </c>
      <c r="K2675">
        <f ca="1"/>
        <v>4.1414182087265829E-3</v>
      </c>
    </row>
    <row r="2676" spans="7:11">
      <c r="G2676" s="20">
        <v>4.6565384443208711</v>
      </c>
      <c r="H2676" s="20">
        <v>1.1849729781266445E-2</v>
      </c>
      <c r="I2676" s="2">
        <f ca="1"/>
        <v>2669</v>
      </c>
      <c r="J2676">
        <f ca="1"/>
        <v>4.6565384443208711</v>
      </c>
      <c r="K2676">
        <f ca="1"/>
        <v>4.1253989213087087E-3</v>
      </c>
    </row>
    <row r="2677" spans="7:11">
      <c r="G2677" s="20">
        <v>4.6582837735728662</v>
      </c>
      <c r="H2677" s="20">
        <v>1.1856914787955398E-2</v>
      </c>
      <c r="I2677" s="2">
        <f ca="1"/>
        <v>2670</v>
      </c>
      <c r="J2677">
        <f ca="1"/>
        <v>4.6582837735728662</v>
      </c>
      <c r="K2677">
        <f ca="1"/>
        <v>4.1035705521210893E-3</v>
      </c>
    </row>
    <row r="2678" spans="7:11">
      <c r="G2678" s="20">
        <v>4.6600291028248595</v>
      </c>
      <c r="H2678" s="20">
        <v>1.1864053944710923E-2</v>
      </c>
      <c r="I2678" s="2">
        <f ca="1"/>
        <v>2671</v>
      </c>
      <c r="J2678">
        <f ca="1"/>
        <v>4.6600291028248595</v>
      </c>
      <c r="K2678">
        <f ca="1"/>
        <v>4.0805071419433977E-3</v>
      </c>
    </row>
    <row r="2679" spans="7:11">
      <c r="G2679" s="20">
        <v>4.6617744320768546</v>
      </c>
      <c r="H2679" s="20">
        <v>1.1871158444911009E-2</v>
      </c>
      <c r="I2679" s="2">
        <f ca="1"/>
        <v>2672</v>
      </c>
      <c r="J2679">
        <f ca="1"/>
        <v>4.6617744320768546</v>
      </c>
      <c r="K2679">
        <f ca="1"/>
        <v>4.0642411565529491E-3</v>
      </c>
    </row>
    <row r="2680" spans="7:11">
      <c r="G2680" s="20">
        <v>4.6635197613288479</v>
      </c>
      <c r="H2680" s="20">
        <v>1.1878240822666305E-2</v>
      </c>
      <c r="I2680" s="2">
        <f ca="1"/>
        <v>2673</v>
      </c>
      <c r="J2680">
        <f ca="1"/>
        <v>4.6635197613288479</v>
      </c>
      <c r="K2680">
        <f ca="1"/>
        <v>4.0487527678602173E-3</v>
      </c>
    </row>
    <row r="2681" spans="7:11">
      <c r="G2681" s="20">
        <v>4.665265090580843</v>
      </c>
      <c r="H2681" s="20">
        <v>1.1885291258190687E-2</v>
      </c>
      <c r="I2681" s="2">
        <f ca="1"/>
        <v>2674</v>
      </c>
      <c r="J2681">
        <f ca="1"/>
        <v>4.665265090580843</v>
      </c>
      <c r="K2681">
        <f ca="1"/>
        <v>4.0262367951866568E-3</v>
      </c>
    </row>
    <row r="2682" spans="7:11">
      <c r="G2682" s="20">
        <v>4.6670104198328364</v>
      </c>
      <c r="H2682" s="20">
        <v>1.1892295040374494E-2</v>
      </c>
      <c r="I2682" s="2">
        <f ca="1"/>
        <v>2675</v>
      </c>
      <c r="J2682">
        <f ca="1"/>
        <v>4.6670104198328364</v>
      </c>
      <c r="K2682">
        <f ca="1"/>
        <v>4.0039356017593144E-3</v>
      </c>
    </row>
    <row r="2683" spans="7:11">
      <c r="G2683" s="20">
        <v>4.6687557490848315</v>
      </c>
      <c r="H2683" s="20">
        <v>1.189926763004839E-2</v>
      </c>
      <c r="I2683" s="2">
        <f ca="1"/>
        <v>2676</v>
      </c>
      <c r="J2683">
        <f ca="1"/>
        <v>4.6687557490848315</v>
      </c>
      <c r="K2683">
        <f ca="1"/>
        <v>3.9868608871759014E-3</v>
      </c>
    </row>
    <row r="2684" spans="7:11">
      <c r="G2684" s="20">
        <v>4.6705010783368257</v>
      </c>
      <c r="H2684" s="20">
        <v>1.1906211810234537E-2</v>
      </c>
      <c r="I2684" s="2">
        <f ca="1"/>
        <v>2677</v>
      </c>
      <c r="J2684">
        <f ca="1"/>
        <v>4.6705010783368257</v>
      </c>
      <c r="K2684">
        <f ca="1"/>
        <v>3.9694951124162004E-3</v>
      </c>
    </row>
    <row r="2685" spans="7:11">
      <c r="G2685" s="20">
        <v>4.6722464075888199</v>
      </c>
      <c r="H2685" s="20">
        <v>1.1913123781919086E-2</v>
      </c>
      <c r="I2685" s="2">
        <f ca="1"/>
        <v>2678</v>
      </c>
      <c r="J2685">
        <f ca="1"/>
        <v>4.6722464075888199</v>
      </c>
      <c r="K2685">
        <f ca="1"/>
        <v>3.9512071382612037E-3</v>
      </c>
    </row>
    <row r="2686" spans="7:11">
      <c r="G2686" s="20">
        <v>4.6739917368408141</v>
      </c>
      <c r="H2686" s="20">
        <v>1.1920004125032729E-2</v>
      </c>
      <c r="I2686" s="2">
        <f ca="1"/>
        <v>2679</v>
      </c>
      <c r="J2686">
        <f ca="1"/>
        <v>4.6739917368408141</v>
      </c>
      <c r="K2686">
        <f ca="1"/>
        <v>3.932579582410901E-3</v>
      </c>
    </row>
    <row r="2687" spans="7:11">
      <c r="G2687" s="20">
        <v>4.6757370660928084</v>
      </c>
      <c r="H2687" s="20">
        <v>1.192685107428104E-2</v>
      </c>
      <c r="I2687" s="2">
        <f ca="1"/>
        <v>2680</v>
      </c>
      <c r="J2687">
        <f ca="1"/>
        <v>4.6757370660928084</v>
      </c>
      <c r="K2687">
        <f ca="1"/>
        <v>3.9134542398616993E-3</v>
      </c>
    </row>
    <row r="2688" spans="7:11">
      <c r="G2688" s="20">
        <v>4.6774823953448026</v>
      </c>
      <c r="H2688" s="20">
        <v>1.1933664657355071E-2</v>
      </c>
      <c r="I2688" s="2">
        <f ca="1"/>
        <v>2681</v>
      </c>
      <c r="J2688">
        <f ca="1"/>
        <v>4.6774823953448026</v>
      </c>
      <c r="K2688">
        <f ca="1"/>
        <v>3.8886822898357054E-3</v>
      </c>
    </row>
    <row r="2689" spans="7:11">
      <c r="G2689" s="20">
        <v>4.6792277245967968</v>
      </c>
      <c r="H2689" s="20">
        <v>1.1940425136185364E-2</v>
      </c>
      <c r="I2689" s="2">
        <f ca="1"/>
        <v>2682</v>
      </c>
      <c r="J2689">
        <f ca="1"/>
        <v>4.6792277245967968</v>
      </c>
      <c r="K2689">
        <f ca="1"/>
        <v>3.8640700893731658E-3</v>
      </c>
    </row>
    <row r="2690" spans="7:11">
      <c r="G2690" s="20">
        <v>4.6809730538487919</v>
      </c>
      <c r="H2690" s="20">
        <v>1.1947152806472553E-2</v>
      </c>
      <c r="I2690" s="2">
        <f ca="1"/>
        <v>2683</v>
      </c>
      <c r="J2690">
        <f ca="1"/>
        <v>4.6809730538487919</v>
      </c>
      <c r="K2690">
        <f ca="1"/>
        <v>3.8465137493464583E-3</v>
      </c>
    </row>
    <row r="2691" spans="7:11">
      <c r="G2691" s="20">
        <v>4.6827183831007853</v>
      </c>
      <c r="H2691" s="20">
        <v>1.1953852002115229E-2</v>
      </c>
      <c r="I2691" s="2">
        <f ca="1"/>
        <v>2684</v>
      </c>
      <c r="J2691">
        <f ca="1"/>
        <v>4.6827183831007853</v>
      </c>
      <c r="K2691">
        <f ca="1"/>
        <v>3.8254979256143644E-3</v>
      </c>
    </row>
    <row r="2692" spans="7:11">
      <c r="G2692" s="20">
        <v>4.6844637123527804</v>
      </c>
      <c r="H2692" s="20">
        <v>1.1960506313338589E-2</v>
      </c>
      <c r="I2692" s="2">
        <f ca="1"/>
        <v>2685</v>
      </c>
      <c r="J2692">
        <f ca="1"/>
        <v>4.6844637123527804</v>
      </c>
      <c r="K2692">
        <f ca="1"/>
        <v>3.8028674322400499E-3</v>
      </c>
    </row>
    <row r="2693" spans="7:11">
      <c r="G2693" s="20">
        <v>4.6862090416047746</v>
      </c>
      <c r="H2693" s="20">
        <v>1.1967126513657122E-2</v>
      </c>
      <c r="I2693" s="2">
        <f ca="1"/>
        <v>2686</v>
      </c>
      <c r="J2693">
        <f ca="1"/>
        <v>4.6862090416047746</v>
      </c>
      <c r="K2693">
        <f ca="1"/>
        <v>3.7857006858221147E-3</v>
      </c>
    </row>
    <row r="2694" spans="7:11">
      <c r="G2694" s="20">
        <v>4.6879543708567688</v>
      </c>
      <c r="H2694" s="20">
        <v>1.1973720901631109E-2</v>
      </c>
      <c r="I2694" s="2">
        <f ca="1"/>
        <v>2687</v>
      </c>
      <c r="J2694">
        <f ca="1"/>
        <v>4.6879543708567688</v>
      </c>
      <c r="K2694">
        <f ca="1"/>
        <v>3.768840374604007E-3</v>
      </c>
    </row>
    <row r="2695" spans="7:11">
      <c r="G2695" s="20">
        <v>4.689699700108763</v>
      </c>
      <c r="H2695" s="20">
        <v>1.1980282248360908E-2</v>
      </c>
      <c r="I2695" s="2">
        <f ca="1"/>
        <v>2688</v>
      </c>
      <c r="J2695">
        <f ca="1"/>
        <v>4.689699700108763</v>
      </c>
      <c r="K2695">
        <f ca="1"/>
        <v>3.7453602088776076E-3</v>
      </c>
    </row>
    <row r="2696" spans="7:11">
      <c r="G2696" s="20">
        <v>4.6914450293607581</v>
      </c>
      <c r="H2696" s="20">
        <v>1.198679467509473E-2</v>
      </c>
      <c r="I2696" s="2">
        <f ca="1"/>
        <v>2689</v>
      </c>
      <c r="J2696">
        <f ca="1"/>
        <v>4.6914450293607581</v>
      </c>
      <c r="K2696">
        <f ca="1"/>
        <v>3.7206324027485144E-3</v>
      </c>
    </row>
    <row r="2697" spans="7:11">
      <c r="G2697" s="20">
        <v>4.6931903586127515</v>
      </c>
      <c r="H2697" s="20">
        <v>1.1993269705497777E-2</v>
      </c>
      <c r="I2697" s="2">
        <f ca="1"/>
        <v>2690</v>
      </c>
      <c r="J2697">
        <f ca="1"/>
        <v>4.6931903586127515</v>
      </c>
      <c r="K2697">
        <f ca="1"/>
        <v>3.7007909865735002E-3</v>
      </c>
    </row>
    <row r="2698" spans="7:11">
      <c r="G2698" s="20">
        <v>4.6949356878647466</v>
      </c>
      <c r="H2698" s="20">
        <v>1.1999712872623497E-2</v>
      </c>
      <c r="I2698" s="2">
        <f ca="1"/>
        <v>2691</v>
      </c>
      <c r="J2698">
        <f ca="1"/>
        <v>4.6949356878647466</v>
      </c>
      <c r="K2698">
        <f ca="1"/>
        <v>3.6804469809542345E-3</v>
      </c>
    </row>
    <row r="2699" spans="7:11">
      <c r="G2699" s="20">
        <v>4.6966810171167408</v>
      </c>
      <c r="H2699" s="20">
        <v>1.2006116889050327E-2</v>
      </c>
      <c r="I2699" s="2">
        <f ca="1"/>
        <v>2692</v>
      </c>
      <c r="J2699">
        <f ca="1"/>
        <v>4.6966810171167408</v>
      </c>
      <c r="K2699">
        <f ca="1"/>
        <v>3.6591124032907731E-3</v>
      </c>
    </row>
    <row r="2700" spans="7:11">
      <c r="G2700" s="20">
        <v>4.6984263463687359</v>
      </c>
      <c r="H2700" s="20">
        <v>1.2012485584451097E-2</v>
      </c>
      <c r="I2700" s="2">
        <f ca="1"/>
        <v>2693</v>
      </c>
      <c r="J2700">
        <f ca="1"/>
        <v>4.6984263463687359</v>
      </c>
      <c r="K2700">
        <f ca="1"/>
        <v>3.6409108654278334E-3</v>
      </c>
    </row>
    <row r="2701" spans="7:11">
      <c r="G2701" s="20">
        <v>4.7001716756207292</v>
      </c>
      <c r="H2701" s="20">
        <v>1.2018826065524997E-2</v>
      </c>
      <c r="I2701" s="2">
        <f ca="1"/>
        <v>2694</v>
      </c>
      <c r="J2701">
        <f ca="1"/>
        <v>4.7001716756207292</v>
      </c>
      <c r="K2701">
        <f ca="1"/>
        <v>3.6232924967741016E-3</v>
      </c>
    </row>
    <row r="2702" spans="7:11">
      <c r="G2702" s="20">
        <v>4.7019170048727243</v>
      </c>
      <c r="H2702" s="20">
        <v>1.2025133261217399E-2</v>
      </c>
      <c r="I2702" s="2">
        <f ca="1"/>
        <v>2695</v>
      </c>
      <c r="J2702">
        <f ca="1"/>
        <v>4.7019170048727243</v>
      </c>
      <c r="K2702">
        <f ca="1"/>
        <v>3.6040685026115546E-3</v>
      </c>
    </row>
    <row r="2703" spans="7:11">
      <c r="G2703" s="20">
        <v>4.7036623341247186</v>
      </c>
      <c r="H2703" s="20">
        <v>1.2031406637892598E-2</v>
      </c>
      <c r="I2703" s="2">
        <f ca="1"/>
        <v>2696</v>
      </c>
      <c r="J2703">
        <f ca="1"/>
        <v>4.7036623341247186</v>
      </c>
      <c r="K2703">
        <f ca="1"/>
        <v>3.584294324877169E-3</v>
      </c>
    </row>
    <row r="2704" spans="7:11">
      <c r="G2704" s="20">
        <v>4.7054076633767128</v>
      </c>
      <c r="H2704" s="20">
        <v>1.2037644808683329E-2</v>
      </c>
      <c r="I2704" s="2">
        <f ca="1"/>
        <v>2697</v>
      </c>
      <c r="J2704">
        <f ca="1"/>
        <v>4.7054076633767128</v>
      </c>
      <c r="K2704">
        <f ca="1"/>
        <v>3.5639446285120049E-3</v>
      </c>
    </row>
    <row r="2705" spans="7:11">
      <c r="G2705" s="20">
        <v>4.707152992628707</v>
      </c>
      <c r="H2705" s="20">
        <v>1.2043847151517857E-2</v>
      </c>
      <c r="I2705" s="2">
        <f ca="1"/>
        <v>2698</v>
      </c>
      <c r="J2705">
        <f ca="1"/>
        <v>4.707152992628707</v>
      </c>
      <c r="K2705">
        <f ca="1"/>
        <v>3.5432833495065317E-3</v>
      </c>
    </row>
    <row r="2706" spans="7:11">
      <c r="G2706" s="20">
        <v>4.7088983218807012</v>
      </c>
      <c r="H2706" s="20">
        <v>1.2050013200839324E-2</v>
      </c>
      <c r="I2706" s="2">
        <f ca="1"/>
        <v>2699</v>
      </c>
      <c r="J2706">
        <f ca="1"/>
        <v>4.7088983218807012</v>
      </c>
      <c r="K2706">
        <f ca="1"/>
        <v>3.5164237923419987E-3</v>
      </c>
    </row>
    <row r="2707" spans="7:11">
      <c r="G2707" s="20">
        <v>4.7106436511326955</v>
      </c>
      <c r="H2707" s="20">
        <v>1.2056121786132223E-2</v>
      </c>
      <c r="I2707" s="2">
        <f ca="1"/>
        <v>2700</v>
      </c>
      <c r="J2707">
        <f ca="1"/>
        <v>4.7106436511326955</v>
      </c>
      <c r="K2707">
        <f ca="1"/>
        <v>3.4897367417280668E-3</v>
      </c>
    </row>
    <row r="2708" spans="7:11">
      <c r="G2708" s="20">
        <v>4.7123889803846897</v>
      </c>
      <c r="H2708" s="20">
        <v>1.2062194680073518E-2</v>
      </c>
      <c r="I2708" s="2">
        <f ca="1"/>
        <v>2701</v>
      </c>
      <c r="J2708">
        <f ca="1"/>
        <v>4.7123889803846897</v>
      </c>
      <c r="K2708">
        <f ca="1"/>
        <v>3.4708900322910595E-3</v>
      </c>
    </row>
    <row r="2709" spans="7:11">
      <c r="G2709" s="20">
        <v>4.7141343096366848</v>
      </c>
      <c r="H2709" s="20">
        <v>1.2068237477939852E-2</v>
      </c>
      <c r="I2709" s="2">
        <f ca="1"/>
        <v>2702</v>
      </c>
      <c r="J2709">
        <f ca="1"/>
        <v>4.7141343096366848</v>
      </c>
      <c r="K2709">
        <f ca="1"/>
        <v>3.4486994989832592E-3</v>
      </c>
    </row>
    <row r="2710" spans="7:11">
      <c r="G2710" s="20">
        <v>4.7158796388886781</v>
      </c>
      <c r="H2710" s="20">
        <v>1.2074232912307345E-2</v>
      </c>
      <c r="I2710" s="2">
        <f ca="1"/>
        <v>2703</v>
      </c>
      <c r="J2710">
        <f ca="1"/>
        <v>4.7158796388886781</v>
      </c>
      <c r="K2710">
        <f ca="1"/>
        <v>3.4247920005056141E-3</v>
      </c>
    </row>
    <row r="2711" spans="7:11">
      <c r="G2711" s="20">
        <v>4.7176249681406732</v>
      </c>
      <c r="H2711" s="20">
        <v>1.2080192257260808E-2</v>
      </c>
      <c r="I2711" s="2">
        <f ca="1"/>
        <v>2704</v>
      </c>
      <c r="J2711">
        <f ca="1"/>
        <v>4.7176249681406732</v>
      </c>
      <c r="K2711">
        <f ca="1"/>
        <v>3.4064739853894551E-3</v>
      </c>
    </row>
    <row r="2712" spans="7:11">
      <c r="G2712" s="20">
        <v>4.7193702973926666</v>
      </c>
      <c r="H2712" s="20">
        <v>1.208612374969306E-2</v>
      </c>
      <c r="I2712" s="2">
        <f ca="1"/>
        <v>2705</v>
      </c>
      <c r="J2712">
        <f ca="1"/>
        <v>4.7193702973926666</v>
      </c>
      <c r="K2712">
        <f ca="1"/>
        <v>3.388426814930044E-3</v>
      </c>
    </row>
    <row r="2713" spans="7:11">
      <c r="G2713" s="20">
        <v>4.7211156266446617</v>
      </c>
      <c r="H2713" s="20">
        <v>1.2092020098137486E-2</v>
      </c>
      <c r="I2713" s="2">
        <f ca="1"/>
        <v>2706</v>
      </c>
      <c r="J2713">
        <f ca="1"/>
        <v>4.7211156266446617</v>
      </c>
      <c r="K2713">
        <f ca="1"/>
        <v>3.3635152422260809E-3</v>
      </c>
    </row>
    <row r="2714" spans="7:11">
      <c r="G2714" s="20">
        <v>4.722860955896655</v>
      </c>
      <c r="H2714" s="20">
        <v>1.2097864632776631E-2</v>
      </c>
      <c r="I2714" s="2">
        <f ca="1"/>
        <v>2707</v>
      </c>
      <c r="J2714">
        <f ca="1"/>
        <v>4.722860955896655</v>
      </c>
      <c r="K2714">
        <f ca="1"/>
        <v>3.3388221501323865E-3</v>
      </c>
    </row>
    <row r="2715" spans="7:11">
      <c r="G2715" s="20">
        <v>4.7246062851486501</v>
      </c>
      <c r="H2715" s="20">
        <v>1.2103674786069151E-2</v>
      </c>
      <c r="I2715" s="2">
        <f ca="1"/>
        <v>2708</v>
      </c>
      <c r="J2715">
        <f ca="1"/>
        <v>4.7246062851486501</v>
      </c>
      <c r="K2715">
        <f ca="1"/>
        <v>3.3197623340391457E-3</v>
      </c>
    </row>
    <row r="2716" spans="7:11">
      <c r="G2716" s="20">
        <v>4.7263516144006434</v>
      </c>
      <c r="H2716" s="20">
        <v>1.2109452789399166E-2</v>
      </c>
      <c r="I2716" s="2">
        <f ca="1"/>
        <v>2709</v>
      </c>
      <c r="J2716">
        <f ca="1"/>
        <v>4.7263516144006434</v>
      </c>
      <c r="K2716">
        <f ca="1"/>
        <v>3.2963495200079929E-3</v>
      </c>
    </row>
    <row r="2717" spans="7:11">
      <c r="G2717" s="20">
        <v>4.7280969436526386</v>
      </c>
      <c r="H2717" s="20">
        <v>1.2115181216553285E-2</v>
      </c>
      <c r="I2717" s="2">
        <f ca="1"/>
        <v>2710</v>
      </c>
      <c r="J2717">
        <f ca="1"/>
        <v>4.7280969436526386</v>
      </c>
      <c r="K2717">
        <f ca="1"/>
        <v>3.2713140706057378E-3</v>
      </c>
    </row>
    <row r="2718" spans="7:11">
      <c r="G2718" s="20">
        <v>4.7298422729046328</v>
      </c>
      <c r="H2718" s="20">
        <v>1.2120871829678945E-2</v>
      </c>
      <c r="I2718" s="2">
        <f ca="1"/>
        <v>2711</v>
      </c>
      <c r="J2718">
        <f ca="1"/>
        <v>4.7298422729046328</v>
      </c>
      <c r="K2718">
        <f ca="1"/>
        <v>3.2525462305916719E-3</v>
      </c>
    </row>
    <row r="2719" spans="7:11">
      <c r="G2719" s="20">
        <v>4.7315876021566279</v>
      </c>
      <c r="H2719" s="20">
        <v>1.2126534744712718E-2</v>
      </c>
      <c r="I2719" s="2">
        <f ca="1"/>
        <v>2712</v>
      </c>
      <c r="J2719">
        <f ca="1"/>
        <v>4.7315876021566279</v>
      </c>
      <c r="K2719">
        <f ca="1"/>
        <v>3.2342413450610068E-3</v>
      </c>
    </row>
    <row r="2720" spans="7:11">
      <c r="G2720" s="20">
        <v>4.7333329314086212</v>
      </c>
      <c r="H2720" s="20">
        <v>1.2132161461734034E-2</v>
      </c>
      <c r="I2720" s="2">
        <f ca="1"/>
        <v>2713</v>
      </c>
      <c r="J2720">
        <f ca="1"/>
        <v>4.7333329314086212</v>
      </c>
      <c r="K2720">
        <f ca="1"/>
        <v>3.208709656802965E-3</v>
      </c>
    </row>
    <row r="2721" spans="7:11">
      <c r="G2721" s="20">
        <v>4.7350782606606163</v>
      </c>
      <c r="H2721" s="20">
        <v>1.2137735254363067E-2</v>
      </c>
      <c r="I2721" s="2">
        <f ca="1"/>
        <v>2714</v>
      </c>
      <c r="J2721">
        <f ca="1"/>
        <v>4.7350782606606163</v>
      </c>
      <c r="K2721">
        <f ca="1"/>
        <v>3.1818626514490017E-3</v>
      </c>
    </row>
    <row r="2722" spans="7:11">
      <c r="G2722" s="20">
        <v>4.7368235899126097</v>
      </c>
      <c r="H2722" s="20">
        <v>1.2143268257656837E-2</v>
      </c>
      <c r="I2722" s="2">
        <f ca="1"/>
        <v>2715</v>
      </c>
      <c r="J2722">
        <f ca="1"/>
        <v>4.7368235899126097</v>
      </c>
      <c r="K2722">
        <f ca="1"/>
        <v>3.1602476581092166E-3</v>
      </c>
    </row>
    <row r="2723" spans="7:11">
      <c r="G2723" s="20">
        <v>4.7385689191646048</v>
      </c>
      <c r="H2723" s="20">
        <v>1.2148766599725556E-2</v>
      </c>
      <c r="I2723" s="2">
        <f ca="1"/>
        <v>2716</v>
      </c>
      <c r="J2723">
        <f ca="1"/>
        <v>4.7385689191646048</v>
      </c>
      <c r="K2723">
        <f ca="1"/>
        <v>3.1381288770987487E-3</v>
      </c>
    </row>
    <row r="2724" spans="7:11">
      <c r="G2724" s="20">
        <v>4.7403142484165999</v>
      </c>
      <c r="H2724" s="20">
        <v>1.2154222393908299E-2</v>
      </c>
      <c r="I2724" s="2">
        <f ca="1"/>
        <v>2717</v>
      </c>
      <c r="J2724">
        <f ca="1"/>
        <v>4.7403142484165999</v>
      </c>
      <c r="K2724">
        <f ca="1"/>
        <v>3.1149340085811555E-3</v>
      </c>
    </row>
    <row r="2725" spans="7:11">
      <c r="G2725" s="20">
        <v>4.7420595776685941</v>
      </c>
      <c r="H2725" s="20">
        <v>1.2159639770611975E-2</v>
      </c>
      <c r="I2725" s="2">
        <f ca="1"/>
        <v>2718</v>
      </c>
      <c r="J2725">
        <f ca="1"/>
        <v>4.7420595776685941</v>
      </c>
      <c r="K2725">
        <f ca="1"/>
        <v>3.0950923068025658E-3</v>
      </c>
    </row>
    <row r="2726" spans="7:11">
      <c r="G2726" s="20">
        <v>4.7438049069205883</v>
      </c>
      <c r="H2726" s="20">
        <v>1.2165026304189669E-2</v>
      </c>
      <c r="I2726" s="2">
        <f ca="1"/>
        <v>2719</v>
      </c>
      <c r="J2726">
        <f ca="1"/>
        <v>4.7438049069205883</v>
      </c>
      <c r="K2726">
        <f ca="1"/>
        <v>3.0758731662687598E-3</v>
      </c>
    </row>
    <row r="2727" spans="7:11">
      <c r="G2727" s="20">
        <v>4.7455502361725825</v>
      </c>
      <c r="H2727" s="20">
        <v>1.2170376593437001E-2</v>
      </c>
      <c r="I2727" s="2">
        <f ca="1"/>
        <v>2720</v>
      </c>
      <c r="J2727">
        <f ca="1"/>
        <v>4.7455502361725825</v>
      </c>
      <c r="K2727">
        <f ca="1"/>
        <v>3.0500723092279887E-3</v>
      </c>
    </row>
    <row r="2728" spans="7:11">
      <c r="G2728" s="20">
        <v>4.7472955654245768</v>
      </c>
      <c r="H2728" s="20">
        <v>1.2175673065033655E-2</v>
      </c>
      <c r="I2728" s="2">
        <f ca="1"/>
        <v>2721</v>
      </c>
      <c r="J2728">
        <f ca="1"/>
        <v>4.7472955654245768</v>
      </c>
      <c r="K2728">
        <f ca="1"/>
        <v>3.0228792468427173E-3</v>
      </c>
    </row>
    <row r="2729" spans="7:11">
      <c r="G2729" s="20">
        <v>4.749040894676571</v>
      </c>
      <c r="H2729" s="20">
        <v>1.2180928432586523E-2</v>
      </c>
      <c r="I2729" s="2">
        <f ca="1"/>
        <v>2722</v>
      </c>
      <c r="J2729">
        <f ca="1"/>
        <v>4.749040894676571</v>
      </c>
      <c r="K2729">
        <f ca="1"/>
        <v>3.0034052062441682E-3</v>
      </c>
    </row>
    <row r="2730" spans="7:11">
      <c r="G2730" s="20">
        <v>4.7507862239285643</v>
      </c>
      <c r="H2730" s="20">
        <v>1.2186156926957752E-2</v>
      </c>
      <c r="I2730" s="2">
        <f ca="1"/>
        <v>2723</v>
      </c>
      <c r="J2730">
        <f ca="1"/>
        <v>4.7507862239285643</v>
      </c>
      <c r="K2730">
        <f ca="1"/>
        <v>2.9848214889895935E-3</v>
      </c>
    </row>
    <row r="2731" spans="7:11">
      <c r="G2731" s="20">
        <v>4.7525315531805594</v>
      </c>
      <c r="H2731" s="20">
        <v>1.2191347425099952E-2</v>
      </c>
      <c r="I2731" s="2">
        <f ca="1"/>
        <v>2724</v>
      </c>
      <c r="J2731">
        <f ca="1"/>
        <v>4.7525315531805594</v>
      </c>
      <c r="K2731">
        <f ca="1"/>
        <v>2.9582772765621114E-3</v>
      </c>
    </row>
    <row r="2732" spans="7:11">
      <c r="G2732" s="20">
        <v>4.7542768824325528</v>
      </c>
      <c r="H2732" s="20">
        <v>1.2196483262690339E-2</v>
      </c>
      <c r="I2732" s="2">
        <f ca="1"/>
        <v>2725</v>
      </c>
      <c r="J2732">
        <f ca="1"/>
        <v>4.7542768824325528</v>
      </c>
      <c r="K2732">
        <f ca="1"/>
        <v>2.931985543129611E-3</v>
      </c>
    </row>
    <row r="2733" spans="7:11">
      <c r="G2733" s="20">
        <v>4.7560222116845479</v>
      </c>
      <c r="H2733" s="20">
        <v>1.2201581985369648E-2</v>
      </c>
      <c r="I2733" s="2">
        <f ca="1"/>
        <v>2726</v>
      </c>
      <c r="J2733">
        <f ca="1"/>
        <v>4.7560222116845479</v>
      </c>
      <c r="K2733">
        <f ca="1"/>
        <v>2.9116290250928846E-3</v>
      </c>
    </row>
    <row r="2734" spans="7:11">
      <c r="G2734" s="20">
        <v>4.757767540936543</v>
      </c>
      <c r="H2734" s="20">
        <v>1.2206646765307244E-2</v>
      </c>
      <c r="I2734" s="2">
        <f ca="1"/>
        <v>2727</v>
      </c>
      <c r="J2734">
        <f ca="1"/>
        <v>4.757767540936543</v>
      </c>
      <c r="K2734">
        <f ca="1"/>
        <v>2.886923077529626E-3</v>
      </c>
    </row>
    <row r="2735" spans="7:11">
      <c r="G2735" s="20">
        <v>4.7595128701885363</v>
      </c>
      <c r="H2735" s="20">
        <v>1.2211659247960588E-2</v>
      </c>
      <c r="I2735" s="2">
        <f ca="1"/>
        <v>2728</v>
      </c>
      <c r="J2735">
        <f ca="1"/>
        <v>4.7595128701885363</v>
      </c>
      <c r="K2735">
        <f ca="1"/>
        <v>2.8605100164994447E-3</v>
      </c>
    </row>
    <row r="2736" spans="7:11">
      <c r="G2736" s="20">
        <v>4.7612581994405314</v>
      </c>
      <c r="H2736" s="20">
        <v>1.2216631828922082E-2</v>
      </c>
      <c r="I2736" s="2">
        <f ca="1"/>
        <v>2729</v>
      </c>
      <c r="J2736">
        <f ca="1"/>
        <v>4.7612581994405314</v>
      </c>
      <c r="K2736">
        <f ca="1"/>
        <v>2.840602026653944E-3</v>
      </c>
    </row>
    <row r="2737" spans="7:11">
      <c r="G2737" s="20">
        <v>4.7630035286925247</v>
      </c>
      <c r="H2737" s="20">
        <v>1.2221574819581374E-2</v>
      </c>
      <c r="I2737" s="2">
        <f ca="1"/>
        <v>2730</v>
      </c>
      <c r="J2737">
        <f ca="1"/>
        <v>4.7630035286925247</v>
      </c>
      <c r="K2737">
        <f ca="1"/>
        <v>2.8211443278648488E-3</v>
      </c>
    </row>
    <row r="2738" spans="7:11">
      <c r="G2738" s="20">
        <v>4.7647488579445199</v>
      </c>
      <c r="H2738" s="20">
        <v>1.2226479480361123E-2</v>
      </c>
      <c r="I2738" s="2">
        <f ca="1"/>
        <v>2731</v>
      </c>
      <c r="J2738">
        <f ca="1"/>
        <v>4.7647488579445199</v>
      </c>
      <c r="K2738">
        <f ca="1"/>
        <v>2.7941668375232802E-3</v>
      </c>
    </row>
    <row r="2739" spans="7:11">
      <c r="G2739" s="20">
        <v>4.7664941871965132</v>
      </c>
      <c r="H2739" s="20">
        <v>1.2231328301814337E-2</v>
      </c>
      <c r="I2739" s="2">
        <f ca="1"/>
        <v>2732</v>
      </c>
      <c r="J2739">
        <f ca="1"/>
        <v>4.7664941871965132</v>
      </c>
      <c r="K2739">
        <f ca="1"/>
        <v>2.7674322830597395E-3</v>
      </c>
    </row>
    <row r="2740" spans="7:11">
      <c r="G2740" s="20">
        <v>4.7682395164485074</v>
      </c>
      <c r="H2740" s="20">
        <v>1.2236139641394195E-2</v>
      </c>
      <c r="I2740" s="2">
        <f ca="1"/>
        <v>2733</v>
      </c>
      <c r="J2740">
        <f ca="1"/>
        <v>4.7682395164485074</v>
      </c>
      <c r="K2740">
        <f ca="1"/>
        <v>2.7467081136925081E-3</v>
      </c>
    </row>
    <row r="2741" spans="7:11">
      <c r="G2741" s="20">
        <v>4.7699848457005016</v>
      </c>
      <c r="H2741" s="20">
        <v>1.2240916121849372E-2</v>
      </c>
      <c r="I2741" s="2">
        <f ca="1"/>
        <v>2734</v>
      </c>
      <c r="J2741">
        <f ca="1"/>
        <v>4.7699848457005016</v>
      </c>
      <c r="K2741">
        <f ca="1"/>
        <v>2.7214173883441471E-3</v>
      </c>
    </row>
    <row r="2742" spans="7:11">
      <c r="G2742" s="20">
        <v>4.7717301749524959</v>
      </c>
      <c r="H2742" s="20">
        <v>1.224563918014372E-2</v>
      </c>
      <c r="I2742" s="2">
        <f ca="1"/>
        <v>2735</v>
      </c>
      <c r="J2742">
        <f ca="1"/>
        <v>4.7717301749524959</v>
      </c>
      <c r="K2742">
        <f ca="1"/>
        <v>2.6944018108839333E-3</v>
      </c>
    </row>
    <row r="2743" spans="7:11">
      <c r="G2743" s="20">
        <v>4.773475504204491</v>
      </c>
      <c r="H2743" s="20">
        <v>1.2250321358443698E-2</v>
      </c>
      <c r="I2743" s="2">
        <f ca="1"/>
        <v>2736</v>
      </c>
      <c r="J2743">
        <f ca="1"/>
        <v>4.773475504204491</v>
      </c>
      <c r="K2743">
        <f ca="1"/>
        <v>2.6740406624494078E-3</v>
      </c>
    </row>
    <row r="2744" spans="7:11">
      <c r="G2744" s="20">
        <v>4.7752208334564861</v>
      </c>
      <c r="H2744" s="20">
        <v>1.2254973342922115E-2</v>
      </c>
      <c r="I2744" s="2">
        <f ca="1"/>
        <v>2737</v>
      </c>
      <c r="J2744">
        <f ca="1"/>
        <v>4.7752208334564861</v>
      </c>
      <c r="K2744">
        <f ca="1"/>
        <v>2.6541661637938824E-3</v>
      </c>
    </row>
    <row r="2745" spans="7:11">
      <c r="G2745" s="20">
        <v>4.7769661627084794</v>
      </c>
      <c r="H2745" s="20">
        <v>1.2259586146134344E-2</v>
      </c>
      <c r="I2745" s="2">
        <f ca="1"/>
        <v>2738</v>
      </c>
      <c r="J2745">
        <f ca="1"/>
        <v>4.7769661627084794</v>
      </c>
      <c r="K2745">
        <f ca="1"/>
        <v>2.6266227406176869E-3</v>
      </c>
    </row>
    <row r="2746" spans="7:11">
      <c r="G2746" s="20">
        <v>4.7787114919604745</v>
      </c>
      <c r="H2746" s="20">
        <v>1.2264141985928421E-2</v>
      </c>
      <c r="I2746" s="2">
        <f ca="1"/>
        <v>2739</v>
      </c>
      <c r="J2746">
        <f ca="1"/>
        <v>4.7787114919604745</v>
      </c>
      <c r="K2746">
        <f ca="1"/>
        <v>2.5976861009921973E-3</v>
      </c>
    </row>
    <row r="2747" spans="7:11">
      <c r="G2747" s="20">
        <v>4.7804568212124678</v>
      </c>
      <c r="H2747" s="20">
        <v>1.2268653781213465E-2</v>
      </c>
      <c r="I2747" s="2">
        <f ca="1"/>
        <v>2740</v>
      </c>
      <c r="J2747">
        <f ca="1"/>
        <v>4.7804568212124678</v>
      </c>
      <c r="K2747">
        <f ca="1"/>
        <v>2.5743166265702515E-3</v>
      </c>
    </row>
    <row r="2748" spans="7:11">
      <c r="G2748" s="20">
        <v>4.782202150464463</v>
      </c>
      <c r="H2748" s="20">
        <v>1.2273128046152918E-2</v>
      </c>
      <c r="I2748" s="2">
        <f ca="1"/>
        <v>2741</v>
      </c>
      <c r="J2748">
        <f ca="1"/>
        <v>4.782202150464463</v>
      </c>
      <c r="K2748">
        <f ca="1"/>
        <v>2.5504155705991689E-3</v>
      </c>
    </row>
    <row r="2749" spans="7:11">
      <c r="G2749" s="20">
        <v>4.7839474797164572</v>
      </c>
      <c r="H2749" s="20">
        <v>1.2277556411013683E-2</v>
      </c>
      <c r="I2749" s="2">
        <f ca="1"/>
        <v>2742</v>
      </c>
      <c r="J2749">
        <f ca="1"/>
        <v>4.7839474797164572</v>
      </c>
      <c r="K2749">
        <f ca="1"/>
        <v>2.5253767891497731E-3</v>
      </c>
    </row>
    <row r="2750" spans="7:11">
      <c r="G2750" s="20">
        <v>4.7856928089684523</v>
      </c>
      <c r="H2750" s="20">
        <v>1.2281943274117741E-2</v>
      </c>
      <c r="I2750" s="2">
        <f ca="1"/>
        <v>2743</v>
      </c>
      <c r="J2750">
        <f ca="1"/>
        <v>4.7856928089684523</v>
      </c>
      <c r="K2750">
        <f ca="1"/>
        <v>2.5039063246422911E-3</v>
      </c>
    </row>
    <row r="2751" spans="7:11">
      <c r="G2751" s="20">
        <v>4.7874381382204456</v>
      </c>
      <c r="H2751" s="20">
        <v>1.2286296692918986E-2</v>
      </c>
      <c r="I2751" s="2">
        <f ca="1"/>
        <v>2744</v>
      </c>
      <c r="J2751">
        <f ca="1"/>
        <v>4.7874381382204456</v>
      </c>
      <c r="K2751">
        <f ca="1"/>
        <v>2.4831029083283306E-3</v>
      </c>
    </row>
    <row r="2752" spans="7:11">
      <c r="G2752" s="20">
        <v>4.7891834674724407</v>
      </c>
      <c r="H2752" s="20">
        <v>1.2290610938400975E-2</v>
      </c>
      <c r="I2752" s="2">
        <f ca="1"/>
        <v>2745</v>
      </c>
      <c r="J2752">
        <f ca="1"/>
        <v>4.7891834674724407</v>
      </c>
      <c r="K2752">
        <f ca="1"/>
        <v>2.45531196811964E-3</v>
      </c>
    </row>
    <row r="2753" spans="7:11">
      <c r="G2753" s="20">
        <v>4.7909287967244341</v>
      </c>
      <c r="H2753" s="20">
        <v>1.2294867348520448E-2</v>
      </c>
      <c r="I2753" s="2">
        <f ca="1"/>
        <v>2746</v>
      </c>
      <c r="J2753">
        <f ca="1"/>
        <v>4.7909287967244341</v>
      </c>
      <c r="K2753">
        <f ca="1"/>
        <v>2.4260469871280666E-3</v>
      </c>
    </row>
    <row r="2754" spans="7:11">
      <c r="G2754" s="20">
        <v>4.7926741259764292</v>
      </c>
      <c r="H2754" s="20">
        <v>1.229907943994767E-2</v>
      </c>
      <c r="I2754" s="2">
        <f ca="1"/>
        <v>2747</v>
      </c>
      <c r="J2754">
        <f ca="1"/>
        <v>4.7926741259764292</v>
      </c>
      <c r="K2754">
        <f ca="1"/>
        <v>2.4049881192384293E-3</v>
      </c>
    </row>
    <row r="2755" spans="7:11">
      <c r="G2755" s="20">
        <v>4.7944194552284225</v>
      </c>
      <c r="H2755" s="20">
        <v>1.2303262340750859E-2</v>
      </c>
      <c r="I2755" s="2">
        <f ca="1"/>
        <v>2748</v>
      </c>
      <c r="J2755">
        <f ca="1"/>
        <v>4.7944194552284225</v>
      </c>
      <c r="K2755">
        <f ca="1"/>
        <v>2.384880808880393E-3</v>
      </c>
    </row>
    <row r="2756" spans="7:11">
      <c r="G2756" s="20">
        <v>4.7961647844804176</v>
      </c>
      <c r="H2756" s="20">
        <v>1.2307404244424187E-2</v>
      </c>
      <c r="I2756" s="2">
        <f ca="1"/>
        <v>2749</v>
      </c>
      <c r="J2756">
        <f ca="1"/>
        <v>4.7961647844804176</v>
      </c>
      <c r="K2756">
        <f ca="1"/>
        <v>2.3563234926040409E-3</v>
      </c>
    </row>
    <row r="2757" spans="7:11">
      <c r="G2757" s="20">
        <v>4.7979101137324118</v>
      </c>
      <c r="H2757" s="20">
        <v>1.2311487461388467E-2</v>
      </c>
      <c r="I2757" s="2">
        <f ca="1"/>
        <v>2750</v>
      </c>
      <c r="J2757">
        <f ca="1"/>
        <v>4.7979101137324118</v>
      </c>
      <c r="K2757">
        <f ca="1"/>
        <v>2.3280395782902526E-3</v>
      </c>
    </row>
    <row r="2758" spans="7:11">
      <c r="G2758" s="20">
        <v>4.7996554429844061</v>
      </c>
      <c r="H2758" s="20">
        <v>1.2315530635575767E-2</v>
      </c>
      <c r="I2758" s="2">
        <f ca="1"/>
        <v>2751</v>
      </c>
      <c r="J2758">
        <f ca="1"/>
        <v>4.7996554429844061</v>
      </c>
      <c r="K2758">
        <f ca="1"/>
        <v>2.3060652883607619E-3</v>
      </c>
    </row>
    <row r="2759" spans="7:11">
      <c r="G2759" s="20">
        <v>4.8014007722364012</v>
      </c>
      <c r="H2759" s="20">
        <v>1.2319537147798038E-2</v>
      </c>
      <c r="I2759" s="2">
        <f ca="1"/>
        <v>2752</v>
      </c>
      <c r="J2759">
        <f ca="1"/>
        <v>4.8014007722364012</v>
      </c>
      <c r="K2759">
        <f ca="1"/>
        <v>2.2794786981850247E-3</v>
      </c>
    </row>
    <row r="2760" spans="7:11">
      <c r="G2760" s="20">
        <v>4.8031461014883945</v>
      </c>
      <c r="H2760" s="20">
        <v>1.2323487517278247E-2</v>
      </c>
      <c r="I2760" s="2">
        <f ca="1"/>
        <v>2753</v>
      </c>
      <c r="J2760">
        <f ca="1"/>
        <v>4.8031461014883945</v>
      </c>
      <c r="K2760">
        <f ca="1"/>
        <v>2.2510848213475841E-3</v>
      </c>
    </row>
    <row r="2761" spans="7:11">
      <c r="G2761" s="20">
        <v>4.8048914307403887</v>
      </c>
      <c r="H2761" s="20">
        <v>1.2327394916172872E-2</v>
      </c>
      <c r="I2761" s="2">
        <f ca="1"/>
        <v>2754</v>
      </c>
      <c r="J2761">
        <f ca="1"/>
        <v>4.8048914307403887</v>
      </c>
      <c r="K2761">
        <f ca="1"/>
        <v>2.2296031296423738E-3</v>
      </c>
    </row>
    <row r="2762" spans="7:11">
      <c r="G2762" s="20">
        <v>4.8066367599923829</v>
      </c>
      <c r="H2762" s="20">
        <v>1.2331270300403253E-2</v>
      </c>
      <c r="I2762" s="2">
        <f ca="1"/>
        <v>2755</v>
      </c>
      <c r="J2762">
        <f ca="1"/>
        <v>4.8066367599923829</v>
      </c>
      <c r="K2762">
        <f ca="1"/>
        <v>2.2086050297818322E-3</v>
      </c>
    </row>
    <row r="2763" spans="7:11">
      <c r="G2763" s="20">
        <v>4.8083820892443772</v>
      </c>
      <c r="H2763" s="20">
        <v>1.2335104402102032E-2</v>
      </c>
      <c r="I2763" s="2">
        <f ca="1"/>
        <v>2756</v>
      </c>
      <c r="J2763">
        <f ca="1"/>
        <v>4.8083820892443772</v>
      </c>
      <c r="K2763">
        <f ca="1"/>
        <v>2.1796306231105216E-3</v>
      </c>
    </row>
    <row r="2764" spans="7:11">
      <c r="G2764" s="20">
        <v>4.8101274184963714</v>
      </c>
      <c r="H2764" s="20">
        <v>1.2338878646573367E-2</v>
      </c>
      <c r="I2764" s="2">
        <f ca="1"/>
        <v>2757</v>
      </c>
      <c r="J2764">
        <f ca="1"/>
        <v>4.8101274184963714</v>
      </c>
      <c r="K2764">
        <f ca="1"/>
        <v>2.1509196304624173E-3</v>
      </c>
    </row>
    <row r="2765" spans="7:11">
      <c r="G2765" s="20">
        <v>4.8118727477483665</v>
      </c>
      <c r="H2765" s="20">
        <v>1.2342612528001503E-2</v>
      </c>
      <c r="I2765" s="2">
        <f ca="1"/>
        <v>2758</v>
      </c>
      <c r="J2765">
        <f ca="1"/>
        <v>4.8118727477483665</v>
      </c>
      <c r="K2765">
        <f ca="1"/>
        <v>2.128594172171479E-3</v>
      </c>
    </row>
    <row r="2766" spans="7:11">
      <c r="G2766" s="20">
        <v>4.8136180770003598</v>
      </c>
      <c r="H2766" s="20">
        <v>1.2346308841921998E-2</v>
      </c>
      <c r="I2766" s="2">
        <f ca="1"/>
        <v>2759</v>
      </c>
      <c r="J2766">
        <f ca="1"/>
        <v>4.8136180770003598</v>
      </c>
      <c r="K2766">
        <f ca="1"/>
        <v>2.101429205684124E-3</v>
      </c>
    </row>
    <row r="2767" spans="7:11">
      <c r="G2767" s="20">
        <v>4.8153634062523549</v>
      </c>
      <c r="H2767" s="20">
        <v>1.2349947899728854E-2</v>
      </c>
      <c r="I2767" s="2">
        <f ca="1"/>
        <v>2760</v>
      </c>
      <c r="J2767">
        <f ca="1"/>
        <v>4.8153634062523549</v>
      </c>
      <c r="K2767">
        <f ca="1"/>
        <v>2.0724400198195163E-3</v>
      </c>
    </row>
    <row r="2768" spans="7:11">
      <c r="G2768" s="20">
        <v>4.8171087355043491</v>
      </c>
      <c r="H2768" s="20">
        <v>1.2353543022301188E-2</v>
      </c>
      <c r="I2768" s="2">
        <f ca="1"/>
        <v>2761</v>
      </c>
      <c r="J2768">
        <f ca="1"/>
        <v>4.8171087355043491</v>
      </c>
      <c r="K2768">
        <f ca="1"/>
        <v>2.0505172765146653E-3</v>
      </c>
    </row>
    <row r="2769" spans="7:11">
      <c r="G2769" s="20">
        <v>4.8188540647563443</v>
      </c>
      <c r="H2769" s="20">
        <v>1.2357105555297697E-2</v>
      </c>
      <c r="I2769" s="2">
        <f ca="1"/>
        <v>2762</v>
      </c>
      <c r="J2769">
        <f ca="1"/>
        <v>4.8188540647563443</v>
      </c>
      <c r="K2769">
        <f ca="1"/>
        <v>2.0291163418455693E-3</v>
      </c>
    </row>
    <row r="2770" spans="7:11">
      <c r="G2770" s="20">
        <v>4.8205993940083385</v>
      </c>
      <c r="H2770" s="20">
        <v>1.2360625974515435E-2</v>
      </c>
      <c r="I2770" s="2">
        <f ca="1"/>
        <v>2763</v>
      </c>
      <c r="J2770">
        <f ca="1"/>
        <v>4.8205993940083385</v>
      </c>
      <c r="K2770">
        <f ca="1"/>
        <v>1.9995867387576924E-3</v>
      </c>
    </row>
    <row r="2771" spans="7:11">
      <c r="G2771" s="20">
        <v>4.8223447232603327</v>
      </c>
      <c r="H2771" s="20">
        <v>1.2364085429751804E-2</v>
      </c>
      <c r="I2771" s="2">
        <f ca="1"/>
        <v>2764</v>
      </c>
      <c r="J2771">
        <f ca="1"/>
        <v>4.8223447232603327</v>
      </c>
      <c r="K2771">
        <f ca="1"/>
        <v>1.9685855077481301E-3</v>
      </c>
    </row>
    <row r="2772" spans="7:11">
      <c r="G2772" s="20">
        <v>4.8240900525123269</v>
      </c>
      <c r="H2772" s="20">
        <v>1.2367497634258885E-2</v>
      </c>
      <c r="I2772" s="2">
        <f ca="1"/>
        <v>2765</v>
      </c>
      <c r="J2772">
        <f ca="1"/>
        <v>4.8240900525123269</v>
      </c>
      <c r="K2772">
        <f ca="1"/>
        <v>1.9434955588365551E-3</v>
      </c>
    </row>
    <row r="2773" spans="7:11">
      <c r="G2773" s="20">
        <v>4.8258353817643211</v>
      </c>
      <c r="H2773" s="20">
        <v>1.2370869509051721E-2</v>
      </c>
      <c r="I2773" s="2">
        <f ca="1"/>
        <v>2766</v>
      </c>
      <c r="J2773">
        <f ca="1"/>
        <v>4.8258353817643211</v>
      </c>
      <c r="K2773">
        <f ca="1"/>
        <v>1.9208510757849934E-3</v>
      </c>
    </row>
    <row r="2774" spans="7:11">
      <c r="G2774" s="20">
        <v>4.8275807110163154</v>
      </c>
      <c r="H2774" s="20">
        <v>1.2374202669401469E-2</v>
      </c>
      <c r="I2774" s="2">
        <f ca="1"/>
        <v>2767</v>
      </c>
      <c r="J2774">
        <f ca="1"/>
        <v>4.8275807110163154</v>
      </c>
      <c r="K2774">
        <f ca="1"/>
        <v>1.8979706475915682E-3</v>
      </c>
    </row>
    <row r="2775" spans="7:11">
      <c r="G2775" s="20">
        <v>4.8293260402683105</v>
      </c>
      <c r="H2775" s="20">
        <v>1.2377494676433058E-2</v>
      </c>
      <c r="I2775" s="2">
        <f ca="1"/>
        <v>2768</v>
      </c>
      <c r="J2775">
        <f ca="1"/>
        <v>4.8293260402683105</v>
      </c>
      <c r="K2775">
        <f ca="1"/>
        <v>1.8738664400733207E-3</v>
      </c>
    </row>
    <row r="2776" spans="7:11">
      <c r="G2776" s="20">
        <v>4.8310713695203038</v>
      </c>
      <c r="H2776" s="20">
        <v>1.238074369722585E-2</v>
      </c>
      <c r="I2776" s="2">
        <f ca="1"/>
        <v>2769</v>
      </c>
      <c r="J2776">
        <f ca="1"/>
        <v>4.8310713695203038</v>
      </c>
      <c r="K2776">
        <f ca="1"/>
        <v>1.8490290620752541E-3</v>
      </c>
    </row>
    <row r="2777" spans="7:11">
      <c r="G2777" s="20">
        <v>4.8328166987722989</v>
      </c>
      <c r="H2777" s="20">
        <v>1.2383949005452713E-2</v>
      </c>
      <c r="I2777" s="2">
        <f ca="1"/>
        <v>2770</v>
      </c>
      <c r="J2777">
        <f ca="1"/>
        <v>4.8328166987722989</v>
      </c>
      <c r="K2777">
        <f ca="1"/>
        <v>1.8172000156379648E-3</v>
      </c>
    </row>
    <row r="2778" spans="7:11">
      <c r="G2778" s="20">
        <v>4.8345620280242931</v>
      </c>
      <c r="H2778" s="20">
        <v>1.2387086921913886E-2</v>
      </c>
      <c r="I2778" s="2">
        <f ca="1"/>
        <v>2771</v>
      </c>
      <c r="J2778">
        <f ca="1"/>
        <v>4.8345620280242931</v>
      </c>
      <c r="K2778">
        <f ca="1"/>
        <v>1.7841515609329835E-3</v>
      </c>
    </row>
    <row r="2779" spans="7:11">
      <c r="G2779" s="20">
        <v>4.8363073572762874</v>
      </c>
      <c r="H2779" s="20">
        <v>1.2390176869271288E-2</v>
      </c>
      <c r="I2779" s="2">
        <f ca="1"/>
        <v>2772</v>
      </c>
      <c r="J2779">
        <f ca="1"/>
        <v>4.8363073572762874</v>
      </c>
      <c r="K2779">
        <f ca="1"/>
        <v>1.7619505029477114E-3</v>
      </c>
    </row>
    <row r="2780" spans="7:11">
      <c r="G2780" s="20">
        <v>4.8380526865282816</v>
      </c>
      <c r="H2780" s="20">
        <v>1.2393237289420607E-2</v>
      </c>
      <c r="I2780" s="2">
        <f ca="1"/>
        <v>2773</v>
      </c>
      <c r="J2780">
        <f ca="1"/>
        <v>4.8380526865282816</v>
      </c>
      <c r="K2780">
        <f ca="1"/>
        <v>1.7407415254562025E-3</v>
      </c>
    </row>
    <row r="2781" spans="7:11">
      <c r="G2781" s="20">
        <v>4.8397980157802758</v>
      </c>
      <c r="H2781" s="20">
        <v>1.2396253203480367E-2</v>
      </c>
      <c r="I2781" s="2">
        <f ca="1"/>
        <v>2774</v>
      </c>
      <c r="J2781">
        <f ca="1"/>
        <v>4.8397980157802758</v>
      </c>
      <c r="K2781">
        <f ca="1"/>
        <v>1.7100028762797521E-3</v>
      </c>
    </row>
    <row r="2782" spans="7:11">
      <c r="G2782" s="20">
        <v>4.84154334503227</v>
      </c>
      <c r="H2782" s="20">
        <v>1.2399206325502538E-2</v>
      </c>
      <c r="I2782" s="2">
        <f ca="1"/>
        <v>2775</v>
      </c>
      <c r="J2782">
        <f ca="1"/>
        <v>4.84154334503227</v>
      </c>
      <c r="K2782">
        <f ca="1"/>
        <v>1.6795745409379224E-3</v>
      </c>
    </row>
    <row r="2783" spans="7:11">
      <c r="G2783" s="20">
        <v>4.8432886742842651</v>
      </c>
      <c r="H2783" s="20">
        <v>1.2402116024634776E-2</v>
      </c>
      <c r="I2783" s="2">
        <f ca="1"/>
        <v>2776</v>
      </c>
      <c r="J2783">
        <f ca="1"/>
        <v>4.8432886742842651</v>
      </c>
      <c r="K2783">
        <f ca="1"/>
        <v>1.6559334832300756E-3</v>
      </c>
    </row>
    <row r="2784" spans="7:11">
      <c r="G2784" s="20">
        <v>4.8450340035362593</v>
      </c>
      <c r="H2784" s="20">
        <v>1.2404986623797815E-2</v>
      </c>
      <c r="I2784" s="2">
        <f ca="1"/>
        <v>2777</v>
      </c>
      <c r="J2784">
        <f ca="1"/>
        <v>4.8450340035362593</v>
      </c>
      <c r="K2784">
        <f ca="1"/>
        <v>1.6275907098394502E-3</v>
      </c>
    </row>
    <row r="2785" spans="7:11">
      <c r="G2785" s="20">
        <v>4.8467793327882527</v>
      </c>
      <c r="H2785" s="20">
        <v>1.2407797387987089E-2</v>
      </c>
      <c r="I2785" s="2">
        <f ca="1"/>
        <v>2778</v>
      </c>
      <c r="J2785">
        <f ca="1"/>
        <v>4.8467793327882527</v>
      </c>
      <c r="K2785">
        <f ca="1"/>
        <v>1.5973259025714684E-3</v>
      </c>
    </row>
    <row r="2786" spans="7:11">
      <c r="G2786" s="20">
        <v>4.8485246620402478</v>
      </c>
      <c r="H2786" s="20">
        <v>1.2410562343043267E-2</v>
      </c>
      <c r="I2786" s="2">
        <f ca="1"/>
        <v>2779</v>
      </c>
      <c r="J2786">
        <f ca="1"/>
        <v>4.8485246620402478</v>
      </c>
      <c r="K2786">
        <f ca="1"/>
        <v>1.5743337719677467E-3</v>
      </c>
    </row>
    <row r="2787" spans="7:11">
      <c r="G2787" s="20">
        <v>4.8502699912922411</v>
      </c>
      <c r="H2787" s="20">
        <v>1.2413292849556324E-2</v>
      </c>
      <c r="I2787" s="2">
        <f ca="1"/>
        <v>2780</v>
      </c>
      <c r="J2787">
        <f ca="1"/>
        <v>4.8502699912922411</v>
      </c>
      <c r="K2787">
        <f ca="1"/>
        <v>1.5518271684240718E-3</v>
      </c>
    </row>
    <row r="2788" spans="7:11">
      <c r="G2788" s="20">
        <v>4.8520153205442362</v>
      </c>
      <c r="H2788" s="20">
        <v>1.2415979241745447E-2</v>
      </c>
      <c r="I2788" s="2">
        <f ca="1"/>
        <v>2781</v>
      </c>
      <c r="J2788">
        <f ca="1"/>
        <v>4.8520153205442362</v>
      </c>
      <c r="K2788">
        <f ca="1"/>
        <v>1.5209123540095534E-3</v>
      </c>
    </row>
    <row r="2789" spans="7:11">
      <c r="G2789" s="20">
        <v>4.8537606497962296</v>
      </c>
      <c r="H2789" s="20">
        <v>1.2418601835198669E-2</v>
      </c>
      <c r="I2789" s="2">
        <f ca="1"/>
        <v>2782</v>
      </c>
      <c r="J2789">
        <f ca="1"/>
        <v>4.8537606497962296</v>
      </c>
      <c r="K2789">
        <f ca="1"/>
        <v>1.4902815909798096E-3</v>
      </c>
    </row>
    <row r="2790" spans="7:11">
      <c r="G2790" s="20">
        <v>4.8555059790482247</v>
      </c>
      <c r="H2790" s="20">
        <v>1.2421181305854338E-2</v>
      </c>
      <c r="I2790" s="2">
        <f ca="1"/>
        <v>2783</v>
      </c>
      <c r="J2790">
        <f ca="1"/>
        <v>4.8555059790482247</v>
      </c>
      <c r="K2790">
        <f ca="1"/>
        <v>1.466417827689381E-3</v>
      </c>
    </row>
    <row r="2791" spans="7:11">
      <c r="G2791" s="20">
        <v>4.857251308300218</v>
      </c>
      <c r="H2791" s="20">
        <v>1.2423720599059293E-2</v>
      </c>
      <c r="I2791" s="2">
        <f ca="1"/>
        <v>2784</v>
      </c>
      <c r="J2791">
        <f ca="1"/>
        <v>4.857251308300218</v>
      </c>
      <c r="K2791">
        <f ca="1"/>
        <v>1.4374331277790156E-3</v>
      </c>
    </row>
    <row r="2792" spans="7:11">
      <c r="G2792" s="20">
        <v>4.8589966375522131</v>
      </c>
      <c r="H2792" s="20">
        <v>1.2426198894025735E-2</v>
      </c>
      <c r="I2792" s="2">
        <f ca="1"/>
        <v>2785</v>
      </c>
      <c r="J2792">
        <f ca="1"/>
        <v>4.8589966375522131</v>
      </c>
      <c r="K2792">
        <f ca="1"/>
        <v>1.406524788699784E-3</v>
      </c>
    </row>
    <row r="2793" spans="7:11">
      <c r="G2793" s="20">
        <v>4.8607419668042082</v>
      </c>
      <c r="H2793" s="20">
        <v>1.2428630296774041E-2</v>
      </c>
      <c r="I2793" s="2">
        <f ca="1"/>
        <v>2786</v>
      </c>
      <c r="J2793">
        <f ca="1"/>
        <v>4.8607419668042082</v>
      </c>
      <c r="K2793">
        <f ca="1"/>
        <v>1.3831023576879251E-3</v>
      </c>
    </row>
    <row r="2794" spans="7:11">
      <c r="G2794" s="20">
        <v>4.8624872960562024</v>
      </c>
      <c r="H2794" s="20">
        <v>1.2431026832032486E-2</v>
      </c>
      <c r="I2794" s="2">
        <f ca="1"/>
        <v>2787</v>
      </c>
      <c r="J2794">
        <f ca="1"/>
        <v>4.8624872960562024</v>
      </c>
      <c r="K2794">
        <f ca="1"/>
        <v>1.3602404494473001E-3</v>
      </c>
    </row>
    <row r="2795" spans="7:11">
      <c r="G2795" s="20">
        <v>4.8642326253081967</v>
      </c>
      <c r="H2795" s="20">
        <v>1.2433378431666373E-2</v>
      </c>
      <c r="I2795" s="2">
        <f ca="1"/>
        <v>2788</v>
      </c>
      <c r="J2795">
        <f ca="1"/>
        <v>4.8642326253081967</v>
      </c>
      <c r="K2795">
        <f ca="1"/>
        <v>1.3287856626309077E-3</v>
      </c>
    </row>
    <row r="2796" spans="7:11">
      <c r="G2796" s="20">
        <v>4.8659779545601909</v>
      </c>
      <c r="H2796" s="20">
        <v>1.2435665169005726E-2</v>
      </c>
      <c r="I2796" s="2">
        <f ca="1"/>
        <v>2789</v>
      </c>
      <c r="J2796">
        <f ca="1"/>
        <v>4.8659779545601909</v>
      </c>
      <c r="K2796">
        <f ca="1"/>
        <v>1.2957811778344672E-3</v>
      </c>
    </row>
    <row r="2797" spans="7:11">
      <c r="G2797" s="20">
        <v>4.8677232838121842</v>
      </c>
      <c r="H2797" s="20">
        <v>1.2437901561254088E-2</v>
      </c>
      <c r="I2797" s="2">
        <f ca="1"/>
        <v>2790</v>
      </c>
      <c r="J2797">
        <f ca="1"/>
        <v>4.8677232838121842</v>
      </c>
      <c r="K2797">
        <f ca="1"/>
        <v>1.2690370884585634E-3</v>
      </c>
    </row>
    <row r="2798" spans="7:11">
      <c r="G2798" s="20">
        <v>4.8694686130641793</v>
      </c>
      <c r="H2798" s="20">
        <v>1.2440094944110431E-2</v>
      </c>
      <c r="I2798" s="2">
        <f ca="1"/>
        <v>2791</v>
      </c>
      <c r="J2798">
        <f ca="1"/>
        <v>4.8694686130641793</v>
      </c>
      <c r="K2798">
        <f ca="1"/>
        <v>1.2417117059974382E-3</v>
      </c>
    </row>
    <row r="2799" spans="7:11">
      <c r="G2799" s="20">
        <v>4.8712139423161744</v>
      </c>
      <c r="H2799" s="20">
        <v>1.2442235952780132E-2</v>
      </c>
      <c r="I2799" s="2">
        <f ca="1"/>
        <v>2792</v>
      </c>
      <c r="J2799">
        <f ca="1"/>
        <v>4.8712139423161744</v>
      </c>
      <c r="K2799">
        <f ca="1"/>
        <v>1.2131240270467467E-3</v>
      </c>
    </row>
    <row r="2800" spans="7:11">
      <c r="G2800" s="20">
        <v>4.8729592715681687</v>
      </c>
      <c r="H2800" s="20">
        <v>1.2444329545811835E-2</v>
      </c>
      <c r="I2800" s="2">
        <f ca="1"/>
        <v>2793</v>
      </c>
      <c r="J2800">
        <f ca="1"/>
        <v>4.8729592715681687</v>
      </c>
      <c r="K2800">
        <f ca="1"/>
        <v>1.1885497446395832E-3</v>
      </c>
    </row>
    <row r="2801" spans="7:11">
      <c r="G2801" s="20">
        <v>4.8747046008201629</v>
      </c>
      <c r="H2801" s="20">
        <v>1.2446384774053671E-2</v>
      </c>
      <c r="I2801" s="2">
        <f ca="1"/>
        <v>2794</v>
      </c>
      <c r="J2801">
        <f ca="1"/>
        <v>4.8747046008201629</v>
      </c>
      <c r="K2801">
        <f ca="1"/>
        <v>1.1647364233094109E-3</v>
      </c>
    </row>
    <row r="2802" spans="7:11">
      <c r="G2802" s="20">
        <v>4.8764499300721571</v>
      </c>
      <c r="H2802" s="20">
        <v>1.2448395242912766E-2</v>
      </c>
      <c r="I2802" s="2">
        <f ca="1"/>
        <v>2795</v>
      </c>
      <c r="J2802">
        <f ca="1"/>
        <v>4.8764499300721571</v>
      </c>
      <c r="K2802">
        <f ca="1"/>
        <v>1.1331090183273114E-3</v>
      </c>
    </row>
    <row r="2803" spans="7:11">
      <c r="G2803" s="20">
        <v>4.8781952593241513</v>
      </c>
      <c r="H2803" s="20">
        <v>1.2450340070684442E-2</v>
      </c>
      <c r="I2803" s="2">
        <f ca="1"/>
        <v>2796</v>
      </c>
      <c r="J2803">
        <f ca="1"/>
        <v>4.8781952593241513</v>
      </c>
      <c r="K2803">
        <f ca="1"/>
        <v>1.0998447946103892E-3</v>
      </c>
    </row>
    <row r="2804" spans="7:11">
      <c r="G2804" s="20">
        <v>4.8799405885761455</v>
      </c>
      <c r="H2804" s="20">
        <v>1.245223442549814E-2</v>
      </c>
      <c r="I2804" s="2">
        <f ca="1"/>
        <v>2797</v>
      </c>
      <c r="J2804">
        <f ca="1"/>
        <v>4.8799405885761455</v>
      </c>
      <c r="K2804">
        <f ca="1"/>
        <v>1.0757858701241382E-3</v>
      </c>
    </row>
    <row r="2805" spans="7:11">
      <c r="G2805" s="20">
        <v>4.8816859178281398</v>
      </c>
      <c r="H2805" s="20">
        <v>1.2454095271780461E-2</v>
      </c>
      <c r="I2805" s="2">
        <f ca="1"/>
        <v>2798</v>
      </c>
      <c r="J2805">
        <f ca="1"/>
        <v>4.8816859178281398</v>
      </c>
      <c r="K2805">
        <f ca="1"/>
        <v>1.0528066114031246E-3</v>
      </c>
    </row>
    <row r="2806" spans="7:11">
      <c r="G2806" s="20">
        <v>4.883431247080134</v>
      </c>
      <c r="H2806" s="20">
        <v>1.2455909413849289E-2</v>
      </c>
      <c r="I2806" s="2">
        <f ca="1"/>
        <v>2799</v>
      </c>
      <c r="J2806">
        <f ca="1"/>
        <v>4.883431247080134</v>
      </c>
      <c r="K2806">
        <f ca="1"/>
        <v>1.0203829420445166E-3</v>
      </c>
    </row>
    <row r="2807" spans="7:11">
      <c r="G2807" s="20">
        <v>4.8851765763321282</v>
      </c>
      <c r="H2807" s="20">
        <v>1.2457657080174434E-2</v>
      </c>
      <c r="I2807" s="2">
        <f ca="1"/>
        <v>2800</v>
      </c>
      <c r="J2807">
        <f ca="1"/>
        <v>4.8851765763321282</v>
      </c>
      <c r="K2807">
        <f ca="1"/>
        <v>9.8827855514893722E-4</v>
      </c>
    </row>
    <row r="2808" spans="7:11">
      <c r="G2808" s="20">
        <v>4.8869219055841224</v>
      </c>
      <c r="H2808" s="20">
        <v>1.2459359156792129E-2</v>
      </c>
      <c r="I2808" s="2">
        <f ca="1"/>
        <v>2801</v>
      </c>
      <c r="J2808">
        <f ca="1"/>
        <v>4.8869219055841224</v>
      </c>
      <c r="K2808">
        <f ca="1"/>
        <v>9.6325043789488541E-4</v>
      </c>
    </row>
    <row r="2809" spans="7:11">
      <c r="G2809" s="20">
        <v>4.8886672348361175</v>
      </c>
      <c r="H2809" s="20">
        <v>1.2461019458506943E-2</v>
      </c>
      <c r="I2809" s="2">
        <f ca="1"/>
        <v>2802</v>
      </c>
      <c r="J2809">
        <f ca="1"/>
        <v>4.8886672348361175</v>
      </c>
      <c r="K2809">
        <f ca="1"/>
        <v>9.3786138264844126E-4</v>
      </c>
    </row>
    <row r="2810" spans="7:11">
      <c r="G2810" s="20">
        <v>4.8904125640881109</v>
      </c>
      <c r="H2810" s="20">
        <v>1.2462632910603033E-2</v>
      </c>
      <c r="I2810" s="2">
        <f ca="1"/>
        <v>2803</v>
      </c>
      <c r="J2810">
        <f ca="1"/>
        <v>4.8904125640881109</v>
      </c>
      <c r="K2810">
        <f ca="1"/>
        <v>9.112606156739194E-4</v>
      </c>
    </row>
    <row r="2811" spans="7:11">
      <c r="G2811" s="20">
        <v>4.892157893340106</v>
      </c>
      <c r="H2811" s="20">
        <v>1.2464200358124395E-2</v>
      </c>
      <c r="I2811" s="2">
        <f ca="1"/>
        <v>2804</v>
      </c>
      <c r="J2811">
        <f ca="1"/>
        <v>4.892157893340106</v>
      </c>
      <c r="K2811">
        <f ca="1"/>
        <v>8.8423466782899471E-4</v>
      </c>
    </row>
    <row r="2812" spans="7:11">
      <c r="G2812" s="20">
        <v>4.8939032225920993</v>
      </c>
      <c r="H2812" s="20">
        <v>1.2465719471865812E-2</v>
      </c>
      <c r="I2812" s="2">
        <f ca="1"/>
        <v>2805</v>
      </c>
      <c r="J2812">
        <f ca="1"/>
        <v>4.8939032225920993</v>
      </c>
      <c r="K2812">
        <f ca="1"/>
        <v>8.5657092159355784E-4</v>
      </c>
    </row>
    <row r="2813" spans="7:11">
      <c r="G2813" s="20">
        <v>4.8956485518440944</v>
      </c>
      <c r="H2813" s="20">
        <v>1.2467190354696124E-2</v>
      </c>
      <c r="I2813" s="2">
        <f ca="1"/>
        <v>2806</v>
      </c>
      <c r="J2813">
        <f ca="1"/>
        <v>4.8956485518440944</v>
      </c>
      <c r="K2813">
        <f ca="1"/>
        <v>8.2135484462761714E-4</v>
      </c>
    </row>
    <row r="2814" spans="7:11">
      <c r="G2814" s="20">
        <v>4.8973938810960878</v>
      </c>
      <c r="H2814" s="20">
        <v>1.2468586541139004E-2</v>
      </c>
      <c r="I2814" s="2">
        <f ca="1"/>
        <v>2807</v>
      </c>
      <c r="J2814">
        <f ca="1"/>
        <v>4.8973938810960878</v>
      </c>
      <c r="K2814">
        <f ca="1"/>
        <v>7.8638401135295601E-4</v>
      </c>
    </row>
    <row r="2815" spans="7:11">
      <c r="G2815" s="20">
        <v>4.8991392103480829</v>
      </c>
      <c r="H2815" s="20">
        <v>1.2469935352732754E-2</v>
      </c>
      <c r="I2815" s="2">
        <f ca="1"/>
        <v>2808</v>
      </c>
      <c r="J2815">
        <f ca="1"/>
        <v>4.8991392103480829</v>
      </c>
      <c r="K2815">
        <f ca="1"/>
        <v>7.6092786867630992E-4</v>
      </c>
    </row>
    <row r="2816" spans="7:11">
      <c r="G2816" s="20">
        <v>4.9008845396000762</v>
      </c>
      <c r="H2816" s="20">
        <v>1.247124268047472E-2</v>
      </c>
      <c r="I2816" s="2">
        <f ca="1"/>
        <v>2809</v>
      </c>
      <c r="J2816">
        <f ca="1"/>
        <v>4.9008845396000762</v>
      </c>
      <c r="K2816">
        <f ca="1"/>
        <v>7.3086596510436419E-4</v>
      </c>
    </row>
    <row r="2817" spans="7:11">
      <c r="G2817" s="20">
        <v>4.9026298688520713</v>
      </c>
      <c r="H2817" s="20">
        <v>1.2472486556229121E-2</v>
      </c>
      <c r="I2817" s="2">
        <f ca="1"/>
        <v>2810</v>
      </c>
      <c r="J2817">
        <f ca="1"/>
        <v>4.9026298688520713</v>
      </c>
      <c r="K2817">
        <f ca="1"/>
        <v>6.9866918198241315E-4</v>
      </c>
    </row>
    <row r="2818" spans="7:11">
      <c r="G2818" s="20">
        <v>4.9043751981040655</v>
      </c>
      <c r="H2818" s="20">
        <v>1.2473681495996283E-2</v>
      </c>
      <c r="I2818" s="2">
        <f ca="1"/>
        <v>2811</v>
      </c>
      <c r="J2818">
        <f ca="1"/>
        <v>4.9043751981040655</v>
      </c>
      <c r="K2818">
        <f ca="1"/>
        <v>6.7383217658335197E-4</v>
      </c>
    </row>
    <row r="2819" spans="7:11">
      <c r="G2819" s="20">
        <v>4.9061205273560606</v>
      </c>
      <c r="H2819" s="20">
        <v>1.2474838674246574E-2</v>
      </c>
      <c r="I2819" s="2">
        <f ca="1"/>
        <v>2812</v>
      </c>
      <c r="J2819">
        <f ca="1"/>
        <v>4.9061205273560606</v>
      </c>
      <c r="K2819">
        <f ca="1"/>
        <v>6.4943831721372578E-4</v>
      </c>
    </row>
    <row r="2820" spans="7:11">
      <c r="G2820" s="20">
        <v>4.907865856608054</v>
      </c>
      <c r="H2820" s="20">
        <v>1.2475948463381081E-2</v>
      </c>
      <c r="I2820" s="2">
        <f ca="1"/>
        <v>2813</v>
      </c>
      <c r="J2820">
        <f ca="1"/>
        <v>4.907865856608054</v>
      </c>
      <c r="K2820">
        <f ca="1"/>
        <v>6.1621186382406238E-4</v>
      </c>
    </row>
    <row r="2821" spans="7:11">
      <c r="G2821" s="20">
        <v>4.9096111858600491</v>
      </c>
      <c r="H2821" s="20">
        <v>1.247698965942929E-2</v>
      </c>
      <c r="I2821" s="2">
        <f ca="1"/>
        <v>2814</v>
      </c>
      <c r="J2821">
        <f ca="1"/>
        <v>4.9096111858600491</v>
      </c>
      <c r="K2821">
        <f ca="1"/>
        <v>5.8134923676973738E-4</v>
      </c>
    </row>
    <row r="2822" spans="7:11">
      <c r="G2822" s="20">
        <v>4.9113565151120424</v>
      </c>
      <c r="H2822" s="20">
        <v>1.2477977755038198E-2</v>
      </c>
      <c r="I2822" s="2">
        <f ca="1"/>
        <v>2815</v>
      </c>
      <c r="J2822">
        <f ca="1"/>
        <v>4.9113565151120424</v>
      </c>
      <c r="K2822">
        <f ca="1"/>
        <v>5.5306579189627505E-4</v>
      </c>
    </row>
    <row r="2823" spans="7:11">
      <c r="G2823" s="20">
        <v>4.9131018443640375</v>
      </c>
      <c r="H2823" s="20">
        <v>1.2478920223239038E-2</v>
      </c>
      <c r="I2823" s="2">
        <f ca="1"/>
        <v>2816</v>
      </c>
      <c r="J2823">
        <f ca="1"/>
        <v>4.9131018443640375</v>
      </c>
      <c r="K2823">
        <f ca="1"/>
        <v>5.2414604559289412E-4</v>
      </c>
    </row>
    <row r="2824" spans="7:11">
      <c r="G2824" s="20">
        <v>4.9148471736160326</v>
      </c>
      <c r="H2824" s="20">
        <v>1.247980736988958E-2</v>
      </c>
      <c r="I2824" s="2">
        <f ca="1"/>
        <v>2817</v>
      </c>
      <c r="J2824">
        <f ca="1"/>
        <v>4.9148471736160326</v>
      </c>
      <c r="K2824">
        <f ca="1"/>
        <v>4.9393546372199964E-4</v>
      </c>
    </row>
    <row r="2825" spans="7:11">
      <c r="G2825" s="20">
        <v>4.9165925028680268</v>
      </c>
      <c r="H2825" s="20">
        <v>1.2480644383265901E-2</v>
      </c>
      <c r="I2825" s="2">
        <f ca="1"/>
        <v>2818</v>
      </c>
      <c r="J2825">
        <f ca="1"/>
        <v>4.9165925028680268</v>
      </c>
      <c r="K2825">
        <f ca="1"/>
        <v>4.6794577473617294E-4</v>
      </c>
    </row>
    <row r="2826" spans="7:11">
      <c r="G2826" s="20">
        <v>4.9183378321200211</v>
      </c>
      <c r="H2826" s="20">
        <v>1.2481440808787568E-2</v>
      </c>
      <c r="I2826" s="2">
        <f ca="1"/>
        <v>2819</v>
      </c>
      <c r="J2826">
        <f ca="1"/>
        <v>4.9183378321200211</v>
      </c>
      <c r="K2826">
        <f ca="1"/>
        <v>4.4276874938521899E-4</v>
      </c>
    </row>
    <row r="2827" spans="7:11">
      <c r="G2827" s="20">
        <v>4.9200831613720153</v>
      </c>
      <c r="H2827" s="20">
        <v>1.2482189937766243E-2</v>
      </c>
      <c r="I2827" s="2">
        <f ca="1"/>
        <v>2820</v>
      </c>
      <c r="J2827">
        <f ca="1"/>
        <v>4.9200831613720153</v>
      </c>
      <c r="K2827">
        <f ca="1"/>
        <v>4.1548069079067209E-4</v>
      </c>
    </row>
    <row r="2828" spans="7:11">
      <c r="G2828" s="20">
        <v>4.9218284906240086</v>
      </c>
      <c r="H2828" s="20">
        <v>1.2482891109994119E-2</v>
      </c>
      <c r="I2828" s="2">
        <f ca="1"/>
        <v>2821</v>
      </c>
      <c r="J2828">
        <f ca="1"/>
        <v>4.9218284906240086</v>
      </c>
      <c r="K2828">
        <f ca="1"/>
        <v>3.8749330088471031E-4</v>
      </c>
    </row>
    <row r="2829" spans="7:11">
      <c r="G2829" s="20">
        <v>4.9235738198760037</v>
      </c>
      <c r="H2829" s="20">
        <v>1.2483542544552214E-2</v>
      </c>
      <c r="I2829" s="2">
        <f ca="1"/>
        <v>2822</v>
      </c>
      <c r="J2829">
        <f ca="1"/>
        <v>4.9235738198760037</v>
      </c>
      <c r="K2829">
        <f ca="1"/>
        <v>3.5877311145407091E-4</v>
      </c>
    </row>
    <row r="2830" spans="7:11">
      <c r="G2830" s="20">
        <v>4.9253191491279971</v>
      </c>
      <c r="H2830" s="20">
        <v>1.2484143464406619E-2</v>
      </c>
      <c r="I2830" s="2">
        <f ca="1"/>
        <v>2823</v>
      </c>
      <c r="J2830">
        <f ca="1"/>
        <v>4.9253191491279971</v>
      </c>
      <c r="K2830">
        <f ca="1"/>
        <v>3.2967329993910177E-4</v>
      </c>
    </row>
    <row r="2831" spans="7:11">
      <c r="G2831" s="20">
        <v>4.9270644783799922</v>
      </c>
      <c r="H2831" s="20">
        <v>1.2484693321460185E-2</v>
      </c>
      <c r="I2831" s="2">
        <f ca="1"/>
        <v>2824</v>
      </c>
      <c r="J2831">
        <f ca="1"/>
        <v>4.9270644783799922</v>
      </c>
      <c r="K2831">
        <f ca="1"/>
        <v>2.9235867752582803E-4</v>
      </c>
    </row>
    <row r="2832" spans="7:11">
      <c r="G2832" s="20">
        <v>4.9288098076319864</v>
      </c>
      <c r="H2832" s="20">
        <v>1.2485163988710539E-2</v>
      </c>
      <c r="I2832" s="2">
        <f ca="1"/>
        <v>2825</v>
      </c>
      <c r="J2832">
        <f ca="1"/>
        <v>4.9288098076319864</v>
      </c>
      <c r="K2832">
        <f ca="1"/>
        <v>2.5530832266365029E-4</v>
      </c>
    </row>
    <row r="2833" spans="7:11">
      <c r="G2833" s="20">
        <v>4.9305551368839806</v>
      </c>
      <c r="H2833" s="20">
        <v>1.248558451562783E-2</v>
      </c>
      <c r="I2833" s="2">
        <f ca="1"/>
        <v>2826</v>
      </c>
      <c r="J2833">
        <f ca="1"/>
        <v>4.9305551368839806</v>
      </c>
      <c r="K2833">
        <f ca="1"/>
        <v>2.2873683504007517E-4</v>
      </c>
    </row>
    <row r="2834" spans="7:11">
      <c r="G2834" s="20">
        <v>4.9323004661359757</v>
      </c>
      <c r="H2834" s="20">
        <v>1.2485962430888948E-2</v>
      </c>
      <c r="I2834" s="2">
        <f ca="1"/>
        <v>2827</v>
      </c>
      <c r="J2834">
        <f ca="1"/>
        <v>4.9323004661359757</v>
      </c>
      <c r="K2834">
        <f ca="1"/>
        <v>1.9776157431260688E-4</v>
      </c>
    </row>
    <row r="2835" spans="7:11">
      <c r="G2835" s="20">
        <v>4.9340457953879691</v>
      </c>
      <c r="H2835" s="20">
        <v>1.2486274833748966E-2</v>
      </c>
      <c r="I2835" s="2">
        <f ca="1"/>
        <v>2828</v>
      </c>
      <c r="J2835">
        <f ca="1"/>
        <v>4.9340457953879691</v>
      </c>
      <c r="K2835">
        <f ca="1"/>
        <v>1.645389027157669E-4</v>
      </c>
    </row>
    <row r="2836" spans="7:11">
      <c r="G2836" s="20">
        <v>4.9357911246399642</v>
      </c>
      <c r="H2836" s="20">
        <v>1.2486536780008949E-2</v>
      </c>
      <c r="I2836" s="2">
        <f ca="1"/>
        <v>2829</v>
      </c>
      <c r="J2836">
        <f ca="1"/>
        <v>4.9357911246399642</v>
      </c>
      <c r="K2836">
        <f ca="1"/>
        <v>1.3877791207624881E-4</v>
      </c>
    </row>
    <row r="2837" spans="7:11">
      <c r="G2837" s="20">
        <v>4.9375364538919575</v>
      </c>
      <c r="H2837" s="20">
        <v>1.2486759260047921E-2</v>
      </c>
      <c r="I2837" s="2">
        <f ca="1"/>
        <v>2830</v>
      </c>
      <c r="J2837">
        <f ca="1"/>
        <v>4.9375364538919575</v>
      </c>
      <c r="K2837">
        <f ca="1"/>
        <v>1.1341215326499534E-4</v>
      </c>
    </row>
    <row r="2838" spans="7:11">
      <c r="G2838" s="20">
        <v>4.9392817831439526</v>
      </c>
      <c r="H2838" s="20">
        <v>1.2486932663106199E-2</v>
      </c>
      <c r="I2838" s="2">
        <f ca="1"/>
        <v>2831</v>
      </c>
      <c r="J2838">
        <f ca="1"/>
        <v>4.9392817831439526</v>
      </c>
      <c r="K2838">
        <f ca="1"/>
        <v>7.8977615649110128E-5</v>
      </c>
    </row>
    <row r="2839" spans="7:11">
      <c r="G2839" s="20">
        <v>4.9410271123959468</v>
      </c>
      <c r="H2839" s="20">
        <v>1.2487034943933611E-2</v>
      </c>
      <c r="I2839" s="2">
        <f ca="1"/>
        <v>2832</v>
      </c>
      <c r="J2839">
        <f ca="1"/>
        <v>4.9410271123959468</v>
      </c>
      <c r="K2839">
        <f ca="1"/>
        <v>4.486759657240003E-5</v>
      </c>
    </row>
    <row r="2840" spans="7:11">
      <c r="G2840" s="20">
        <v>4.9427724416479411</v>
      </c>
      <c r="H2840" s="20">
        <v>1.2487089280563728E-2</v>
      </c>
      <c r="I2840" s="2">
        <f ca="1"/>
        <v>2833</v>
      </c>
      <c r="J2840">
        <f ca="1"/>
        <v>4.9427724416479411</v>
      </c>
      <c r="K2840">
        <f ca="1"/>
        <v>1.8267972015350618E-5</v>
      </c>
    </row>
    <row r="2841" spans="7:11">
      <c r="G2841" s="20">
        <v>4.9445177708999353</v>
      </c>
      <c r="H2841" s="20">
        <v>1.2487098711185477E-2</v>
      </c>
      <c r="I2841" s="2">
        <f ca="1"/>
        <v>2834</v>
      </c>
      <c r="J2841">
        <f ca="1"/>
        <v>4.9445177708999353</v>
      </c>
      <c r="K2841">
        <f ca="1"/>
        <v>-1.4054618093948583E-5</v>
      </c>
    </row>
    <row r="2842" spans="7:11">
      <c r="G2842" s="20">
        <v>4.9462631001519295</v>
      </c>
      <c r="H2842" s="20">
        <v>1.2487040220691558E-2</v>
      </c>
      <c r="I2842" s="2">
        <f ca="1"/>
        <v>2835</v>
      </c>
      <c r="J2842">
        <f ca="1"/>
        <v>4.9462631001519295</v>
      </c>
      <c r="K2842">
        <f ca="1"/>
        <v>-4.8488825787894819E-5</v>
      </c>
    </row>
    <row r="2843" spans="7:11">
      <c r="G2843" s="20">
        <v>4.9480084294039237</v>
      </c>
      <c r="H2843" s="20">
        <v>1.2486929453253392E-2</v>
      </c>
      <c r="I2843" s="2">
        <f ca="1"/>
        <v>2836</v>
      </c>
      <c r="J2843">
        <f ca="1"/>
        <v>4.9480084294039237</v>
      </c>
      <c r="K2843">
        <f ca="1"/>
        <v>-7.459107071378928E-5</v>
      </c>
    </row>
    <row r="2844" spans="7:11">
      <c r="G2844" s="20">
        <v>4.9497537586559188</v>
      </c>
      <c r="H2844" s="20">
        <v>1.248677984873625E-2</v>
      </c>
      <c r="I2844" s="2">
        <f ca="1"/>
        <v>2837</v>
      </c>
      <c r="J2844">
        <f ca="1"/>
        <v>4.9497537586559188</v>
      </c>
      <c r="K2844">
        <f ca="1"/>
        <v>-1.0004296872204028E-4</v>
      </c>
    </row>
    <row r="2845" spans="7:11">
      <c r="G2845" s="20">
        <v>4.951499087907913</v>
      </c>
      <c r="H2845" s="20">
        <v>1.2486580237413858E-2</v>
      </c>
      <c r="I2845" s="2">
        <f ca="1"/>
        <v>2838</v>
      </c>
      <c r="J2845">
        <f ca="1"/>
        <v>4.951499087907913</v>
      </c>
      <c r="K2845">
        <f ca="1"/>
        <v>-1.3500481531512321E-4</v>
      </c>
    </row>
    <row r="2846" spans="7:11">
      <c r="G2846" s="20">
        <v>4.9532444171599073</v>
      </c>
      <c r="H2846" s="20">
        <v>1.248630859302959E-2</v>
      </c>
      <c r="I2846" s="2">
        <f ca="1"/>
        <v>2839</v>
      </c>
      <c r="J2846">
        <f ca="1"/>
        <v>4.9532444171599073</v>
      </c>
      <c r="K2846">
        <f ca="1"/>
        <v>-1.7166432253501522E-4</v>
      </c>
    </row>
    <row r="2847" spans="7:11">
      <c r="G2847" s="20">
        <v>4.9549897464119015</v>
      </c>
      <c r="H2847" s="20">
        <v>1.248598101588657E-2</v>
      </c>
      <c r="I2847" s="2">
        <f ca="1"/>
        <v>2840</v>
      </c>
      <c r="J2847">
        <f ca="1"/>
        <v>4.9549897464119015</v>
      </c>
      <c r="K2847">
        <f ca="1"/>
        <v>-2.0137077204186612E-4</v>
      </c>
    </row>
    <row r="2848" spans="7:11">
      <c r="G2848" s="20">
        <v>4.9567350756638957</v>
      </c>
      <c r="H2848" s="20">
        <v>1.2485605676431708E-2</v>
      </c>
      <c r="I2848" s="2">
        <f ca="1"/>
        <v>2841</v>
      </c>
      <c r="J2848">
        <f ca="1"/>
        <v>4.9567350756638957</v>
      </c>
      <c r="K2848">
        <f ca="1"/>
        <v>-2.3169999781867443E-4</v>
      </c>
    </row>
    <row r="2849" spans="7:11">
      <c r="G2849" s="20">
        <v>4.9584804049158899</v>
      </c>
      <c r="H2849" s="20">
        <v>1.248517223031881E-2</v>
      </c>
      <c r="I2849" s="2">
        <f ca="1"/>
        <v>2842</v>
      </c>
      <c r="J2849">
        <f ca="1"/>
        <v>4.9584804049158899</v>
      </c>
      <c r="K2849">
        <f ca="1"/>
        <v>-2.634100572980154E-4</v>
      </c>
    </row>
    <row r="2850" spans="7:11">
      <c r="G2850" s="20">
        <v>4.960225734167885</v>
      </c>
      <c r="H2850" s="20">
        <v>1.2484686201875164E-2</v>
      </c>
      <c r="I2850" s="2">
        <f ca="1"/>
        <v>2843</v>
      </c>
      <c r="J2850">
        <f ca="1"/>
        <v>4.960225734167885</v>
      </c>
      <c r="K2850">
        <f ca="1"/>
        <v>-2.9066251057394365E-4</v>
      </c>
    </row>
    <row r="2851" spans="7:11">
      <c r="G2851" s="20">
        <v>4.9619710634198793</v>
      </c>
      <c r="H2851" s="20">
        <v>1.2484157626754484E-2</v>
      </c>
      <c r="I2851" s="2">
        <f ca="1"/>
        <v>2844</v>
      </c>
      <c r="J2851">
        <f ca="1"/>
        <v>4.9619710634198793</v>
      </c>
      <c r="K2851">
        <f ca="1"/>
        <v>-3.1705582716700796E-4</v>
      </c>
    </row>
    <row r="2852" spans="7:11">
      <c r="G2852" s="20">
        <v>4.9637163926718735</v>
      </c>
      <c r="H2852" s="20">
        <v>1.2483579468255825E-2</v>
      </c>
      <c r="I2852" s="2">
        <f ca="1"/>
        <v>2845</v>
      </c>
      <c r="J2852">
        <f ca="1"/>
        <v>4.9637163926718735</v>
      </c>
      <c r="K2852">
        <f ca="1"/>
        <v>-3.5206703896043103E-4</v>
      </c>
    </row>
    <row r="2853" spans="7:11">
      <c r="G2853" s="20">
        <v>4.9654617219238677</v>
      </c>
      <c r="H2853" s="20">
        <v>1.2482928680950963E-2</v>
      </c>
      <c r="I2853" s="2">
        <f ca="1"/>
        <v>2846</v>
      </c>
      <c r="J2853">
        <f ca="1"/>
        <v>4.9654617219238677</v>
      </c>
      <c r="K2853">
        <f ca="1"/>
        <v>-3.8886847503028681E-4</v>
      </c>
    </row>
    <row r="2854" spans="7:11">
      <c r="G2854" s="20">
        <v>4.9672070511758619</v>
      </c>
      <c r="H2854" s="20">
        <v>1.2482222061206527E-2</v>
      </c>
      <c r="I2854" s="2">
        <f ca="1"/>
        <v>2847</v>
      </c>
      <c r="J2854">
        <f ca="1"/>
        <v>4.9672070511758619</v>
      </c>
      <c r="K2854">
        <f ca="1"/>
        <v>-4.1548044129841488E-4</v>
      </c>
    </row>
    <row r="2855" spans="7:11">
      <c r="G2855" s="20">
        <v>4.9689523804278561</v>
      </c>
      <c r="H2855" s="20">
        <v>1.2481478380615304E-2</v>
      </c>
      <c r="I2855" s="2">
        <f ca="1"/>
        <v>2848</v>
      </c>
      <c r="J2855">
        <f ca="1"/>
        <v>4.9689523804278561</v>
      </c>
      <c r="K2855">
        <f ca="1"/>
        <v>-4.4088081730260265E-4</v>
      </c>
    </row>
    <row r="2856" spans="7:11">
      <c r="G2856" s="20">
        <v>4.9706977096798504</v>
      </c>
      <c r="H2856" s="20">
        <v>1.2480683096832364E-2</v>
      </c>
      <c r="I2856" s="2">
        <f ca="1"/>
        <v>2849</v>
      </c>
      <c r="J2856">
        <f ca="1"/>
        <v>4.9706977096798504</v>
      </c>
      <c r="K2856">
        <f ca="1"/>
        <v>-4.7668921429877407E-4</v>
      </c>
    </row>
    <row r="2857" spans="7:11">
      <c r="G2857" s="20">
        <v>4.9724430389318446</v>
      </c>
      <c r="H2857" s="20">
        <v>1.2479814421355652E-2</v>
      </c>
      <c r="I2857" s="2">
        <f ca="1"/>
        <v>2850</v>
      </c>
      <c r="J2857">
        <f ca="1"/>
        <v>4.9724430389318446</v>
      </c>
      <c r="K2857">
        <f ca="1"/>
        <v>-5.1212836123784339E-4</v>
      </c>
    </row>
    <row r="2858" spans="7:11">
      <c r="G2858" s="20">
        <v>4.9741883681838397</v>
      </c>
      <c r="H2858" s="20">
        <v>1.2478895431613075E-2</v>
      </c>
      <c r="I2858" s="2">
        <f ca="1"/>
        <v>2851</v>
      </c>
      <c r="J2858">
        <f ca="1"/>
        <v>4.9741883681838397</v>
      </c>
      <c r="K2858">
        <f ca="1"/>
        <v>-5.3973794609434944E-4</v>
      </c>
    </row>
    <row r="2859" spans="7:11">
      <c r="G2859" s="20">
        <v>4.9759336974358339</v>
      </c>
      <c r="H2859" s="20">
        <v>1.2477930380504192E-2</v>
      </c>
      <c r="I2859" s="2">
        <f ca="1"/>
        <v>2852</v>
      </c>
      <c r="J2859">
        <f ca="1"/>
        <v>4.9759336974358339</v>
      </c>
      <c r="K2859">
        <f ca="1"/>
        <v>-5.7299617212415107E-4</v>
      </c>
    </row>
    <row r="2860" spans="7:11">
      <c r="G2860" s="20">
        <v>4.9776790266878281</v>
      </c>
      <c r="H2860" s="20">
        <v>1.2476895297652097E-2</v>
      </c>
      <c r="I2860" s="2">
        <f ca="1"/>
        <v>2853</v>
      </c>
      <c r="J2860">
        <f ca="1"/>
        <v>4.9776790266878281</v>
      </c>
      <c r="K2860">
        <f ca="1"/>
        <v>-6.0844911177279572E-4</v>
      </c>
    </row>
    <row r="2861" spans="7:11">
      <c r="G2861" s="20">
        <v>4.9794243559398224</v>
      </c>
      <c r="H2861" s="20">
        <v>1.2475806492437938E-2</v>
      </c>
      <c r="I2861" s="2">
        <f ca="1"/>
        <v>2854</v>
      </c>
      <c r="J2861">
        <f ca="1"/>
        <v>4.9794243559398224</v>
      </c>
      <c r="K2861">
        <f ca="1"/>
        <v>-6.3534828092004926E-4</v>
      </c>
    </row>
    <row r="2862" spans="7:11">
      <c r="G2862" s="20">
        <v>4.9811696851918166</v>
      </c>
      <c r="H2862" s="20">
        <v>1.2474677513772309E-2</v>
      </c>
      <c r="I2862" s="2">
        <f ca="1"/>
        <v>2855</v>
      </c>
      <c r="J2862">
        <f ca="1"/>
        <v>4.9811696851918166</v>
      </c>
      <c r="K2862">
        <f ca="1"/>
        <v>-6.616171397595482E-4</v>
      </c>
    </row>
    <row r="2863" spans="7:11">
      <c r="G2863" s="20">
        <v>4.9829150144438108</v>
      </c>
      <c r="H2863" s="20">
        <v>1.2473497012942652E-2</v>
      </c>
      <c r="I2863" s="2">
        <f ca="1"/>
        <v>2856</v>
      </c>
      <c r="J2863">
        <f ca="1"/>
        <v>4.9829150144438108</v>
      </c>
      <c r="K2863">
        <f ca="1"/>
        <v>-6.9766628628415187E-4</v>
      </c>
    </row>
    <row r="2864" spans="7:11">
      <c r="G2864" s="20">
        <v>4.9846603436958041</v>
      </c>
      <c r="H2864" s="20">
        <v>1.2472242199017146E-2</v>
      </c>
      <c r="I2864" s="2">
        <f ca="1"/>
        <v>2857</v>
      </c>
      <c r="J2864">
        <f ca="1"/>
        <v>4.9846603436958041</v>
      </c>
      <c r="K2864">
        <f ca="1"/>
        <v>-7.3335894301903074E-4</v>
      </c>
    </row>
    <row r="2865" spans="7:11">
      <c r="G2865" s="20">
        <v>4.9864056729477992</v>
      </c>
      <c r="H2865" s="20">
        <v>1.2470937107311727E-2</v>
      </c>
      <c r="I2865" s="2">
        <f ca="1"/>
        <v>2858</v>
      </c>
      <c r="J2865">
        <f ca="1"/>
        <v>4.9864056729477992</v>
      </c>
      <c r="K2865">
        <f ca="1"/>
        <v>-7.6115816574893037E-4</v>
      </c>
    </row>
    <row r="2866" spans="7:11">
      <c r="G2866" s="20">
        <v>4.9881510021997926</v>
      </c>
      <c r="H2866" s="20">
        <v>1.2469585255792994E-2</v>
      </c>
      <c r="I2866" s="2">
        <f ca="1"/>
        <v>2859</v>
      </c>
      <c r="J2866">
        <f ca="1"/>
        <v>4.9881510021997926</v>
      </c>
      <c r="K2866">
        <f ca="1"/>
        <v>-7.9486120054917395E-4</v>
      </c>
    </row>
    <row r="2867" spans="7:11">
      <c r="G2867" s="20">
        <v>4.9898963314517877</v>
      </c>
      <c r="H2867" s="20">
        <v>1.2468162518302539E-2</v>
      </c>
      <c r="I2867" s="2">
        <f ca="1"/>
        <v>2860</v>
      </c>
      <c r="J2867">
        <f ca="1"/>
        <v>4.9898963314517877</v>
      </c>
      <c r="K2867">
        <f ca="1"/>
        <v>-8.3076973791287693E-4</v>
      </c>
    </row>
    <row r="2868" spans="7:11">
      <c r="G2868" s="20">
        <v>4.9916416607037828</v>
      </c>
      <c r="H2868" s="20">
        <v>1.2466685322342491E-2</v>
      </c>
      <c r="I2868" s="2">
        <f ca="1"/>
        <v>2861</v>
      </c>
      <c r="J2868">
        <f ca="1"/>
        <v>4.9916416607037828</v>
      </c>
      <c r="K2868">
        <f ca="1"/>
        <v>-8.5796852715491929E-4</v>
      </c>
    </row>
    <row r="2869" spans="7:11">
      <c r="G2869" s="20">
        <v>4.993386989955777</v>
      </c>
      <c r="H2869" s="20">
        <v>1.2465167643167071E-2</v>
      </c>
      <c r="I2869" s="2">
        <f ca="1"/>
        <v>2862</v>
      </c>
      <c r="J2869">
        <f ca="1"/>
        <v>4.993386989955777</v>
      </c>
      <c r="K2869">
        <f ca="1"/>
        <v>-8.8449092369290324E-4</v>
      </c>
    </row>
    <row r="2870" spans="7:11">
      <c r="G2870" s="20">
        <v>4.9951323192077712</v>
      </c>
      <c r="H2870" s="20">
        <v>1.2463597866578002E-2</v>
      </c>
      <c r="I2870" s="2">
        <f ca="1"/>
        <v>2863</v>
      </c>
      <c r="J2870">
        <f ca="1"/>
        <v>4.9951323192077712</v>
      </c>
      <c r="K2870">
        <f ca="1"/>
        <v>-9.2093888523017134E-4</v>
      </c>
    </row>
    <row r="2871" spans="7:11">
      <c r="G2871" s="20">
        <v>4.9968776484597655</v>
      </c>
      <c r="H2871" s="20">
        <v>1.2461952960015689E-2</v>
      </c>
      <c r="I2871" s="2">
        <f ca="1"/>
        <v>2864</v>
      </c>
      <c r="J2871">
        <f ca="1"/>
        <v>4.9968776484597655</v>
      </c>
      <c r="K2871">
        <f ca="1"/>
        <v>-9.591520051759171E-4</v>
      </c>
    </row>
    <row r="2872" spans="7:11">
      <c r="G2872" s="20">
        <v>4.9986229777117597</v>
      </c>
      <c r="H2872" s="20">
        <v>1.2460249794474517E-2</v>
      </c>
      <c r="I2872" s="2">
        <f ca="1"/>
        <v>2865</v>
      </c>
      <c r="J2872">
        <f ca="1"/>
        <v>4.9986229777117597</v>
      </c>
      <c r="K2872">
        <f ca="1"/>
        <v>-9.9008193691344014E-4</v>
      </c>
    </row>
    <row r="2873" spans="7:11">
      <c r="G2873" s="20">
        <v>5.0003683069637539</v>
      </c>
      <c r="H2873" s="20">
        <v>1.2458496922082956E-2</v>
      </c>
      <c r="I2873" s="2">
        <f ca="1"/>
        <v>2866</v>
      </c>
      <c r="J2873">
        <f ca="1"/>
        <v>5.0003683069637539</v>
      </c>
      <c r="K2873">
        <f ca="1"/>
        <v>-1.0216541464310607E-3</v>
      </c>
    </row>
    <row r="2874" spans="7:11">
      <c r="G2874" s="20">
        <v>5.002113636215749</v>
      </c>
      <c r="H2874" s="20">
        <v>1.2456683548740142E-2</v>
      </c>
      <c r="I2874" s="2">
        <f ca="1"/>
        <v>2867</v>
      </c>
      <c r="J2874">
        <f ca="1"/>
        <v>5.002113636215749</v>
      </c>
      <c r="K2874">
        <f ca="1"/>
        <v>-1.0546581223912545E-3</v>
      </c>
    </row>
    <row r="2875" spans="7:11">
      <c r="G2875" s="20">
        <v>5.0038589654677432</v>
      </c>
      <c r="H2875" s="20">
        <v>1.245481547073923E-2</v>
      </c>
      <c r="I2875" s="2">
        <f ca="1"/>
        <v>2868</v>
      </c>
      <c r="J2875">
        <f ca="1"/>
        <v>5.0038589654677432</v>
      </c>
      <c r="K2875">
        <f ca="1"/>
        <v>-1.0829929563154087E-3</v>
      </c>
    </row>
    <row r="2876" spans="7:11">
      <c r="G2876" s="20">
        <v>5.0056042947197374</v>
      </c>
      <c r="H2876" s="20">
        <v>1.245290319016742E-2</v>
      </c>
      <c r="I2876" s="2">
        <f ca="1"/>
        <v>2869</v>
      </c>
      <c r="J2876">
        <f ca="1"/>
        <v>5.0056042947197374</v>
      </c>
      <c r="K2876">
        <f ca="1"/>
        <v>-1.1104195444137106E-3</v>
      </c>
    </row>
    <row r="2877" spans="7:11">
      <c r="G2877" s="20">
        <v>5.0073496239717326</v>
      </c>
      <c r="H2877" s="20">
        <v>1.2450939375313526E-2</v>
      </c>
      <c r="I2877" s="2">
        <f ca="1"/>
        <v>2870</v>
      </c>
      <c r="J2877">
        <f ca="1"/>
        <v>5.0073496239717326</v>
      </c>
      <c r="K2877">
        <f ca="1"/>
        <v>-1.1468379180173745E-3</v>
      </c>
    </row>
    <row r="2878" spans="7:11">
      <c r="G2878" s="20">
        <v>5.0090949532237259</v>
      </c>
      <c r="H2878" s="20">
        <v>1.2448899970636196E-2</v>
      </c>
      <c r="I2878" s="2">
        <f ca="1"/>
        <v>2871</v>
      </c>
      <c r="J2878">
        <f ca="1"/>
        <v>5.0090949532237259</v>
      </c>
      <c r="K2878">
        <f ca="1"/>
        <v>-1.1851156616479556E-3</v>
      </c>
    </row>
    <row r="2879" spans="7:11">
      <c r="G2879" s="20">
        <v>5.010840282475721</v>
      </c>
      <c r="H2879" s="20">
        <v>1.2446802541250985E-2</v>
      </c>
      <c r="I2879" s="2">
        <f ca="1"/>
        <v>2872</v>
      </c>
      <c r="J2879">
        <f ca="1"/>
        <v>5.010840282475721</v>
      </c>
      <c r="K2879">
        <f ca="1"/>
        <v>-1.2127400667323576E-3</v>
      </c>
    </row>
    <row r="2880" spans="7:11">
      <c r="G2880" s="20">
        <v>5.0125856117277143</v>
      </c>
      <c r="H2880" s="20">
        <v>1.2444666709209129E-2</v>
      </c>
      <c r="I2880" s="2">
        <f ca="1"/>
        <v>2873</v>
      </c>
      <c r="J2880">
        <f ca="1"/>
        <v>5.0125856117277143</v>
      </c>
      <c r="K2880">
        <f ca="1"/>
        <v>-1.2390882644348353E-3</v>
      </c>
    </row>
    <row r="2881" spans="7:11">
      <c r="G2881" s="20">
        <v>5.0143309409797094</v>
      </c>
      <c r="H2881" s="20">
        <v>1.2442477307263543E-2</v>
      </c>
      <c r="I2881" s="2">
        <f ca="1"/>
        <v>2874</v>
      </c>
      <c r="J2881">
        <f ca="1"/>
        <v>5.0143309409797094</v>
      </c>
      <c r="K2881">
        <f ca="1"/>
        <v>-1.2762910482011774E-3</v>
      </c>
    </row>
    <row r="2882" spans="7:11">
      <c r="G2882" s="20">
        <v>5.0160762702317028</v>
      </c>
      <c r="H2882" s="20">
        <v>1.2440211613008161E-2</v>
      </c>
      <c r="I2882" s="2">
        <f ca="1"/>
        <v>2875</v>
      </c>
      <c r="J2882">
        <f ca="1"/>
        <v>5.0160762702317028</v>
      </c>
      <c r="K2882">
        <f ca="1"/>
        <v>-1.3130983539283781E-3</v>
      </c>
    </row>
    <row r="2883" spans="7:11">
      <c r="G2883" s="20">
        <v>5.017821599483697</v>
      </c>
      <c r="H2883" s="20">
        <v>1.2437893729327831E-2</v>
      </c>
      <c r="I2883" s="2">
        <f ca="1"/>
        <v>2876</v>
      </c>
      <c r="J2883">
        <f ca="1"/>
        <v>5.017821599483697</v>
      </c>
      <c r="K2883">
        <f ca="1"/>
        <v>-1.3417217990559758E-3</v>
      </c>
    </row>
    <row r="2884" spans="7:11">
      <c r="G2884" s="20">
        <v>5.0195669287356921</v>
      </c>
      <c r="H2884" s="20">
        <v>1.2435528120400299E-2</v>
      </c>
      <c r="I2884" s="2">
        <f ca="1"/>
        <v>2877</v>
      </c>
      <c r="J2884">
        <f ca="1"/>
        <v>5.0195669287356921</v>
      </c>
      <c r="K2884">
        <f ca="1"/>
        <v>-1.3762254315380501E-3</v>
      </c>
    </row>
    <row r="2885" spans="7:11">
      <c r="G2885" s="20">
        <v>5.0213122579876854</v>
      </c>
      <c r="H2885" s="20">
        <v>1.2433089796321828E-2</v>
      </c>
      <c r="I2885" s="2">
        <f ca="1"/>
        <v>2878</v>
      </c>
      <c r="J2885">
        <f ca="1"/>
        <v>5.0213122579876854</v>
      </c>
      <c r="K2885">
        <f ca="1"/>
        <v>-1.4130079799813346E-3</v>
      </c>
    </row>
    <row r="2886" spans="7:11">
      <c r="G2886" s="20">
        <v>5.0230575872396805</v>
      </c>
      <c r="H2886" s="20">
        <v>1.2430595792078773E-2</v>
      </c>
      <c r="I2886" s="2">
        <f ca="1"/>
        <v>2879</v>
      </c>
      <c r="J2886">
        <f ca="1"/>
        <v>5.0230575872396805</v>
      </c>
      <c r="K2886">
        <f ca="1"/>
        <v>-1.4408577743432018E-3</v>
      </c>
    </row>
    <row r="2887" spans="7:11">
      <c r="G2887" s="20">
        <v>5.0248029164916739</v>
      </c>
      <c r="H2887" s="20">
        <v>1.2428060253878779E-2</v>
      </c>
      <c r="I2887" s="2">
        <f ca="1"/>
        <v>2880</v>
      </c>
      <c r="J2887">
        <f ca="1"/>
        <v>5.0248029164916739</v>
      </c>
      <c r="K2887">
        <f ca="1"/>
        <v>-1.4680391909729521E-3</v>
      </c>
    </row>
    <row r="2888" spans="7:11">
      <c r="G2888" s="20">
        <v>5.026548245743669</v>
      </c>
      <c r="H2888" s="20">
        <v>1.2425471368592615E-2</v>
      </c>
      <c r="I2888" s="2">
        <f ca="1"/>
        <v>2881</v>
      </c>
      <c r="J2888">
        <f ca="1"/>
        <v>5.026548245743669</v>
      </c>
      <c r="K2888">
        <f ca="1"/>
        <v>-1.5054052106438969E-3</v>
      </c>
    </row>
    <row r="2889" spans="7:11">
      <c r="G2889" s="20">
        <v>5.0282935749956623</v>
      </c>
      <c r="H2889" s="20">
        <v>1.2422805398378296E-2</v>
      </c>
      <c r="I2889" s="2">
        <f ca="1"/>
        <v>2882</v>
      </c>
      <c r="J2889">
        <f ca="1"/>
        <v>5.0282935749956623</v>
      </c>
      <c r="K2889">
        <f ca="1"/>
        <v>-1.5423895531941215E-3</v>
      </c>
    </row>
    <row r="2890" spans="7:11">
      <c r="G2890" s="20">
        <v>5.0300389042476574</v>
      </c>
      <c r="H2890" s="20">
        <v>1.2420087413382295E-2</v>
      </c>
      <c r="I2890" s="2">
        <f ca="1"/>
        <v>2883</v>
      </c>
      <c r="J2890">
        <f ca="1"/>
        <v>5.0300389042476574</v>
      </c>
      <c r="K2890">
        <f ca="1"/>
        <v>-1.5711340780683941E-3</v>
      </c>
    </row>
    <row r="2891" spans="7:11">
      <c r="G2891" s="20">
        <v>5.0317842334996508</v>
      </c>
      <c r="H2891" s="20">
        <v>1.241732110584778E-2</v>
      </c>
      <c r="I2891" s="2">
        <f ca="1"/>
        <v>2884</v>
      </c>
      <c r="J2891">
        <f ca="1"/>
        <v>5.0317842334996508</v>
      </c>
      <c r="K2891">
        <f ca="1"/>
        <v>-1.6060164807467396E-3</v>
      </c>
    </row>
    <row r="2892" spans="7:11">
      <c r="G2892" s="20">
        <v>5.0335295627516459</v>
      </c>
      <c r="H2892" s="20">
        <v>1.2414481358296231E-2</v>
      </c>
      <c r="I2892" s="2">
        <f ca="1"/>
        <v>2885</v>
      </c>
      <c r="J2892">
        <f ca="1"/>
        <v>5.0335295627516459</v>
      </c>
      <c r="K2892">
        <f ca="1"/>
        <v>-1.6431852612051275E-3</v>
      </c>
    </row>
    <row r="2893" spans="7:11">
      <c r="G2893" s="20">
        <v>5.035274892003641</v>
      </c>
      <c r="H2893" s="20">
        <v>1.2411585307242123E-2</v>
      </c>
      <c r="I2893" s="2">
        <f ca="1"/>
        <v>2886</v>
      </c>
      <c r="J2893">
        <f ca="1"/>
        <v>5.035274892003641</v>
      </c>
      <c r="K2893">
        <f ca="1"/>
        <v>-1.6712706576546554E-3</v>
      </c>
    </row>
    <row r="2894" spans="7:11">
      <c r="G2894" s="20">
        <v>5.0370202212556352</v>
      </c>
      <c r="H2894" s="20">
        <v>1.2408647523162621E-2</v>
      </c>
      <c r="I2894" s="2">
        <f ca="1"/>
        <v>2887</v>
      </c>
      <c r="J2894">
        <f ca="1"/>
        <v>5.0370202212556352</v>
      </c>
      <c r="K2894">
        <f ca="1"/>
        <v>-1.6986405943641369E-3</v>
      </c>
    </row>
    <row r="2895" spans="7:11">
      <c r="G2895" s="20">
        <v>5.0387655505076285</v>
      </c>
      <c r="H2895" s="20">
        <v>1.2405655933006188E-2</v>
      </c>
      <c r="I2895" s="2">
        <f ca="1"/>
        <v>2888</v>
      </c>
      <c r="J2895">
        <f ca="1"/>
        <v>5.0387655505076285</v>
      </c>
      <c r="K2895">
        <f ca="1"/>
        <v>-1.7363321010019949E-3</v>
      </c>
    </row>
    <row r="2896" spans="7:11">
      <c r="G2896" s="20">
        <v>5.0405108797596236</v>
      </c>
      <c r="H2896" s="20">
        <v>1.240258658074851E-2</v>
      </c>
      <c r="I2896" s="2">
        <f ca="1"/>
        <v>2889</v>
      </c>
      <c r="J2896">
        <f ca="1"/>
        <v>5.0405108797596236</v>
      </c>
      <c r="K2896">
        <f ca="1"/>
        <v>-1.7758494487241951E-3</v>
      </c>
    </row>
    <row r="2897" spans="7:11">
      <c r="G2897" s="20">
        <v>5.042256209011617</v>
      </c>
      <c r="H2897" s="20">
        <v>1.2399457049026195E-2</v>
      </c>
      <c r="I2897" s="2">
        <f ca="1"/>
        <v>2890</v>
      </c>
      <c r="J2897">
        <f ca="1"/>
        <v>5.042256209011617</v>
      </c>
      <c r="K2897">
        <f ca="1"/>
        <v>-1.8077720370871199E-3</v>
      </c>
    </row>
    <row r="2898" spans="7:11">
      <c r="G2898" s="20">
        <v>5.0440015382636121</v>
      </c>
      <c r="H2898" s="20">
        <v>1.239627626591398E-2</v>
      </c>
      <c r="I2898" s="2">
        <f ca="1"/>
        <v>2891</v>
      </c>
      <c r="J2898">
        <f ca="1"/>
        <v>5.0440015382636121</v>
      </c>
      <c r="K2898">
        <f ca="1"/>
        <v>-1.8365328430384813E-3</v>
      </c>
    </row>
    <row r="2899" spans="7:11">
      <c r="G2899" s="20">
        <v>5.0457468675156072</v>
      </c>
      <c r="H2899" s="20">
        <v>1.2393046340039786E-2</v>
      </c>
      <c r="I2899" s="2">
        <f ca="1"/>
        <v>2892</v>
      </c>
      <c r="J2899">
        <f ca="1"/>
        <v>5.0457468675156072</v>
      </c>
      <c r="K2899">
        <f ca="1"/>
        <v>-1.865547620021714E-3</v>
      </c>
    </row>
    <row r="2900" spans="7:11">
      <c r="G2900" s="20">
        <v>5.0474921967676023</v>
      </c>
      <c r="H2900" s="20">
        <v>1.2389764276249552E-2</v>
      </c>
      <c r="I2900" s="2">
        <f ca="1"/>
        <v>2893</v>
      </c>
      <c r="J2900">
        <f ca="1"/>
        <v>5.0474921967676023</v>
      </c>
      <c r="K2900">
        <f ca="1"/>
        <v>-1.8960682498214549E-3</v>
      </c>
    </row>
    <row r="2901" spans="7:11">
      <c r="G2901" s="20">
        <v>5.0492375260195956</v>
      </c>
      <c r="H2901" s="20">
        <v>1.2386427813279404E-2</v>
      </c>
      <c r="I2901" s="2">
        <f ca="1"/>
        <v>2894</v>
      </c>
      <c r="J2901">
        <f ca="1"/>
        <v>5.0492375260195956</v>
      </c>
      <c r="K2901">
        <f ca="1"/>
        <v>-1.927470043935844E-3</v>
      </c>
    </row>
    <row r="2902" spans="7:11">
      <c r="G2902" s="20">
        <v>5.0509828552715899</v>
      </c>
      <c r="H2902" s="20">
        <v>1.2383036136549506E-2</v>
      </c>
      <c r="I2902" s="2">
        <f ca="1"/>
        <v>2895</v>
      </c>
      <c r="J2902">
        <f ca="1"/>
        <v>5.0509828552715899</v>
      </c>
      <c r="K2902">
        <f ca="1"/>
        <v>-1.9676841870031781E-3</v>
      </c>
    </row>
    <row r="2903" spans="7:11">
      <c r="G2903" s="20">
        <v>5.0527281845235841</v>
      </c>
      <c r="H2903" s="20">
        <v>1.2379559299738878E-2</v>
      </c>
      <c r="I2903" s="2">
        <f ca="1"/>
        <v>2896</v>
      </c>
      <c r="J2903">
        <f ca="1"/>
        <v>5.0527281845235841</v>
      </c>
      <c r="K2903">
        <f ca="1"/>
        <v>-2.0093909318404726E-3</v>
      </c>
    </row>
    <row r="2904" spans="7:11">
      <c r="G2904" s="20">
        <v>5.0544735137755783</v>
      </c>
      <c r="H2904" s="20">
        <v>1.237602203900544E-2</v>
      </c>
      <c r="I2904" s="2">
        <f ca="1"/>
        <v>2897</v>
      </c>
      <c r="J2904">
        <f ca="1"/>
        <v>5.0544735137755783</v>
      </c>
      <c r="K2904">
        <f ca="1"/>
        <v>-2.0372917541440151E-3</v>
      </c>
    </row>
    <row r="2905" spans="7:11">
      <c r="G2905" s="20">
        <v>5.0562188430275725</v>
      </c>
      <c r="H2905" s="20">
        <v>1.237244780995217E-2</v>
      </c>
      <c r="I2905" s="2">
        <f ca="1"/>
        <v>2898</v>
      </c>
      <c r="J2905">
        <f ca="1"/>
        <v>5.0562188430275725</v>
      </c>
      <c r="K2905">
        <f ca="1"/>
        <v>-2.0638831224437828E-3</v>
      </c>
    </row>
    <row r="2906" spans="7:11">
      <c r="G2906" s="20">
        <v>5.0579641722795667</v>
      </c>
      <c r="H2906" s="20">
        <v>1.2368817727832843E-2</v>
      </c>
      <c r="I2906" s="2">
        <f ca="1"/>
        <v>2899</v>
      </c>
      <c r="J2906">
        <f ca="1"/>
        <v>5.0579641722795667</v>
      </c>
      <c r="K2906">
        <f ca="1"/>
        <v>-2.1024772810049508E-3</v>
      </c>
    </row>
    <row r="2907" spans="7:11">
      <c r="G2907" s="20">
        <v>5.059709501531561</v>
      </c>
      <c r="H2907" s="20">
        <v>1.2365108779751787E-2</v>
      </c>
      <c r="I2907" s="2">
        <f ca="1"/>
        <v>2900</v>
      </c>
      <c r="J2907">
        <f ca="1"/>
        <v>5.059709501531561</v>
      </c>
      <c r="K2907">
        <f ca="1"/>
        <v>-2.1406307687732158E-3</v>
      </c>
    </row>
    <row r="2908" spans="7:11">
      <c r="G2908" s="20">
        <v>5.0614548307835552</v>
      </c>
      <c r="H2908" s="20">
        <v>1.2361345516835926E-2</v>
      </c>
      <c r="I2908" s="2">
        <f ca="1"/>
        <v>2901</v>
      </c>
      <c r="J2908">
        <f ca="1"/>
        <v>5.0614548307835552</v>
      </c>
      <c r="K2908">
        <f ca="1"/>
        <v>-2.1701504151102752E-3</v>
      </c>
    </row>
    <row r="2909" spans="7:11">
      <c r="G2909" s="20">
        <v>5.0632001600355503</v>
      </c>
      <c r="H2909" s="20">
        <v>1.2357533525750346E-2</v>
      </c>
      <c r="I2909" s="2">
        <f ca="1"/>
        <v>2902</v>
      </c>
      <c r="J2909">
        <f ca="1"/>
        <v>5.0632001600355503</v>
      </c>
      <c r="K2909">
        <f ca="1"/>
        <v>-2.2055358356407795E-3</v>
      </c>
    </row>
    <row r="2910" spans="7:11">
      <c r="G2910" s="20">
        <v>5.0649454892875436</v>
      </c>
      <c r="H2910" s="20">
        <v>1.2353646744415395E-2</v>
      </c>
      <c r="I2910" s="2">
        <f ca="1"/>
        <v>2903</v>
      </c>
      <c r="J2910">
        <f ca="1"/>
        <v>5.0649454892875436</v>
      </c>
      <c r="K2910">
        <f ca="1"/>
        <v>-2.2432927866647928E-3</v>
      </c>
    </row>
    <row r="2911" spans="7:11">
      <c r="G2911" s="20">
        <v>5.0666908185395387</v>
      </c>
      <c r="H2911" s="20">
        <v>1.2349702956707639E-2</v>
      </c>
      <c r="I2911" s="2">
        <f ca="1"/>
        <v>2904</v>
      </c>
      <c r="J2911">
        <f ca="1"/>
        <v>5.0666908185395387</v>
      </c>
      <c r="K2911">
        <f ca="1"/>
        <v>-2.2718363381335101E-3</v>
      </c>
    </row>
    <row r="2912" spans="7:11">
      <c r="G2912" s="20">
        <v>5.0684361477915321</v>
      </c>
      <c r="H2912" s="20">
        <v>1.2345716539582019E-2</v>
      </c>
      <c r="I2912" s="2">
        <f ca="1"/>
        <v>2905</v>
      </c>
      <c r="J2912">
        <f ca="1"/>
        <v>5.0684361477915321</v>
      </c>
      <c r="K2912">
        <f ca="1"/>
        <v>-2.2997165033779615E-3</v>
      </c>
    </row>
    <row r="2913" spans="7:11">
      <c r="G2913" s="20">
        <v>5.0701814770435272</v>
      </c>
      <c r="H2913" s="20">
        <v>1.234167543173836E-2</v>
      </c>
      <c r="I2913" s="2">
        <f ca="1"/>
        <v>2906</v>
      </c>
      <c r="J2913">
        <f ca="1"/>
        <v>5.0701814770435272</v>
      </c>
      <c r="K2913">
        <f ca="1"/>
        <v>-2.3381098346203287E-3</v>
      </c>
    </row>
    <row r="2914" spans="7:11">
      <c r="G2914" s="20">
        <v>5.0719268062955214</v>
      </c>
      <c r="H2914" s="20">
        <v>1.2337554996604541E-2</v>
      </c>
      <c r="I2914" s="2">
        <f ca="1"/>
        <v>2907</v>
      </c>
      <c r="J2914">
        <f ca="1"/>
        <v>5.0719268062955214</v>
      </c>
      <c r="K2914">
        <f ca="1"/>
        <v>-2.3760969924404942E-3</v>
      </c>
    </row>
    <row r="2915" spans="7:11">
      <c r="G2915" s="20">
        <v>5.0736721355475156</v>
      </c>
      <c r="H2915" s="20">
        <v>1.2333381288565396E-2</v>
      </c>
      <c r="I2915" s="2">
        <f ca="1"/>
        <v>2908</v>
      </c>
      <c r="J2915">
        <f ca="1"/>
        <v>5.0736721355475156</v>
      </c>
      <c r="K2915">
        <f ca="1"/>
        <v>-2.4055255622385937E-3</v>
      </c>
    </row>
    <row r="2916" spans="7:11">
      <c r="G2916" s="20">
        <v>5.0754174647995098</v>
      </c>
      <c r="H2916" s="20">
        <v>1.2329158128344151E-2</v>
      </c>
      <c r="I2916" s="2">
        <f ca="1"/>
        <v>2909</v>
      </c>
      <c r="J2916">
        <f ca="1"/>
        <v>5.0754174647995098</v>
      </c>
      <c r="K2916">
        <f ca="1"/>
        <v>-2.4413099110374616E-3</v>
      </c>
    </row>
    <row r="2917" spans="7:11">
      <c r="G2917" s="20">
        <v>5.0771627940515041</v>
      </c>
      <c r="H2917" s="20">
        <v>1.2324859509363562E-2</v>
      </c>
      <c r="I2917" s="2">
        <f ca="1"/>
        <v>2910</v>
      </c>
      <c r="J2917">
        <f ca="1"/>
        <v>5.0771627940515041</v>
      </c>
      <c r="K2917">
        <f ca="1"/>
        <v>-2.4794509701010106E-3</v>
      </c>
    </row>
    <row r="2918" spans="7:11">
      <c r="G2918" s="20">
        <v>5.0789081233034983</v>
      </c>
      <c r="H2918" s="20">
        <v>1.2320503211730146E-2</v>
      </c>
      <c r="I2918" s="2">
        <f ca="1"/>
        <v>2911</v>
      </c>
      <c r="J2918">
        <f ca="1"/>
        <v>5.0789081233034983</v>
      </c>
      <c r="K2918">
        <f ca="1"/>
        <v>-2.5081652931564324E-3</v>
      </c>
    </row>
    <row r="2919" spans="7:11">
      <c r="G2919" s="20">
        <v>5.0806534525554934</v>
      </c>
      <c r="H2919" s="20">
        <v>1.2316104360853595E-2</v>
      </c>
      <c r="I2919" s="2">
        <f ca="1"/>
        <v>2912</v>
      </c>
      <c r="J2919">
        <f ca="1"/>
        <v>5.0806534525554934</v>
      </c>
      <c r="K2919">
        <f ca="1"/>
        <v>-2.5361241718912671E-3</v>
      </c>
    </row>
    <row r="2920" spans="7:11">
      <c r="G2920" s="20">
        <v>5.0823987818074876</v>
      </c>
      <c r="H2920" s="20">
        <v>1.231165046832236E-2</v>
      </c>
      <c r="I2920" s="2">
        <f ca="1"/>
        <v>2913</v>
      </c>
      <c r="J2920">
        <f ca="1"/>
        <v>5.0823987818074876</v>
      </c>
      <c r="K2920">
        <f ca="1"/>
        <v>-2.574760721331153E-3</v>
      </c>
    </row>
    <row r="2921" spans="7:11">
      <c r="G2921" s="20">
        <v>5.0841441110594818</v>
      </c>
      <c r="H2921" s="20">
        <v>1.2307116750445945E-2</v>
      </c>
      <c r="I2921" s="2">
        <f ca="1"/>
        <v>2914</v>
      </c>
      <c r="J2921">
        <f ca="1"/>
        <v>5.0841441110594818</v>
      </c>
      <c r="K2921">
        <f ca="1"/>
        <v>-2.615274348255496E-3</v>
      </c>
    </row>
    <row r="2922" spans="7:11">
      <c r="G2922" s="20">
        <v>5.0858894403114761</v>
      </c>
      <c r="H2922" s="20">
        <v>1.230252143867836E-2</v>
      </c>
      <c r="I2922" s="2">
        <f ca="1"/>
        <v>2915</v>
      </c>
      <c r="J2922">
        <f ca="1"/>
        <v>5.0858894403114761</v>
      </c>
      <c r="K2922">
        <f ca="1"/>
        <v>-2.6479092957479712E-3</v>
      </c>
    </row>
    <row r="2923" spans="7:11">
      <c r="G2923" s="20">
        <v>5.0876347695634703</v>
      </c>
      <c r="H2923" s="20">
        <v>1.2297873803344952E-2</v>
      </c>
      <c r="I2923" s="2">
        <f ca="1"/>
        <v>2916</v>
      </c>
      <c r="J2923">
        <f ca="1"/>
        <v>5.0876347695634703</v>
      </c>
      <c r="K2923">
        <f ca="1"/>
        <v>-2.6812086504181066E-3</v>
      </c>
    </row>
    <row r="2924" spans="7:11">
      <c r="G2924" s="20">
        <v>5.0893800988154654</v>
      </c>
      <c r="H2924" s="20">
        <v>1.2293162254901808E-2</v>
      </c>
      <c r="I2924" s="2">
        <f ca="1"/>
        <v>2917</v>
      </c>
      <c r="J2924">
        <f ca="1"/>
        <v>5.0893800988154654</v>
      </c>
      <c r="K2924">
        <f ca="1"/>
        <v>-2.7160252919200194E-3</v>
      </c>
    </row>
    <row r="2925" spans="7:11">
      <c r="G2925" s="20">
        <v>5.0911254280674596</v>
      </c>
      <c r="H2925" s="20">
        <v>1.2288393086562661E-2</v>
      </c>
      <c r="I2925" s="2">
        <f ca="1"/>
        <v>2918</v>
      </c>
      <c r="J2925">
        <f ca="1"/>
        <v>5.0911254280674596</v>
      </c>
      <c r="K2925">
        <f ca="1"/>
        <v>-2.7457924060473823E-3</v>
      </c>
    </row>
    <row r="2926" spans="7:11">
      <c r="G2926" s="20">
        <v>5.0928707573194538</v>
      </c>
      <c r="H2926" s="20">
        <v>1.2283577631289452E-2</v>
      </c>
      <c r="I2926" s="2">
        <f ca="1"/>
        <v>2919</v>
      </c>
      <c r="J2926">
        <f ca="1"/>
        <v>5.0928707573194538</v>
      </c>
      <c r="K2926">
        <f ca="1"/>
        <v>-2.7745578686597266E-3</v>
      </c>
    </row>
    <row r="2927" spans="7:11">
      <c r="G2927" s="20">
        <v>5.094616086571448</v>
      </c>
      <c r="H2927" s="20">
        <v>1.2278708052543616E-2</v>
      </c>
      <c r="I2927" s="2">
        <f ca="1"/>
        <v>2920</v>
      </c>
      <c r="J2927">
        <f ca="1"/>
        <v>5.094616086571448</v>
      </c>
      <c r="K2927">
        <f ca="1"/>
        <v>-2.8129623548777505E-3</v>
      </c>
    </row>
    <row r="2928" spans="7:11">
      <c r="G2928" s="20">
        <v>5.0963614158234423</v>
      </c>
      <c r="H2928" s="20">
        <v>1.2273758540323998E-2</v>
      </c>
      <c r="I2928" s="2">
        <f ca="1"/>
        <v>2921</v>
      </c>
      <c r="J2928">
        <f ca="1"/>
        <v>5.0963614158234423</v>
      </c>
      <c r="K2928">
        <f ca="1"/>
        <v>-2.8533387473663558E-3</v>
      </c>
    </row>
    <row r="2929" spans="7:11">
      <c r="G2929" s="20">
        <v>5.0981067450754365</v>
      </c>
      <c r="H2929" s="20">
        <v>1.2268748021380362E-2</v>
      </c>
      <c r="I2929" s="2">
        <f ca="1"/>
        <v>2922</v>
      </c>
      <c r="J2929">
        <f ca="1"/>
        <v>5.0981067450754365</v>
      </c>
      <c r="K2929">
        <f ca="1"/>
        <v>-2.8822428888494313E-3</v>
      </c>
    </row>
    <row r="2930" spans="7:11">
      <c r="G2930" s="20">
        <v>5.0998520743274307</v>
      </c>
      <c r="H2930" s="20">
        <v>1.2263697614673476E-2</v>
      </c>
      <c r="I2930" s="2">
        <f ca="1"/>
        <v>2923</v>
      </c>
      <c r="J2930">
        <f ca="1"/>
        <v>5.0998520743274307</v>
      </c>
      <c r="K2930">
        <f ca="1"/>
        <v>-2.909750135499664E-3</v>
      </c>
    </row>
    <row r="2931" spans="7:11">
      <c r="G2931" s="20">
        <v>5.1015974035794249</v>
      </c>
      <c r="H2931" s="20">
        <v>1.2258591077325399E-2</v>
      </c>
      <c r="I2931" s="2">
        <f ca="1"/>
        <v>2924</v>
      </c>
      <c r="J2931">
        <f ca="1"/>
        <v>5.1015974035794249</v>
      </c>
      <c r="K2931">
        <f ca="1"/>
        <v>-2.9488810460318207E-3</v>
      </c>
    </row>
    <row r="2932" spans="7:11">
      <c r="G2932" s="20">
        <v>5.1033427328314191</v>
      </c>
      <c r="H2932" s="20">
        <v>1.2253404077972894E-2</v>
      </c>
      <c r="I2932" s="2">
        <f ca="1"/>
        <v>2925</v>
      </c>
      <c r="J2932">
        <f ca="1"/>
        <v>5.1033427328314191</v>
      </c>
      <c r="K2932">
        <f ca="1"/>
        <v>-2.9875642654880112E-3</v>
      </c>
    </row>
    <row r="2933" spans="7:11">
      <c r="G2933" s="20">
        <v>5.1050880620834143</v>
      </c>
      <c r="H2933" s="20">
        <v>1.2248162510715858E-2</v>
      </c>
      <c r="I2933" s="2">
        <f ca="1"/>
        <v>2926</v>
      </c>
      <c r="J2933">
        <f ca="1"/>
        <v>5.1050880620834143</v>
      </c>
      <c r="K2933">
        <f ca="1"/>
        <v>-3.0174397680330866E-3</v>
      </c>
    </row>
    <row r="2934" spans="7:11">
      <c r="G2934" s="20">
        <v>5.1068333913354085</v>
      </c>
      <c r="H2934" s="20">
        <v>1.2242871226186334E-2</v>
      </c>
      <c r="I2934" s="2">
        <f ca="1"/>
        <v>2927</v>
      </c>
      <c r="J2934">
        <f ca="1"/>
        <v>5.1068333913354085</v>
      </c>
      <c r="K2934">
        <f ca="1"/>
        <v>-3.0476996018486851E-3</v>
      </c>
    </row>
    <row r="2935" spans="7:11">
      <c r="G2935" s="20">
        <v>5.1085787205874027</v>
      </c>
      <c r="H2935" s="20">
        <v>1.2237524032183063E-2</v>
      </c>
      <c r="I2935" s="2">
        <f ca="1"/>
        <v>2928</v>
      </c>
      <c r="J2935">
        <f ca="1"/>
        <v>5.1085787205874027</v>
      </c>
      <c r="K2935">
        <f ca="1"/>
        <v>-3.0793973590111656E-3</v>
      </c>
    </row>
    <row r="2936" spans="7:11">
      <c r="G2936" s="20">
        <v>5.1103240498393969</v>
      </c>
      <c r="H2936" s="20">
        <v>1.2232122101607942E-2</v>
      </c>
      <c r="I2936" s="2">
        <f ca="1"/>
        <v>2929</v>
      </c>
      <c r="J2936">
        <f ca="1"/>
        <v>5.1103240498393969</v>
      </c>
      <c r="K2936">
        <f ca="1"/>
        <v>-3.1115584924981616E-3</v>
      </c>
    </row>
    <row r="2937" spans="7:11">
      <c r="G2937" s="20">
        <v>5.1120693790913911</v>
      </c>
      <c r="H2937" s="20">
        <v>1.2226662644070567E-2</v>
      </c>
      <c r="I2937" s="2">
        <f ca="1"/>
        <v>2930</v>
      </c>
      <c r="J2937">
        <f ca="1"/>
        <v>5.1120693790913911</v>
      </c>
      <c r="K2937">
        <f ca="1"/>
        <v>-3.144445603835388E-3</v>
      </c>
    </row>
    <row r="2938" spans="7:11">
      <c r="G2938" s="20">
        <v>5.1138147083433854</v>
      </c>
      <c r="H2938" s="20">
        <v>1.2221145915820585E-2</v>
      </c>
      <c r="I2938" s="2">
        <f ca="1"/>
        <v>2931</v>
      </c>
      <c r="J2938">
        <f ca="1"/>
        <v>5.1138147083433854</v>
      </c>
      <c r="K2938">
        <f ca="1"/>
        <v>-3.1865402089601732E-3</v>
      </c>
    </row>
    <row r="2939" spans="7:11">
      <c r="G2939" s="20">
        <v>5.1155600375953796</v>
      </c>
      <c r="H2939" s="20">
        <v>1.2215539520391859E-2</v>
      </c>
      <c r="I2939" s="2">
        <f ca="1"/>
        <v>2932</v>
      </c>
      <c r="J2939">
        <f ca="1"/>
        <v>5.1155600375953796</v>
      </c>
      <c r="K2939">
        <f ca="1"/>
        <v>-3.2282786525755468E-3</v>
      </c>
    </row>
    <row r="2940" spans="7:11">
      <c r="G2940" s="20">
        <v>5.1173053668473738</v>
      </c>
      <c r="H2940" s="20">
        <v>1.2209877097488728E-2</v>
      </c>
      <c r="I2940" s="2">
        <f ca="1"/>
        <v>2933</v>
      </c>
      <c r="J2940">
        <f ca="1"/>
        <v>5.1173053668473738</v>
      </c>
      <c r="K2940">
        <f ca="1"/>
        <v>-3.2582683442560381E-3</v>
      </c>
    </row>
    <row r="2941" spans="7:11">
      <c r="G2941" s="20">
        <v>5.119050696099368</v>
      </c>
      <c r="H2941" s="20">
        <v>1.2204166018287705E-2</v>
      </c>
      <c r="I2941" s="2">
        <f ca="1"/>
        <v>2934</v>
      </c>
      <c r="J2941">
        <f ca="1"/>
        <v>5.119050696099368</v>
      </c>
      <c r="K2941">
        <f ca="1"/>
        <v>-3.2938248400328158E-3</v>
      </c>
    </row>
    <row r="2942" spans="7:11">
      <c r="G2942" s="20">
        <v>5.1207960253513622</v>
      </c>
      <c r="H2942" s="20">
        <v>1.2198379479800219E-2</v>
      </c>
      <c r="I2942" s="2">
        <f ca="1"/>
        <v>2935</v>
      </c>
      <c r="J2942">
        <f ca="1"/>
        <v>5.1207960253513622</v>
      </c>
      <c r="K2942">
        <f ca="1"/>
        <v>-3.3319357760651109E-3</v>
      </c>
    </row>
    <row r="2943" spans="7:11">
      <c r="G2943" s="20">
        <v>5.1225413546033574</v>
      </c>
      <c r="H2943" s="20">
        <v>1.2192535368336237E-2</v>
      </c>
      <c r="I2943" s="2">
        <f ca="1"/>
        <v>2936</v>
      </c>
      <c r="J2943">
        <f ca="1"/>
        <v>5.1225413546033574</v>
      </c>
      <c r="K2943">
        <f ca="1"/>
        <v>-3.3609876815868861E-3</v>
      </c>
    </row>
    <row r="2944" spans="7:11">
      <c r="G2944" s="20">
        <v>5.1242866838553516</v>
      </c>
      <c r="H2944" s="20">
        <v>1.2186647419567685E-2</v>
      </c>
      <c r="I2944" s="2">
        <f ca="1"/>
        <v>2937</v>
      </c>
      <c r="J2944">
        <f ca="1"/>
        <v>5.1242866838553516</v>
      </c>
      <c r="K2944">
        <f ca="1"/>
        <v>-3.3894389894809866E-3</v>
      </c>
    </row>
    <row r="2945" spans="7:11">
      <c r="G2945" s="20">
        <v>5.1260320131073458</v>
      </c>
      <c r="H2945" s="20">
        <v>1.2180703994303856E-2</v>
      </c>
      <c r="I2945" s="2">
        <f ca="1"/>
        <v>2938</v>
      </c>
      <c r="J2945">
        <f ca="1"/>
        <v>5.1260320131073458</v>
      </c>
      <c r="K2945">
        <f ca="1"/>
        <v>-3.4286013591449966E-3</v>
      </c>
    </row>
    <row r="2946" spans="7:11">
      <c r="G2946" s="20">
        <v>5.1277773423593409</v>
      </c>
      <c r="H2946" s="20">
        <v>1.2174679343076596E-2</v>
      </c>
      <c r="I2946" s="2">
        <f ca="1"/>
        <v>2939</v>
      </c>
      <c r="J2946">
        <f ca="1"/>
        <v>5.1277773423593409</v>
      </c>
      <c r="K2946">
        <f ca="1"/>
        <v>-3.4696950497440219E-3</v>
      </c>
    </row>
    <row r="2947" spans="7:11">
      <c r="G2947" s="20">
        <v>5.1295226716113342</v>
      </c>
      <c r="H2947" s="20">
        <v>1.216859247377222E-2</v>
      </c>
      <c r="I2947" s="2">
        <f ca="1"/>
        <v>2940</v>
      </c>
      <c r="J2947">
        <f ca="1"/>
        <v>5.1295226716113342</v>
      </c>
      <c r="K2947">
        <f ca="1"/>
        <v>-3.502697766749737E-3</v>
      </c>
    </row>
    <row r="2948" spans="7:11">
      <c r="G2948" s="20">
        <v>5.1312680008633293</v>
      </c>
      <c r="H2948" s="20">
        <v>1.2162452621330189E-2</v>
      </c>
      <c r="I2948" s="2">
        <f ca="1"/>
        <v>2941</v>
      </c>
      <c r="J2948">
        <f ca="1"/>
        <v>5.1312680008633293</v>
      </c>
      <c r="K2948">
        <f ca="1"/>
        <v>-3.5364080237245462E-3</v>
      </c>
    </row>
    <row r="2949" spans="7:11">
      <c r="G2949" s="20">
        <v>5.1330133301153236</v>
      </c>
      <c r="H2949" s="20">
        <v>1.215624808103063E-2</v>
      </c>
      <c r="I2949" s="2">
        <f ca="1"/>
        <v>2942</v>
      </c>
      <c r="J2949">
        <f ca="1"/>
        <v>5.1330133301153236</v>
      </c>
      <c r="K2949">
        <f ca="1"/>
        <v>-3.5716271274369286E-3</v>
      </c>
    </row>
    <row r="2950" spans="7:11">
      <c r="G2950" s="20">
        <v>5.1347586593673178</v>
      </c>
      <c r="H2950" s="20">
        <v>1.2149985290724726E-2</v>
      </c>
      <c r="I2950" s="2">
        <f ca="1"/>
        <v>2943</v>
      </c>
      <c r="J2950">
        <f ca="1"/>
        <v>5.1347586593673178</v>
      </c>
      <c r="K2950">
        <f ca="1"/>
        <v>-3.601658202174621E-3</v>
      </c>
    </row>
    <row r="2951" spans="7:11">
      <c r="G2951" s="20">
        <v>5.136503988619312</v>
      </c>
      <c r="H2951" s="20">
        <v>1.2143675922198749E-2</v>
      </c>
      <c r="I2951" s="2">
        <f ca="1"/>
        <v>2944</v>
      </c>
      <c r="J2951">
        <f ca="1"/>
        <v>5.136503988619312</v>
      </c>
      <c r="K2951">
        <f ca="1"/>
        <v>-3.6306413049993409E-3</v>
      </c>
    </row>
    <row r="2952" spans="7:11">
      <c r="G2952" s="20">
        <v>5.1382493178713071</v>
      </c>
      <c r="H2952" s="20">
        <v>1.2137311961778495E-2</v>
      </c>
      <c r="I2952" s="2">
        <f ca="1"/>
        <v>2945</v>
      </c>
      <c r="J2952">
        <f ca="1"/>
        <v>5.1382493178713071</v>
      </c>
      <c r="K2952">
        <f ca="1"/>
        <v>-3.6621241630936021E-3</v>
      </c>
    </row>
    <row r="2953" spans="7:11">
      <c r="G2953" s="20">
        <v>5.1399946471233005</v>
      </c>
      <c r="H2953" s="20">
        <v>1.2130892697346185E-2</v>
      </c>
      <c r="I2953" s="2">
        <f ca="1"/>
        <v>2946</v>
      </c>
      <c r="J2953">
        <f ca="1"/>
        <v>5.1399946471233005</v>
      </c>
      <c r="K2953">
        <f ca="1"/>
        <v>-3.6943910095094535E-3</v>
      </c>
    </row>
    <row r="2954" spans="7:11">
      <c r="G2954" s="20">
        <v>5.1417399763752956</v>
      </c>
      <c r="H2954" s="20">
        <v>1.2124416104384092E-2</v>
      </c>
      <c r="I2954" s="2">
        <f ca="1"/>
        <v>2947</v>
      </c>
      <c r="J2954">
        <f ca="1"/>
        <v>5.1417399763752956</v>
      </c>
      <c r="K2954">
        <f ca="1"/>
        <v>-3.7274806962608528E-3</v>
      </c>
    </row>
    <row r="2955" spans="7:11">
      <c r="G2955" s="20">
        <v>5.1434853056272889</v>
      </c>
      <c r="H2955" s="20">
        <v>1.2117881335155329E-2</v>
      </c>
      <c r="I2955" s="2">
        <f ca="1"/>
        <v>2948</v>
      </c>
      <c r="J2955">
        <f ca="1"/>
        <v>5.1434853056272889</v>
      </c>
      <c r="K2955">
        <f ca="1"/>
        <v>-3.7609638289968325E-3</v>
      </c>
    </row>
    <row r="2956" spans="7:11">
      <c r="G2956" s="20">
        <v>5.145230634879284</v>
      </c>
      <c r="H2956" s="20">
        <v>1.2111287864011212E-2</v>
      </c>
      <c r="I2956" s="2">
        <f ca="1"/>
        <v>2949</v>
      </c>
      <c r="J2956">
        <f ca="1"/>
        <v>5.145230634879284</v>
      </c>
      <c r="K2956">
        <f ca="1"/>
        <v>-3.8042839861603694E-3</v>
      </c>
    </row>
    <row r="2957" spans="7:11">
      <c r="G2957" s="20">
        <v>5.1469759641312773</v>
      </c>
      <c r="H2957" s="20">
        <v>1.2104601878907452E-2</v>
      </c>
      <c r="I2957" s="2">
        <f ca="1"/>
        <v>2950</v>
      </c>
      <c r="J2957">
        <f ca="1"/>
        <v>5.1469759641312773</v>
      </c>
      <c r="K2957">
        <f ca="1"/>
        <v>-3.8472262824642768E-3</v>
      </c>
    </row>
    <row r="2958" spans="7:11">
      <c r="G2958" s="20">
        <v>5.1487212933832724</v>
      </c>
      <c r="H2958" s="20">
        <v>1.209785851087156E-2</v>
      </c>
      <c r="I2958" s="2">
        <f ca="1"/>
        <v>2951</v>
      </c>
      <c r="J2958">
        <f ca="1"/>
        <v>5.1487212933832724</v>
      </c>
      <c r="K2958">
        <f ca="1"/>
        <v>-3.8774583388138601E-3</v>
      </c>
    </row>
    <row r="2959" spans="7:11">
      <c r="G2959" s="20">
        <v>5.1504666226352667</v>
      </c>
      <c r="H2959" s="20">
        <v>1.2091066995983207E-2</v>
      </c>
      <c r="I2959" s="2">
        <f ca="1"/>
        <v>2952</v>
      </c>
      <c r="J2959">
        <f ca="1"/>
        <v>5.1504666226352667</v>
      </c>
      <c r="K2959">
        <f ca="1"/>
        <v>-3.912902634834528E-3</v>
      </c>
    </row>
    <row r="2960" spans="7:11">
      <c r="G2960" s="20">
        <v>5.1522119518872609</v>
      </c>
      <c r="H2960" s="20">
        <v>1.2084199904013996E-2</v>
      </c>
      <c r="I2960" s="2">
        <f ca="1"/>
        <v>2953</v>
      </c>
      <c r="J2960">
        <f ca="1"/>
        <v>5.1522119518872609</v>
      </c>
      <c r="K2960">
        <f ca="1"/>
        <v>-3.9509854487073176E-3</v>
      </c>
    </row>
    <row r="2961" spans="7:11">
      <c r="G2961" s="20">
        <v>5.1539572811392551</v>
      </c>
      <c r="H2961" s="20">
        <v>1.2077275455027542E-2</v>
      </c>
      <c r="I2961" s="2">
        <f ca="1"/>
        <v>2954</v>
      </c>
      <c r="J2961">
        <f ca="1"/>
        <v>5.1539572811392551</v>
      </c>
      <c r="K2961">
        <f ca="1"/>
        <v>-3.9800489244802605E-3</v>
      </c>
    </row>
    <row r="2962" spans="7:11">
      <c r="G2962" s="20">
        <v>5.1557026103912484</v>
      </c>
      <c r="H2962" s="20">
        <v>1.2070306912389472E-2</v>
      </c>
      <c r="I2962" s="2">
        <f ca="1"/>
        <v>2955</v>
      </c>
      <c r="J2962">
        <f ca="1"/>
        <v>5.1557026103912484</v>
      </c>
      <c r="K2962">
        <f ca="1"/>
        <v>-4.0085757254295128E-3</v>
      </c>
    </row>
    <row r="2963" spans="7:11">
      <c r="G2963" s="20">
        <v>5.1574479396432436</v>
      </c>
      <c r="H2963" s="20">
        <v>1.206328288608269E-2</v>
      </c>
      <c r="I2963" s="2">
        <f ca="1"/>
        <v>2956</v>
      </c>
      <c r="J2963">
        <f ca="1"/>
        <v>5.1574479396432436</v>
      </c>
      <c r="K2963">
        <f ca="1"/>
        <v>-4.0478921424237342E-3</v>
      </c>
    </row>
    <row r="2964" spans="7:11">
      <c r="G2964" s="20">
        <v>5.1591932688952369</v>
      </c>
      <c r="H2964" s="20">
        <v>1.2056177103259293E-2</v>
      </c>
      <c r="I2964" s="2">
        <f ca="1"/>
        <v>2957</v>
      </c>
      <c r="J2964">
        <f ca="1"/>
        <v>5.1591932688952369</v>
      </c>
      <c r="K2964">
        <f ca="1"/>
        <v>-4.0867611687193037E-3</v>
      </c>
    </row>
    <row r="2965" spans="7:11">
      <c r="G2965" s="20">
        <v>5.160938598147232</v>
      </c>
      <c r="H2965" s="20">
        <v>1.204901739845533E-2</v>
      </c>
      <c r="I2965" s="2">
        <f ca="1"/>
        <v>2958</v>
      </c>
      <c r="J2965">
        <f ca="1"/>
        <v>5.160938598147232</v>
      </c>
      <c r="K2965">
        <f ca="1"/>
        <v>-4.1165718506112788E-3</v>
      </c>
    </row>
    <row r="2966" spans="7:11">
      <c r="G2966" s="20">
        <v>5.1626839273992253</v>
      </c>
      <c r="H2966" s="20">
        <v>1.2041807556721677E-2</v>
      </c>
      <c r="I2966" s="2">
        <f ca="1"/>
        <v>2959</v>
      </c>
      <c r="J2966">
        <f ca="1"/>
        <v>5.1626839273992253</v>
      </c>
      <c r="K2966">
        <f ca="1"/>
        <v>-4.153134367318588E-3</v>
      </c>
    </row>
    <row r="2967" spans="7:11">
      <c r="G2967" s="20">
        <v>5.1644292566512204</v>
      </c>
      <c r="H2967" s="20">
        <v>1.2034520224657843E-2</v>
      </c>
      <c r="I2967" s="2">
        <f ca="1"/>
        <v>2960</v>
      </c>
      <c r="J2967">
        <f ca="1"/>
        <v>5.1644292566512204</v>
      </c>
      <c r="K2967">
        <f ca="1"/>
        <v>-4.1921499282416095E-3</v>
      </c>
    </row>
    <row r="2968" spans="7:11">
      <c r="G2968" s="20">
        <v>5.1661745859032155</v>
      </c>
      <c r="H2968" s="20">
        <v>1.2027174192924659E-2</v>
      </c>
      <c r="I2968" s="2">
        <f ca="1"/>
        <v>2961</v>
      </c>
      <c r="J2968">
        <f ca="1"/>
        <v>5.1661745859032155</v>
      </c>
      <c r="K2968">
        <f ca="1"/>
        <v>-4.221170282711708E-3</v>
      </c>
    </row>
    <row r="2969" spans="7:11">
      <c r="G2969" s="20">
        <v>5.1679199151552098</v>
      </c>
      <c r="H2969" s="20">
        <v>1.2019785560713708E-2</v>
      </c>
      <c r="I2969" s="2">
        <f ca="1"/>
        <v>2962</v>
      </c>
      <c r="J2969">
        <f ca="1"/>
        <v>5.1679199151552098</v>
      </c>
      <c r="K2969">
        <f ca="1"/>
        <v>-4.2493504455732222E-3</v>
      </c>
    </row>
    <row r="2970" spans="7:11">
      <c r="G2970" s="20">
        <v>5.169665244407204</v>
      </c>
      <c r="H2970" s="20">
        <v>1.2012341161655391E-2</v>
      </c>
      <c r="I2970" s="2">
        <f ca="1"/>
        <v>2963</v>
      </c>
      <c r="J2970">
        <f ca="1"/>
        <v>5.169665244407204</v>
      </c>
      <c r="K2970">
        <f ca="1"/>
        <v>-4.2887636511883551E-3</v>
      </c>
    </row>
    <row r="2971" spans="7:11">
      <c r="G2971" s="20">
        <v>5.1714105736591982</v>
      </c>
      <c r="H2971" s="20">
        <v>1.2004814951403091E-2</v>
      </c>
      <c r="I2971" s="2">
        <f ca="1"/>
        <v>2964</v>
      </c>
      <c r="J2971">
        <f ca="1"/>
        <v>5.1714105736591982</v>
      </c>
      <c r="K2971">
        <f ca="1"/>
        <v>-4.3301226007486518E-3</v>
      </c>
    </row>
    <row r="2972" spans="7:11">
      <c r="G2972" s="20">
        <v>5.1731559029111924</v>
      </c>
      <c r="H2972" s="20">
        <v>1.1997226182375776E-2</v>
      </c>
      <c r="I2972" s="2">
        <f ca="1"/>
        <v>2965</v>
      </c>
      <c r="J2972">
        <f ca="1"/>
        <v>5.1731559029111924</v>
      </c>
      <c r="K2972">
        <f ca="1"/>
        <v>-4.3631467626855554E-3</v>
      </c>
    </row>
    <row r="2973" spans="7:11">
      <c r="G2973" s="20">
        <v>5.1749012321631866</v>
      </c>
      <c r="H2973" s="20">
        <v>1.1989584696051773E-2</v>
      </c>
      <c r="I2973" s="2">
        <f ca="1"/>
        <v>2966</v>
      </c>
      <c r="J2973">
        <f ca="1"/>
        <v>5.1749012321631866</v>
      </c>
      <c r="K2973">
        <f ca="1"/>
        <v>-4.3968356830601405E-3</v>
      </c>
    </row>
    <row r="2974" spans="7:11">
      <c r="G2974" s="20">
        <v>5.1766465614151818</v>
      </c>
      <c r="H2974" s="20">
        <v>1.1981878330508058E-2</v>
      </c>
      <c r="I2974" s="2">
        <f ca="1"/>
        <v>2967</v>
      </c>
      <c r="J2974">
        <f ca="1"/>
        <v>5.1766465614151818</v>
      </c>
      <c r="K2974">
        <f ca="1"/>
        <v>-4.4320932596216452E-3</v>
      </c>
    </row>
    <row r="2975" spans="7:11">
      <c r="G2975" s="20">
        <v>5.1783918906671769</v>
      </c>
      <c r="H2975" s="20">
        <v>1.1974113772024597E-2</v>
      </c>
      <c r="I2975" s="2">
        <f ca="1"/>
        <v>2968</v>
      </c>
      <c r="J2975">
        <f ca="1"/>
        <v>5.1783918906671769</v>
      </c>
      <c r="K2975">
        <f ca="1"/>
        <v>-4.4620108854958145E-3</v>
      </c>
    </row>
    <row r="2976" spans="7:11">
      <c r="G2976" s="20">
        <v>5.1801372199191702</v>
      </c>
      <c r="H2976" s="20">
        <v>1.1966302974265713E-2</v>
      </c>
      <c r="I2976" s="2">
        <f ca="1"/>
        <v>2969</v>
      </c>
      <c r="J2976">
        <f ca="1"/>
        <v>5.1801372199191702</v>
      </c>
      <c r="K2976">
        <f ca="1"/>
        <v>-4.490845943603273E-3</v>
      </c>
    </row>
    <row r="2977" spans="7:11">
      <c r="G2977" s="20">
        <v>5.1818825491711653</v>
      </c>
      <c r="H2977" s="20">
        <v>1.1958437762441456E-2</v>
      </c>
      <c r="I2977" s="2">
        <f ca="1"/>
        <v>2970</v>
      </c>
      <c r="J2977">
        <f ca="1"/>
        <v>5.1818825491711653</v>
      </c>
      <c r="K2977">
        <f ca="1"/>
        <v>-4.5297703278630664E-3</v>
      </c>
    </row>
    <row r="2978" spans="7:11">
      <c r="G2978" s="20">
        <v>5.1836278784231586</v>
      </c>
      <c r="H2978" s="20">
        <v>1.1950491092949643E-2</v>
      </c>
      <c r="I2978" s="2">
        <f ca="1"/>
        <v>2971</v>
      </c>
      <c r="J2978">
        <f ca="1"/>
        <v>5.1836278784231586</v>
      </c>
      <c r="K2978">
        <f ca="1"/>
        <v>-4.5707332101195403E-3</v>
      </c>
    </row>
    <row r="2979" spans="7:11">
      <c r="G2979" s="20">
        <v>5.1853732076751538</v>
      </c>
      <c r="H2979" s="20">
        <v>1.194248289369209E-2</v>
      </c>
      <c r="I2979" s="2">
        <f ca="1"/>
        <v>2972</v>
      </c>
      <c r="J2979">
        <f ca="1"/>
        <v>5.1853732076751538</v>
      </c>
      <c r="K2979">
        <f ca="1"/>
        <v>-4.5996249852720559E-3</v>
      </c>
    </row>
    <row r="2980" spans="7:11">
      <c r="G2980" s="20">
        <v>5.1871185369271471</v>
      </c>
      <c r="H2980" s="20">
        <v>1.1934435372879646E-2</v>
      </c>
      <c r="I2980" s="2">
        <f ca="1"/>
        <v>2973</v>
      </c>
      <c r="J2980">
        <f ca="1"/>
        <v>5.1871185369271471</v>
      </c>
      <c r="K2980">
        <f ca="1"/>
        <v>-4.627019674341047E-3</v>
      </c>
    </row>
    <row r="2981" spans="7:11">
      <c r="G2981" s="20">
        <v>5.1888638661791413</v>
      </c>
      <c r="H2981" s="20">
        <v>1.1926331548117734E-2</v>
      </c>
      <c r="I2981" s="2">
        <f ca="1"/>
        <v>2974</v>
      </c>
      <c r="J2981">
        <f ca="1"/>
        <v>5.1888638661791413</v>
      </c>
      <c r="K2981">
        <f ca="1"/>
        <v>-4.6665655791955779E-3</v>
      </c>
    </row>
    <row r="2982" spans="7:11">
      <c r="G2982" s="20">
        <v>5.1906091954311355</v>
      </c>
      <c r="H2982" s="20">
        <v>1.1918145986056207E-2</v>
      </c>
      <c r="I2982" s="2">
        <f ca="1"/>
        <v>2975</v>
      </c>
      <c r="J2982">
        <f ca="1"/>
        <v>5.1906091954311355</v>
      </c>
      <c r="K2982">
        <f ca="1"/>
        <v>-4.7056143850986339E-3</v>
      </c>
    </row>
    <row r="2983" spans="7:11">
      <c r="G2983" s="20">
        <v>5.1923545246831297</v>
      </c>
      <c r="H2983" s="20">
        <v>1.1909905855247899E-2</v>
      </c>
      <c r="I2983" s="2">
        <f ca="1"/>
        <v>2976</v>
      </c>
      <c r="J2983">
        <f ca="1"/>
        <v>5.1923545246831297</v>
      </c>
      <c r="K2983">
        <f ca="1"/>
        <v>-4.7354026815349011E-3</v>
      </c>
    </row>
    <row r="2984" spans="7:11">
      <c r="G2984" s="20">
        <v>5.1940998539351249</v>
      </c>
      <c r="H2984" s="20">
        <v>1.1901616312416093E-2</v>
      </c>
      <c r="I2984" s="2">
        <f ca="1"/>
        <v>2977</v>
      </c>
      <c r="J2984">
        <f ca="1"/>
        <v>5.1940998539351249</v>
      </c>
      <c r="K2984">
        <f ca="1"/>
        <v>-4.7717119461445469E-3</v>
      </c>
    </row>
    <row r="2985" spans="7:11">
      <c r="G2985" s="20">
        <v>5.1958451831871182</v>
      </c>
      <c r="H2985" s="20">
        <v>1.1893249438364506E-2</v>
      </c>
      <c r="I2985" s="2">
        <f ca="1"/>
        <v>2978</v>
      </c>
      <c r="J2985">
        <f ca="1"/>
        <v>5.1958451831871182</v>
      </c>
      <c r="K2985">
        <f ca="1"/>
        <v>-4.8105177275351773E-3</v>
      </c>
    </row>
    <row r="2986" spans="7:11">
      <c r="G2986" s="20">
        <v>5.1975905124391133</v>
      </c>
      <c r="H2986" s="20">
        <v>1.1884824437801885E-2</v>
      </c>
      <c r="I2986" s="2">
        <f ca="1"/>
        <v>2979</v>
      </c>
      <c r="J2986">
        <f ca="1"/>
        <v>5.1975905124391133</v>
      </c>
      <c r="K2986">
        <f ca="1"/>
        <v>-4.8392642319412225E-3</v>
      </c>
    </row>
    <row r="2987" spans="7:11">
      <c r="G2987" s="20">
        <v>5.1993358416911075</v>
      </c>
      <c r="H2987" s="20">
        <v>1.1876357219520229E-2</v>
      </c>
      <c r="I2987" s="2">
        <f ca="1"/>
        <v>2980</v>
      </c>
      <c r="J2987">
        <f ca="1"/>
        <v>5.1993358416911075</v>
      </c>
      <c r="K2987">
        <f ca="1"/>
        <v>-4.8672050618052357E-3</v>
      </c>
    </row>
    <row r="2988" spans="7:11">
      <c r="G2988" s="20">
        <v>5.2010811709431017</v>
      </c>
      <c r="H2988" s="20">
        <v>1.1867834687062239E-2</v>
      </c>
      <c r="I2988" s="2">
        <f ca="1"/>
        <v>2981</v>
      </c>
      <c r="J2988">
        <f ca="1"/>
        <v>5.2010811709431017</v>
      </c>
      <c r="K2988">
        <f ca="1"/>
        <v>-4.9064603266830995E-3</v>
      </c>
    </row>
    <row r="2989" spans="7:11">
      <c r="G2989" s="20">
        <v>5.202826500195096</v>
      </c>
      <c r="H2989" s="20">
        <v>1.1859230442056411E-2</v>
      </c>
      <c r="I2989" s="2">
        <f ca="1"/>
        <v>2982</v>
      </c>
      <c r="J2989">
        <f ca="1"/>
        <v>5.202826500195096</v>
      </c>
      <c r="K2989">
        <f ca="1"/>
        <v>-4.9452360917340375E-3</v>
      </c>
    </row>
    <row r="2990" spans="7:11">
      <c r="G2990" s="20">
        <v>5.2045718294470902</v>
      </c>
      <c r="H2990" s="20">
        <v>1.1850572556644397E-2</v>
      </c>
      <c r="I2990" s="2">
        <f ca="1"/>
        <v>2983</v>
      </c>
      <c r="J2990">
        <f ca="1"/>
        <v>5.2045718294470902</v>
      </c>
      <c r="K2990">
        <f ca="1"/>
        <v>-4.9747496287672966E-3</v>
      </c>
    </row>
    <row r="2991" spans="7:11">
      <c r="G2991" s="20">
        <v>5.2063171586990844</v>
      </c>
      <c r="H2991" s="20">
        <v>1.1841865289959541E-2</v>
      </c>
      <c r="I2991" s="2">
        <f ca="1"/>
        <v>2984</v>
      </c>
      <c r="J2991">
        <f ca="1"/>
        <v>5.2063171586990844</v>
      </c>
      <c r="K2991">
        <f ca="1"/>
        <v>-5.0110263246553243E-3</v>
      </c>
    </row>
    <row r="2992" spans="7:11">
      <c r="G2992" s="20">
        <v>5.2080624879510786</v>
      </c>
      <c r="H2992" s="20">
        <v>1.1833080774990529E-2</v>
      </c>
      <c r="I2992" s="2">
        <f ca="1"/>
        <v>2985</v>
      </c>
      <c r="J2992">
        <f ca="1"/>
        <v>5.2080624879510786</v>
      </c>
      <c r="K2992">
        <f ca="1"/>
        <v>-5.0497886958567615E-3</v>
      </c>
    </row>
    <row r="2993" spans="7:11">
      <c r="G2993" s="20">
        <v>5.2098078172030728</v>
      </c>
      <c r="H2993" s="20">
        <v>1.1824238202105004E-2</v>
      </c>
      <c r="I2993" s="2">
        <f ca="1"/>
        <v>2986</v>
      </c>
      <c r="J2993">
        <f ca="1"/>
        <v>5.2098078172030728</v>
      </c>
      <c r="K2993">
        <f ca="1"/>
        <v>-5.078390531911085E-3</v>
      </c>
    </row>
    <row r="2994" spans="7:11">
      <c r="G2994" s="20">
        <v>5.211553146455068</v>
      </c>
      <c r="H2994" s="20">
        <v>1.1815353847893735E-2</v>
      </c>
      <c r="I2994" s="2">
        <f ca="1"/>
        <v>2987</v>
      </c>
      <c r="J2994">
        <f ca="1"/>
        <v>5.211553146455068</v>
      </c>
      <c r="K2994">
        <f ca="1"/>
        <v>-5.1061378304925438E-3</v>
      </c>
    </row>
    <row r="2995" spans="7:11">
      <c r="G2995" s="20">
        <v>5.2132984757070622</v>
      </c>
      <c r="H2995" s="20">
        <v>1.1806414418664453E-2</v>
      </c>
      <c r="I2995" s="2">
        <f ca="1"/>
        <v>2988</v>
      </c>
      <c r="J2995">
        <f ca="1"/>
        <v>5.2132984757070622</v>
      </c>
      <c r="K2995">
        <f ca="1"/>
        <v>-5.145272028755434E-3</v>
      </c>
    </row>
    <row r="2996" spans="7:11">
      <c r="G2996" s="20">
        <v>5.2150438049590564</v>
      </c>
      <c r="H2996" s="20">
        <v>1.1797393460331226E-2</v>
      </c>
      <c r="I2996" s="2">
        <f ca="1"/>
        <v>2989</v>
      </c>
      <c r="J2996">
        <f ca="1"/>
        <v>5.2150438049590564</v>
      </c>
      <c r="K2996">
        <f ca="1"/>
        <v>-5.1863666549544973E-3</v>
      </c>
    </row>
    <row r="2997" spans="7:11">
      <c r="G2997" s="20">
        <v>5.2167891342110506</v>
      </c>
      <c r="H2997" s="20">
        <v>1.1788310583795534E-2</v>
      </c>
      <c r="I2997" s="2">
        <f ca="1"/>
        <v>2990</v>
      </c>
      <c r="J2997">
        <f ca="1"/>
        <v>5.2167891342110506</v>
      </c>
      <c r="K2997">
        <f ca="1"/>
        <v>-5.2189727925378874E-3</v>
      </c>
    </row>
    <row r="2998" spans="7:11">
      <c r="G2998" s="20">
        <v>5.2185344634630448</v>
      </c>
      <c r="H2998" s="20">
        <v>1.1779175808570869E-2</v>
      </c>
      <c r="I2998" s="2">
        <f ca="1"/>
        <v>2991</v>
      </c>
      <c r="J2998">
        <f ca="1"/>
        <v>5.2185344634630448</v>
      </c>
      <c r="K2998">
        <f ca="1"/>
        <v>-5.2522378287500207E-3</v>
      </c>
    </row>
    <row r="2999" spans="7:11">
      <c r="G2999" s="20">
        <v>5.2202797927150399</v>
      </c>
      <c r="H2999" s="20">
        <v>1.1769976815153634E-2</v>
      </c>
      <c r="I2999" s="2">
        <f ca="1"/>
        <v>2992</v>
      </c>
      <c r="J2999">
        <f ca="1"/>
        <v>5.2202797927150399</v>
      </c>
      <c r="K2999">
        <f ca="1"/>
        <v>-5.2870772693421912E-3</v>
      </c>
    </row>
    <row r="3000" spans="7:11">
      <c r="G3000" s="20">
        <v>5.2220251219670351</v>
      </c>
      <c r="H3000" s="20">
        <v>1.1760720427339387E-2</v>
      </c>
      <c r="I3000" s="2">
        <f ca="1"/>
        <v>2993</v>
      </c>
      <c r="J3000">
        <f ca="1"/>
        <v>5.2220251219670351</v>
      </c>
      <c r="K3000">
        <f ca="1"/>
        <v>-5.3164798754248149E-3</v>
      </c>
    </row>
    <row r="3001" spans="7:11">
      <c r="G3001" s="20">
        <v>5.2237704512190284</v>
      </c>
      <c r="H3001" s="20">
        <v>1.1751418799465198E-2</v>
      </c>
      <c r="I3001" s="2">
        <f ca="1"/>
        <v>2994</v>
      </c>
      <c r="J3001">
        <f ca="1"/>
        <v>5.2237704512190284</v>
      </c>
      <c r="K3001">
        <f ca="1"/>
        <v>-5.3447670889597513E-3</v>
      </c>
    </row>
    <row r="3002" spans="7:11">
      <c r="G3002" s="20">
        <v>5.2255157804710226</v>
      </c>
      <c r="H3002" s="20">
        <v>1.1742063670648476E-2</v>
      </c>
      <c r="I3002" s="2">
        <f ca="1"/>
        <v>2995</v>
      </c>
      <c r="J3002">
        <f ca="1"/>
        <v>5.2255157804710226</v>
      </c>
      <c r="K3002">
        <f ca="1"/>
        <v>-5.3832705189620512E-3</v>
      </c>
    </row>
    <row r="3003" spans="7:11">
      <c r="G3003" s="20">
        <v>5.2272611097230168</v>
      </c>
      <c r="H3003" s="20">
        <v>1.1732627640448913E-2</v>
      </c>
      <c r="I3003" s="2">
        <f ca="1"/>
        <v>2996</v>
      </c>
      <c r="J3003">
        <f ca="1"/>
        <v>5.2272611097230168</v>
      </c>
      <c r="K3003">
        <f ca="1"/>
        <v>-5.4238236495369367E-3</v>
      </c>
    </row>
    <row r="3004" spans="7:11">
      <c r="G3004" s="20">
        <v>5.2290064389750111</v>
      </c>
      <c r="H3004" s="20">
        <v>1.1723130954502087E-2</v>
      </c>
      <c r="I3004" s="2">
        <f ca="1"/>
        <v>2997</v>
      </c>
      <c r="J3004">
        <f ca="1"/>
        <v>5.2290064389750111</v>
      </c>
      <c r="K3004">
        <f ca="1"/>
        <v>-5.4521181098669512E-3</v>
      </c>
    </row>
    <row r="3005" spans="7:11">
      <c r="G3005" s="20">
        <v>5.2307517682270053</v>
      </c>
      <c r="H3005" s="20">
        <v>1.1713596158003957E-2</v>
      </c>
      <c r="I3005" s="2">
        <f ca="1"/>
        <v>2998</v>
      </c>
      <c r="J3005">
        <f ca="1"/>
        <v>5.2307517682270053</v>
      </c>
      <c r="K3005">
        <f ca="1"/>
        <v>-5.4788771031826135E-3</v>
      </c>
    </row>
    <row r="3006" spans="7:11">
      <c r="G3006" s="20">
        <v>5.2324970974789995</v>
      </c>
      <c r="H3006" s="20">
        <v>1.1704006065549555E-2</v>
      </c>
      <c r="I3006" s="2">
        <f ca="1"/>
        <v>2999</v>
      </c>
      <c r="J3006">
        <f ca="1"/>
        <v>5.2324970974789995</v>
      </c>
      <c r="K3006">
        <f ca="1"/>
        <v>-5.5179317705368498E-3</v>
      </c>
    </row>
    <row r="3007" spans="7:11">
      <c r="G3007" s="20">
        <v>5.2342424267309937</v>
      </c>
      <c r="H3007" s="20">
        <v>1.1694334942544704E-2</v>
      </c>
      <c r="I3007" s="2">
        <f ca="1"/>
        <v>3000</v>
      </c>
      <c r="J3007">
        <f ca="1"/>
        <v>5.2342424267309937</v>
      </c>
      <c r="K3007">
        <f ca="1"/>
        <v>-5.5564671652234719E-3</v>
      </c>
    </row>
    <row r="3008" spans="7:11">
      <c r="G3008" s="20">
        <v>5.2359877559829888</v>
      </c>
      <c r="H3008" s="20">
        <v>1.168461033618713E-2</v>
      </c>
      <c r="I3008" s="2">
        <f ca="1"/>
        <v>3001</v>
      </c>
      <c r="J3008">
        <f ca="1"/>
        <v>5.2359877559829888</v>
      </c>
      <c r="K3008">
        <f ca="1"/>
        <v>-5.5856022521342382E-3</v>
      </c>
    </row>
    <row r="3009" spans="7:11">
      <c r="G3009" s="20">
        <v>5.237733085234983</v>
      </c>
      <c r="H3009" s="20">
        <v>1.167483751254339E-2</v>
      </c>
      <c r="I3009" s="2">
        <f ca="1"/>
        <v>3002</v>
      </c>
      <c r="J3009">
        <f ca="1"/>
        <v>5.237733085234983</v>
      </c>
      <c r="K3009">
        <f ca="1"/>
        <v>-5.6213171745032884E-3</v>
      </c>
    </row>
    <row r="3010" spans="7:11">
      <c r="G3010" s="20">
        <v>5.2394784144869773</v>
      </c>
      <c r="H3010" s="20">
        <v>1.1664988237588334E-2</v>
      </c>
      <c r="I3010" s="2">
        <f ca="1"/>
        <v>3003</v>
      </c>
      <c r="J3010">
        <f ca="1"/>
        <v>5.2394784144869773</v>
      </c>
      <c r="K3010">
        <f ca="1"/>
        <v>-5.6595415840202E-3</v>
      </c>
    </row>
    <row r="3011" spans="7:11">
      <c r="G3011" s="20">
        <v>5.2412237437389715</v>
      </c>
      <c r="H3011" s="20">
        <v>1.1655081985584454E-2</v>
      </c>
      <c r="I3011" s="2">
        <f ca="1"/>
        <v>3004</v>
      </c>
      <c r="J3011">
        <f ca="1"/>
        <v>5.2412237437389715</v>
      </c>
      <c r="K3011">
        <f ca="1"/>
        <v>-5.6875693524463091E-3</v>
      </c>
    </row>
    <row r="3012" spans="7:11">
      <c r="G3012" s="20">
        <v>5.2429690729909657</v>
      </c>
      <c r="H3012" s="20">
        <v>1.1645134875261193E-2</v>
      </c>
      <c r="I3012" s="2">
        <f ca="1"/>
        <v>3005</v>
      </c>
      <c r="J3012">
        <f ca="1"/>
        <v>5.2429690729909657</v>
      </c>
      <c r="K3012">
        <f ca="1"/>
        <v>-5.7147648752948043E-3</v>
      </c>
    </row>
    <row r="3013" spans="7:11">
      <c r="G3013" s="20">
        <v>5.2447144022429608</v>
      </c>
      <c r="H3013" s="20">
        <v>1.1635133692974206E-2</v>
      </c>
      <c r="I3013" s="2">
        <f ca="1"/>
        <v>3006</v>
      </c>
      <c r="J3013">
        <f ca="1"/>
        <v>5.2447144022429608</v>
      </c>
      <c r="K3013">
        <f ca="1"/>
        <v>-5.7533829835698484E-3</v>
      </c>
    </row>
    <row r="3014" spans="7:11">
      <c r="G3014" s="20">
        <v>5.2464597314949541</v>
      </c>
      <c r="H3014" s="20">
        <v>1.1625051780022893E-2</v>
      </c>
      <c r="I3014" s="2">
        <f ca="1"/>
        <v>3007</v>
      </c>
      <c r="J3014">
        <f ca="1"/>
        <v>5.2464597314949541</v>
      </c>
      <c r="K3014">
        <f ca="1"/>
        <v>-5.7915005853414088E-3</v>
      </c>
    </row>
    <row r="3015" spans="7:11">
      <c r="G3015" s="20">
        <v>5.2482050607469493</v>
      </c>
      <c r="H3015" s="20">
        <v>1.161491754220513E-2</v>
      </c>
      <c r="I3015" s="2">
        <f ca="1"/>
        <v>3008</v>
      </c>
      <c r="J3015">
        <f ca="1"/>
        <v>5.2482050607469493</v>
      </c>
      <c r="K3015">
        <f ca="1"/>
        <v>-5.820234902328799E-3</v>
      </c>
    </row>
    <row r="3016" spans="7:11">
      <c r="G3016" s="20">
        <v>5.2499503899989426</v>
      </c>
      <c r="H3016" s="20">
        <v>1.1604735327565868E-2</v>
      </c>
      <c r="I3016" s="2">
        <f ca="1"/>
        <v>3009</v>
      </c>
      <c r="J3016">
        <f ca="1"/>
        <v>5.2499503899989426</v>
      </c>
      <c r="K3016">
        <f ca="1"/>
        <v>-5.8557799936358786E-3</v>
      </c>
    </row>
    <row r="3017" spans="7:11">
      <c r="G3017" s="20">
        <v>5.2516957192509368</v>
      </c>
      <c r="H3017" s="20">
        <v>1.1594477013972865E-2</v>
      </c>
      <c r="I3017" s="2">
        <f ca="1"/>
        <v>3010</v>
      </c>
      <c r="J3017">
        <f ca="1"/>
        <v>5.2516957192509368</v>
      </c>
      <c r="K3017">
        <f ca="1"/>
        <v>-5.8938182368463822E-3</v>
      </c>
    </row>
    <row r="3018" spans="7:11">
      <c r="G3018" s="20">
        <v>5.2534410485029319</v>
      </c>
      <c r="H3018" s="20">
        <v>1.1584162020816453E-2</v>
      </c>
      <c r="I3018" s="2">
        <f ca="1"/>
        <v>3011</v>
      </c>
      <c r="J3018">
        <f ca="1"/>
        <v>5.2534410485029319</v>
      </c>
      <c r="K3018">
        <f ca="1"/>
        <v>-5.9215782595857108E-3</v>
      </c>
    </row>
    <row r="3019" spans="7:11">
      <c r="G3019" s="20">
        <v>5.2551863777549261</v>
      </c>
      <c r="H3019" s="20">
        <v>1.1573806806464004E-2</v>
      </c>
      <c r="I3019" s="2">
        <f ca="1"/>
        <v>3012</v>
      </c>
      <c r="J3019">
        <f ca="1"/>
        <v>5.2551863777549261</v>
      </c>
      <c r="K3019">
        <f ca="1"/>
        <v>-5.9484577236874562E-3</v>
      </c>
    </row>
    <row r="3020" spans="7:11">
      <c r="G3020" s="20">
        <v>5.2569317070069204</v>
      </c>
      <c r="H3020" s="20">
        <v>1.1563397986277648E-2</v>
      </c>
      <c r="I3020" s="2">
        <f ca="1"/>
        <v>3013</v>
      </c>
      <c r="J3020">
        <f ca="1"/>
        <v>5.2569317070069204</v>
      </c>
      <c r="K3020">
        <f ca="1"/>
        <v>-5.9868086410713147E-3</v>
      </c>
    </row>
    <row r="3021" spans="7:11">
      <c r="G3021" s="20">
        <v>5.2586770362589155</v>
      </c>
      <c r="H3021" s="20">
        <v>1.1552908901969292E-2</v>
      </c>
      <c r="I3021" s="2">
        <f ca="1"/>
        <v>3014</v>
      </c>
      <c r="J3021">
        <f ca="1"/>
        <v>5.2586770362589155</v>
      </c>
      <c r="K3021">
        <f ca="1"/>
        <v>-6.0271187422099122E-3</v>
      </c>
    </row>
    <row r="3022" spans="7:11">
      <c r="G3022" s="20">
        <v>5.2604223655109088</v>
      </c>
      <c r="H3022" s="20">
        <v>1.1542359372985605E-2</v>
      </c>
      <c r="I3022" s="2">
        <f ca="1"/>
        <v>3015</v>
      </c>
      <c r="J3022">
        <f ca="1"/>
        <v>5.2604223655109088</v>
      </c>
      <c r="K3022">
        <f ca="1"/>
        <v>-6.0588441323952413E-3</v>
      </c>
    </row>
    <row r="3023" spans="7:11">
      <c r="G3023" s="20">
        <v>5.2621676947629039</v>
      </c>
      <c r="H3023" s="20">
        <v>1.1531759546174206E-2</v>
      </c>
      <c r="I3023" s="2">
        <f ca="1"/>
        <v>3016</v>
      </c>
      <c r="J3023">
        <f ca="1"/>
        <v>5.2621676947629039</v>
      </c>
      <c r="K3023">
        <f ca="1"/>
        <v>-6.0869676602813014E-3</v>
      </c>
    </row>
    <row r="3024" spans="7:11">
      <c r="G3024" s="20">
        <v>5.2639130240148981</v>
      </c>
      <c r="H3024" s="20">
        <v>1.1521111847558736E-2</v>
      </c>
      <c r="I3024" s="2">
        <f ca="1"/>
        <v>3017</v>
      </c>
      <c r="J3024">
        <f ca="1"/>
        <v>5.2639130240148981</v>
      </c>
      <c r="K3024">
        <f ca="1"/>
        <v>-6.1153002225040028E-3</v>
      </c>
    </row>
    <row r="3025" spans="7:11">
      <c r="G3025" s="20">
        <v>5.2656583532668924</v>
      </c>
      <c r="H3025" s="20">
        <v>1.151041312144808E-2</v>
      </c>
      <c r="I3025" s="2">
        <f ca="1"/>
        <v>3018</v>
      </c>
      <c r="J3025">
        <f ca="1"/>
        <v>5.2656583532668924</v>
      </c>
      <c r="K3025">
        <f ca="1"/>
        <v>-6.1452281629554998E-3</v>
      </c>
    </row>
    <row r="3026" spans="7:11">
      <c r="G3026" s="20">
        <v>5.2674036825188866</v>
      </c>
      <c r="H3026" s="20">
        <v>1.1499660954612766E-2</v>
      </c>
      <c r="I3026" s="2">
        <f ca="1"/>
        <v>3019</v>
      </c>
      <c r="J3026">
        <f ca="1"/>
        <v>5.2674036825188866</v>
      </c>
      <c r="K3026">
        <f ca="1"/>
        <v>-6.1760558024461735E-3</v>
      </c>
    </row>
    <row r="3027" spans="7:11">
      <c r="G3027" s="20">
        <v>5.2691490117708817</v>
      </c>
      <c r="H3027" s="20">
        <v>1.1488854619740158E-2</v>
      </c>
      <c r="I3027" s="2">
        <f ca="1"/>
        <v>3020</v>
      </c>
      <c r="J3027">
        <f ca="1"/>
        <v>5.2691490117708817</v>
      </c>
      <c r="K3027">
        <f ca="1"/>
        <v>-6.2165629507531569E-3</v>
      </c>
    </row>
    <row r="3028" spans="7:11">
      <c r="G3028" s="20">
        <v>5.270894341022875</v>
      </c>
      <c r="H3028" s="20">
        <v>1.147796105628314E-2</v>
      </c>
      <c r="I3028" s="2">
        <f ca="1"/>
        <v>3021</v>
      </c>
      <c r="J3028">
        <f ca="1"/>
        <v>5.270894341022875</v>
      </c>
      <c r="K3028">
        <f ca="1"/>
        <v>-6.2586389177445162E-3</v>
      </c>
    </row>
    <row r="3029" spans="7:11">
      <c r="G3029" s="20">
        <v>5.2726396702748701</v>
      </c>
      <c r="H3029" s="20">
        <v>1.146700784857854E-2</v>
      </c>
      <c r="I3029" s="2">
        <f ca="1"/>
        <v>3022</v>
      </c>
      <c r="J3029">
        <f ca="1"/>
        <v>5.2726396702748701</v>
      </c>
      <c r="K3029">
        <f ca="1"/>
        <v>-6.2853357396322014E-3</v>
      </c>
    </row>
    <row r="3030" spans="7:11">
      <c r="G3030" s="20">
        <v>5.2743849995268635</v>
      </c>
      <c r="H3030" s="20">
        <v>1.145602109563317E-2</v>
      </c>
      <c r="I3030" s="2">
        <f ca="1"/>
        <v>3023</v>
      </c>
      <c r="J3030">
        <f ca="1"/>
        <v>5.2743849995268635</v>
      </c>
      <c r="K3030">
        <f ca="1"/>
        <v>-6.3104999078711418E-3</v>
      </c>
    </row>
    <row r="3031" spans="7:11">
      <c r="G3031" s="20">
        <v>5.2761303287788586</v>
      </c>
      <c r="H3031" s="20">
        <v>1.1444980048410712E-2</v>
      </c>
      <c r="I3031" s="2">
        <f ca="1"/>
        <v>3024</v>
      </c>
      <c r="J3031">
        <f ca="1"/>
        <v>5.2761303287788586</v>
      </c>
      <c r="K3031">
        <f ca="1"/>
        <v>-6.3488314632636402E-3</v>
      </c>
    </row>
    <row r="3032" spans="7:11">
      <c r="G3032" s="20">
        <v>5.2778756580308519</v>
      </c>
      <c r="H3032" s="20">
        <v>1.1433859493095539E-2</v>
      </c>
      <c r="I3032" s="2">
        <f ca="1"/>
        <v>3025</v>
      </c>
      <c r="J3032">
        <f ca="1"/>
        <v>5.2778756580308519</v>
      </c>
      <c r="K3032">
        <f ca="1"/>
        <v>-6.386602832373166E-3</v>
      </c>
    </row>
    <row r="3033" spans="7:11">
      <c r="G3033" s="20">
        <v>5.279620987282847</v>
      </c>
      <c r="H3033" s="20">
        <v>1.1422686598922292E-2</v>
      </c>
      <c r="I3033" s="2">
        <f ca="1"/>
        <v>3026</v>
      </c>
      <c r="J3033">
        <f ca="1"/>
        <v>5.279620987282847</v>
      </c>
      <c r="K3033">
        <f ca="1"/>
        <v>-6.4147682111156635E-3</v>
      </c>
    </row>
    <row r="3034" spans="7:11">
      <c r="G3034" s="20">
        <v>5.2813663165348421</v>
      </c>
      <c r="H3034" s="20">
        <v>1.1411467727888282E-2</v>
      </c>
      <c r="I3034" s="2">
        <f ca="1"/>
        <v>3027</v>
      </c>
      <c r="J3034">
        <f ca="1"/>
        <v>5.2813663165348421</v>
      </c>
      <c r="K3034">
        <f ca="1"/>
        <v>-6.4492732650536623E-3</v>
      </c>
    </row>
    <row r="3035" spans="7:11">
      <c r="G3035" s="20">
        <v>5.2831116457868355</v>
      </c>
      <c r="H3035" s="20">
        <v>1.1400174388355087E-2</v>
      </c>
      <c r="I3035" s="2">
        <f ca="1"/>
        <v>3028</v>
      </c>
      <c r="J3035">
        <f ca="1"/>
        <v>5.2831116457868355</v>
      </c>
      <c r="K3035">
        <f ca="1"/>
        <v>-6.4863006074423885E-3</v>
      </c>
    </row>
    <row r="3036" spans="7:11">
      <c r="G3036" s="20">
        <v>5.2848569750388306</v>
      </c>
      <c r="H3036" s="20">
        <v>1.1388826267513488E-2</v>
      </c>
      <c r="I3036" s="2">
        <f ca="1"/>
        <v>3029</v>
      </c>
      <c r="J3036">
        <f ca="1"/>
        <v>5.2848569750388306</v>
      </c>
      <c r="K3036">
        <f ca="1"/>
        <v>-6.5131456184911625E-3</v>
      </c>
    </row>
    <row r="3037" spans="7:11">
      <c r="G3037" s="20">
        <v>5.2866023042908239</v>
      </c>
      <c r="H3037" s="20">
        <v>1.1377439221214185E-2</v>
      </c>
      <c r="I3037" s="2">
        <f ca="1"/>
        <v>3030</v>
      </c>
      <c r="J3037">
        <f ca="1"/>
        <v>5.2866023042908239</v>
      </c>
      <c r="K3037">
        <f ca="1"/>
        <v>-6.5391834711709413E-3</v>
      </c>
    </row>
    <row r="3038" spans="7:11">
      <c r="G3038" s="20">
        <v>5.2883476335428181</v>
      </c>
      <c r="H3038" s="20">
        <v>1.1366000211120711E-2</v>
      </c>
      <c r="I3038" s="2">
        <f ca="1"/>
        <v>3031</v>
      </c>
      <c r="J3038">
        <f ca="1"/>
        <v>5.2883476335428181</v>
      </c>
      <c r="K3038">
        <f ca="1"/>
        <v>-6.5766214499580877E-3</v>
      </c>
    </row>
    <row r="3039" spans="7:11">
      <c r="G3039" s="20">
        <v>5.2900929627948123</v>
      </c>
      <c r="H3039" s="20">
        <v>1.1354482481622376E-2</v>
      </c>
      <c r="I3039" s="2">
        <f ca="1"/>
        <v>3032</v>
      </c>
      <c r="J3039">
        <f ca="1"/>
        <v>5.2900929627948123</v>
      </c>
      <c r="K3039">
        <f ca="1"/>
        <v>-6.6135410539244479E-3</v>
      </c>
    </row>
    <row r="3040" spans="7:11">
      <c r="G3040" s="20">
        <v>5.2918382920468066</v>
      </c>
      <c r="H3040" s="20">
        <v>1.1342914597799353E-2</v>
      </c>
      <c r="I3040" s="2">
        <f ca="1"/>
        <v>3033</v>
      </c>
      <c r="J3040">
        <f ca="1"/>
        <v>5.2918382920468066</v>
      </c>
      <c r="K3040">
        <f ca="1"/>
        <v>-6.6410265322856422E-3</v>
      </c>
    </row>
    <row r="3041" spans="7:11">
      <c r="G3041" s="20">
        <v>5.2935836212987999</v>
      </c>
      <c r="H3041" s="20">
        <v>1.1331300925882247E-2</v>
      </c>
      <c r="I3041" s="2">
        <f ca="1"/>
        <v>3034</v>
      </c>
      <c r="J3041">
        <f ca="1"/>
        <v>5.2935836212987999</v>
      </c>
      <c r="K3041">
        <f ca="1"/>
        <v>-6.6753255507312568E-3</v>
      </c>
    </row>
    <row r="3042" spans="7:11">
      <c r="G3042" s="20">
        <v>5.295328950550795</v>
      </c>
      <c r="H3042" s="20">
        <v>1.1319613315898801E-2</v>
      </c>
      <c r="I3042" s="2">
        <f ca="1"/>
        <v>3035</v>
      </c>
      <c r="J3042">
        <f ca="1"/>
        <v>5.295328950550795</v>
      </c>
      <c r="K3042">
        <f ca="1"/>
        <v>-6.7121037724354807E-3</v>
      </c>
    </row>
    <row r="3043" spans="7:11">
      <c r="G3043" s="20">
        <v>5.2970742798027901</v>
      </c>
      <c r="H3043" s="20">
        <v>1.130787126376933E-2</v>
      </c>
      <c r="I3043" s="2">
        <f ca="1"/>
        <v>3036</v>
      </c>
      <c r="J3043">
        <f ca="1"/>
        <v>5.2970742798027901</v>
      </c>
      <c r="K3043">
        <f ca="1"/>
        <v>-6.7385625613175845E-3</v>
      </c>
    </row>
    <row r="3044" spans="7:11">
      <c r="G3044" s="20">
        <v>5.2988196090547852</v>
      </c>
      <c r="H3044" s="20">
        <v>1.1296091295189468E-2</v>
      </c>
      <c r="I3044" s="2">
        <f ca="1"/>
        <v>3037</v>
      </c>
      <c r="J3044">
        <f ca="1"/>
        <v>5.2988196090547852</v>
      </c>
      <c r="K3044">
        <f ca="1"/>
        <v>-6.7641185948679955E-3</v>
      </c>
    </row>
    <row r="3045" spans="7:11">
      <c r="G3045" s="20">
        <v>5.3005649383067786</v>
      </c>
      <c r="H3045" s="20">
        <v>1.1284260035674168E-2</v>
      </c>
      <c r="I3045" s="2">
        <f ca="1"/>
        <v>3038</v>
      </c>
      <c r="J3045">
        <f ca="1"/>
        <v>5.3005649383067786</v>
      </c>
      <c r="K3045">
        <f ca="1"/>
        <v>-6.8011405961313671E-3</v>
      </c>
    </row>
    <row r="3046" spans="7:11">
      <c r="G3046" s="20">
        <v>5.3023102675587737</v>
      </c>
      <c r="H3046" s="20">
        <v>1.1272350835930761E-2</v>
      </c>
      <c r="I3046" s="2">
        <f ca="1"/>
        <v>3039</v>
      </c>
      <c r="J3046">
        <f ca="1"/>
        <v>5.3023102675587737</v>
      </c>
      <c r="K3046">
        <f ca="1"/>
        <v>-6.8401030789993714E-3</v>
      </c>
    </row>
    <row r="3047" spans="7:11">
      <c r="G3047" s="20">
        <v>5.304055596810767</v>
      </c>
      <c r="H3047" s="20">
        <v>1.1260383571693301E-2</v>
      </c>
      <c r="I3047" s="2">
        <f ca="1"/>
        <v>3040</v>
      </c>
      <c r="J3047">
        <f ca="1"/>
        <v>5.304055596810767</v>
      </c>
      <c r="K3047">
        <f ca="1"/>
        <v>-6.8704501484689266E-3</v>
      </c>
    </row>
    <row r="3048" spans="7:11">
      <c r="G3048" s="20">
        <v>5.3058009260627612</v>
      </c>
      <c r="H3048" s="20">
        <v>1.1248368440693785E-2</v>
      </c>
      <c r="I3048" s="2">
        <f ca="1"/>
        <v>3041</v>
      </c>
      <c r="J3048">
        <f ca="1"/>
        <v>5.3058009260627612</v>
      </c>
      <c r="K3048">
        <f ca="1"/>
        <v>-6.9014204931944472E-3</v>
      </c>
    </row>
    <row r="3049" spans="7:11">
      <c r="G3049" s="20">
        <v>5.3075462553147563</v>
      </c>
      <c r="H3049" s="20">
        <v>1.1236293069559125E-2</v>
      </c>
      <c r="I3049" s="2">
        <f ca="1"/>
        <v>3042</v>
      </c>
      <c r="J3049">
        <f ca="1"/>
        <v>5.3075462553147563</v>
      </c>
      <c r="K3049">
        <f ca="1"/>
        <v>-6.9339416044526588E-3</v>
      </c>
    </row>
    <row r="3050" spans="7:11">
      <c r="G3050" s="20">
        <v>5.3092915845667514</v>
      </c>
      <c r="H3050" s="20">
        <v>1.1224164418466031E-2</v>
      </c>
      <c r="I3050" s="2">
        <f ca="1"/>
        <v>3043</v>
      </c>
      <c r="J3050">
        <f ca="1"/>
        <v>5.3092915845667514</v>
      </c>
      <c r="K3050">
        <f ca="1"/>
        <v>-6.9609479523028489E-3</v>
      </c>
    </row>
    <row r="3051" spans="7:11">
      <c r="G3051" s="20">
        <v>5.3110369138187448</v>
      </c>
      <c r="H3051" s="20">
        <v>1.1211994777393599E-2</v>
      </c>
      <c r="I3051" s="2">
        <f ca="1"/>
        <v>3044</v>
      </c>
      <c r="J3051">
        <f ca="1"/>
        <v>5.3110369138187448</v>
      </c>
      <c r="K3051">
        <f ca="1"/>
        <v>-6.9867938330326756E-3</v>
      </c>
    </row>
    <row r="3052" spans="7:11">
      <c r="G3052" s="20">
        <v>5.3127822430707399</v>
      </c>
      <c r="H3052" s="20">
        <v>1.1199775907157141E-2</v>
      </c>
      <c r="I3052" s="2">
        <f ca="1"/>
        <v>3045</v>
      </c>
      <c r="J3052">
        <f ca="1"/>
        <v>5.3127822430707399</v>
      </c>
      <c r="K3052">
        <f ca="1"/>
        <v>-7.0228734998084739E-3</v>
      </c>
    </row>
    <row r="3053" spans="7:11">
      <c r="G3053" s="20">
        <v>5.3145275723227332</v>
      </c>
      <c r="H3053" s="20">
        <v>1.1187480324289057E-2</v>
      </c>
      <c r="I3053" s="2">
        <f ca="1"/>
        <v>3046</v>
      </c>
      <c r="J3053">
        <f ca="1"/>
        <v>5.3145275723227332</v>
      </c>
      <c r="K3053">
        <f ca="1"/>
        <v>-7.0609743395703374E-3</v>
      </c>
    </row>
    <row r="3054" spans="7:11">
      <c r="G3054" s="20">
        <v>5.3162729015747283</v>
      </c>
      <c r="H3054" s="20">
        <v>1.1175128457032276E-2</v>
      </c>
      <c r="I3054" s="2">
        <f ca="1"/>
        <v>3047</v>
      </c>
      <c r="J3054">
        <f ca="1"/>
        <v>5.3162729015747283</v>
      </c>
      <c r="K3054">
        <f ca="1"/>
        <v>-7.0867163506652536E-3</v>
      </c>
    </row>
    <row r="3055" spans="7:11">
      <c r="G3055" s="20">
        <v>5.3180182308267216</v>
      </c>
      <c r="H3055" s="20">
        <v>1.1162743017594253E-2</v>
      </c>
      <c r="I3055" s="2">
        <f ca="1"/>
        <v>3048</v>
      </c>
      <c r="J3055">
        <f ca="1"/>
        <v>5.3180182308267216</v>
      </c>
      <c r="K3055">
        <f ca="1"/>
        <v>-7.1108763182895903E-3</v>
      </c>
    </row>
    <row r="3056" spans="7:11">
      <c r="G3056" s="20">
        <v>5.3197635600787168</v>
      </c>
      <c r="H3056" s="20">
        <v>1.1150306816141028E-2</v>
      </c>
      <c r="I3056" s="2">
        <f ca="1"/>
        <v>3049</v>
      </c>
      <c r="J3056">
        <f ca="1"/>
        <v>5.3197635600787168</v>
      </c>
      <c r="K3056">
        <f ca="1"/>
        <v>-7.1473333715601954E-3</v>
      </c>
    </row>
    <row r="3057" spans="7:11">
      <c r="G3057" s="20">
        <v>5.3215088893307101</v>
      </c>
      <c r="H3057" s="20">
        <v>1.1137794117579976E-2</v>
      </c>
      <c r="I3057" s="2">
        <f ca="1"/>
        <v>3050</v>
      </c>
      <c r="J3057">
        <f ca="1"/>
        <v>5.3215088893307101</v>
      </c>
      <c r="K3057">
        <f ca="1"/>
        <v>-7.1832350544239589E-3</v>
      </c>
    </row>
    <row r="3058" spans="7:11">
      <c r="G3058" s="20">
        <v>5.3232542185827052</v>
      </c>
      <c r="H3058" s="20">
        <v>1.1125232595612156E-2</v>
      </c>
      <c r="I3058" s="2">
        <f ca="1"/>
        <v>3051</v>
      </c>
      <c r="J3058">
        <f ca="1"/>
        <v>5.3232542185827052</v>
      </c>
      <c r="K3058">
        <f ca="1"/>
        <v>-7.2096691877884698E-3</v>
      </c>
    </row>
    <row r="3059" spans="7:11">
      <c r="G3059" s="20">
        <v>5.3249995478346994</v>
      </c>
      <c r="H3059" s="20">
        <v>1.1112627624518673E-2</v>
      </c>
      <c r="I3059" s="2">
        <f ca="1"/>
        <v>3052</v>
      </c>
      <c r="J3059">
        <f ca="1"/>
        <v>5.3249995478346994</v>
      </c>
      <c r="K3059">
        <f ca="1"/>
        <v>-7.2364184738461963E-3</v>
      </c>
    </row>
    <row r="3060" spans="7:11">
      <c r="G3060" s="20">
        <v>5.3267448770866928</v>
      </c>
      <c r="H3060" s="20">
        <v>1.1099972729928012E-2</v>
      </c>
      <c r="I3060" s="2">
        <f ca="1"/>
        <v>3053</v>
      </c>
      <c r="J3060">
        <f ca="1"/>
        <v>5.3267448770866928</v>
      </c>
      <c r="K3060">
        <f ca="1"/>
        <v>-7.2646083915673832E-3</v>
      </c>
    </row>
    <row r="3061" spans="7:11">
      <c r="G3061" s="20">
        <v>5.3284902063386879</v>
      </c>
      <c r="H3061" s="20">
        <v>1.1087269357458502E-2</v>
      </c>
      <c r="I3061" s="2">
        <f ca="1"/>
        <v>3054</v>
      </c>
      <c r="J3061">
        <f ca="1"/>
        <v>5.3284902063386879</v>
      </c>
      <c r="K3061">
        <f ca="1"/>
        <v>-7.2931977628057018E-3</v>
      </c>
    </row>
    <row r="3062" spans="7:11">
      <c r="G3062" s="20">
        <v>5.3302355355906821</v>
      </c>
      <c r="H3062" s="20">
        <v>1.1074514667135998E-2</v>
      </c>
      <c r="I3062" s="2">
        <f ca="1"/>
        <v>3055</v>
      </c>
      <c r="J3062">
        <f ca="1"/>
        <v>5.3302355355906821</v>
      </c>
      <c r="K3062">
        <f ca="1"/>
        <v>-7.3224663335460871E-3</v>
      </c>
    </row>
    <row r="3063" spans="7:11">
      <c r="G3063" s="20">
        <v>5.3319808648426763</v>
      </c>
      <c r="H3063" s="20">
        <v>1.1061709128081141E-2</v>
      </c>
      <c r="I3063" s="2">
        <f ca="1"/>
        <v>3056</v>
      </c>
      <c r="J3063">
        <f ca="1"/>
        <v>5.3319808648426763</v>
      </c>
      <c r="K3063">
        <f ca="1"/>
        <v>-7.3613360820606443E-3</v>
      </c>
    </row>
    <row r="3064" spans="7:11">
      <c r="G3064" s="20">
        <v>5.3337261940946705</v>
      </c>
      <c r="H3064" s="20">
        <v>1.1048818756740436E-2</v>
      </c>
      <c r="I3064" s="2">
        <f ca="1"/>
        <v>3057</v>
      </c>
      <c r="J3064">
        <f ca="1"/>
        <v>5.3337261940946705</v>
      </c>
      <c r="K3064">
        <f ca="1"/>
        <v>-7.3997499850080393E-3</v>
      </c>
    </row>
    <row r="3065" spans="7:11">
      <c r="G3065" s="20">
        <v>5.3354715233466647</v>
      </c>
      <c r="H3065" s="20">
        <v>1.1035879127868584E-2</v>
      </c>
      <c r="I3065" s="2">
        <f ca="1"/>
        <v>3058</v>
      </c>
      <c r="J3065">
        <f ca="1"/>
        <v>5.3354715233466647</v>
      </c>
      <c r="K3065">
        <f ca="1"/>
        <v>-7.4256870144978364E-3</v>
      </c>
    </row>
    <row r="3066" spans="7:11">
      <c r="G3066" s="20">
        <v>5.337216852598659</v>
      </c>
      <c r="H3066" s="20">
        <v>1.1022898219215323E-2</v>
      </c>
      <c r="I3066" s="2">
        <f ca="1"/>
        <v>3059</v>
      </c>
      <c r="J3066">
        <f ca="1"/>
        <v>5.337216852598659</v>
      </c>
      <c r="K3066">
        <f ca="1"/>
        <v>-7.4573523276862284E-3</v>
      </c>
    </row>
    <row r="3067" spans="7:11">
      <c r="G3067" s="20">
        <v>5.3389621818506532</v>
      </c>
      <c r="H3067" s="20">
        <v>1.1009848057548708E-2</v>
      </c>
      <c r="I3067" s="2">
        <f ca="1"/>
        <v>3060</v>
      </c>
      <c r="J3067">
        <f ca="1"/>
        <v>5.3389621818506532</v>
      </c>
      <c r="K3067">
        <f ca="1"/>
        <v>-7.4916089651003524E-3</v>
      </c>
    </row>
    <row r="3068" spans="7:11">
      <c r="G3068" s="20">
        <v>5.3407075111026483</v>
      </c>
      <c r="H3068" s="20">
        <v>1.0996747570672732E-2</v>
      </c>
      <c r="I3068" s="2">
        <f ca="1"/>
        <v>3061</v>
      </c>
      <c r="J3068">
        <f ca="1"/>
        <v>5.3407075111026483</v>
      </c>
      <c r="K3068">
        <f ca="1"/>
        <v>-7.5162955358995193E-3</v>
      </c>
    </row>
    <row r="3069" spans="7:11">
      <c r="G3069" s="20">
        <v>5.3424528403546425</v>
      </c>
      <c r="H3069" s="20">
        <v>1.0983611236617823E-2</v>
      </c>
      <c r="I3069" s="2">
        <f ca="1"/>
        <v>3062</v>
      </c>
      <c r="J3069">
        <f ca="1"/>
        <v>5.3424528403546425</v>
      </c>
      <c r="K3069">
        <f ca="1"/>
        <v>-7.5402668849610197E-3</v>
      </c>
    </row>
    <row r="3070" spans="7:11">
      <c r="G3070" s="20">
        <v>5.3441981696066367</v>
      </c>
      <c r="H3070" s="20">
        <v>1.0970427073948401E-2</v>
      </c>
      <c r="I3070" s="2">
        <f ca="1"/>
        <v>3063</v>
      </c>
      <c r="J3070">
        <f ca="1"/>
        <v>5.3441981696066367</v>
      </c>
      <c r="K3070">
        <f ca="1"/>
        <v>-7.5753149085027744E-3</v>
      </c>
    </row>
    <row r="3071" spans="7:11">
      <c r="G3071" s="20">
        <v>5.345943498858631</v>
      </c>
      <c r="H3071" s="20">
        <v>1.0957168399212068E-2</v>
      </c>
      <c r="I3071" s="2">
        <f ca="1"/>
        <v>3064</v>
      </c>
      <c r="J3071">
        <f ca="1"/>
        <v>5.345943498858631</v>
      </c>
      <c r="K3071">
        <f ca="1"/>
        <v>-7.6122814369048806E-3</v>
      </c>
    </row>
    <row r="3072" spans="7:11">
      <c r="G3072" s="20">
        <v>5.3476888281106252</v>
      </c>
      <c r="H3072" s="20">
        <v>1.0943855199015915E-2</v>
      </c>
      <c r="I3072" s="2">
        <f ca="1"/>
        <v>3065</v>
      </c>
      <c r="J3072">
        <f ca="1"/>
        <v>5.3476888281106252</v>
      </c>
      <c r="K3072">
        <f ca="1"/>
        <v>-7.64071286248041E-3</v>
      </c>
    </row>
    <row r="3073" spans="7:11">
      <c r="G3073" s="20">
        <v>5.3494341573626194</v>
      </c>
      <c r="H3073" s="20">
        <v>1.0930497279882117E-2</v>
      </c>
      <c r="I3073" s="2">
        <f ca="1"/>
        <v>3066</v>
      </c>
      <c r="J3073">
        <f ca="1"/>
        <v>5.3494341573626194</v>
      </c>
      <c r="K3073">
        <f ca="1"/>
        <v>-7.6697811918826856E-3</v>
      </c>
    </row>
    <row r="3074" spans="7:11">
      <c r="G3074" s="20">
        <v>5.3511794866146145</v>
      </c>
      <c r="H3074" s="20">
        <v>1.0917082612074733E-2</v>
      </c>
      <c r="I3074" s="2">
        <f ca="1"/>
        <v>3067</v>
      </c>
      <c r="J3074">
        <f ca="1"/>
        <v>5.3511794866146145</v>
      </c>
      <c r="K3074">
        <f ca="1"/>
        <v>-7.7003258945022579E-3</v>
      </c>
    </row>
    <row r="3075" spans="7:11">
      <c r="G3075" s="20">
        <v>5.3529248158666096</v>
      </c>
      <c r="H3075" s="20">
        <v>1.0903618071814976E-2</v>
      </c>
      <c r="I3075" s="2">
        <f ca="1"/>
        <v>3068</v>
      </c>
      <c r="J3075">
        <f ca="1"/>
        <v>5.3529248158666096</v>
      </c>
      <c r="K3075">
        <f ca="1"/>
        <v>-7.7254050085113508E-3</v>
      </c>
    </row>
    <row r="3076" spans="7:11">
      <c r="G3076" s="20">
        <v>5.354670145118603</v>
      </c>
      <c r="H3076" s="20">
        <v>1.0890115861385018E-2</v>
      </c>
      <c r="I3076" s="2">
        <f ca="1"/>
        <v>3069</v>
      </c>
      <c r="J3076">
        <f ca="1"/>
        <v>5.354670145118603</v>
      </c>
      <c r="K3076">
        <f ca="1"/>
        <v>-7.7493099759458218E-3</v>
      </c>
    </row>
    <row r="3077" spans="7:11">
      <c r="G3077" s="20">
        <v>5.3564154743705981</v>
      </c>
      <c r="H3077" s="20">
        <v>1.0876567877047398E-2</v>
      </c>
      <c r="I3077" s="2">
        <f ca="1"/>
        <v>3070</v>
      </c>
      <c r="J3077">
        <f ca="1"/>
        <v>5.3564154743705981</v>
      </c>
      <c r="K3077">
        <f ca="1"/>
        <v>-7.7757108791029726E-3</v>
      </c>
    </row>
    <row r="3078" spans="7:11">
      <c r="G3078" s="20">
        <v>5.3581608036225914</v>
      </c>
      <c r="H3078" s="20">
        <v>1.0862973510080321E-2</v>
      </c>
      <c r="I3078" s="2">
        <f ca="1"/>
        <v>3071</v>
      </c>
      <c r="J3078">
        <f ca="1"/>
        <v>5.3581608036225914</v>
      </c>
      <c r="K3078">
        <f ca="1"/>
        <v>-7.8028282645961579E-3</v>
      </c>
    </row>
    <row r="3079" spans="7:11">
      <c r="G3079" s="20">
        <v>5.3599061328745865</v>
      </c>
      <c r="H3079" s="20">
        <v>1.0849330868210424E-2</v>
      </c>
      <c r="I3079" s="2">
        <f ca="1"/>
        <v>3072</v>
      </c>
      <c r="J3079">
        <f ca="1"/>
        <v>5.3599061328745865</v>
      </c>
      <c r="K3079">
        <f ca="1"/>
        <v>-7.8307002884808654E-3</v>
      </c>
    </row>
    <row r="3080" spans="7:11">
      <c r="G3080" s="20">
        <v>5.3616514621265798</v>
      </c>
      <c r="H3080" s="20">
        <v>1.0835639209526151E-2</v>
      </c>
      <c r="I3080" s="2">
        <f ca="1"/>
        <v>3073</v>
      </c>
      <c r="J3080">
        <f ca="1"/>
        <v>5.3616514621265798</v>
      </c>
      <c r="K3080">
        <f ca="1"/>
        <v>-7.8588820155992244E-3</v>
      </c>
    </row>
    <row r="3081" spans="7:11">
      <c r="G3081" s="20">
        <v>5.3633967913785749</v>
      </c>
      <c r="H3081" s="20">
        <v>1.0821898194870831E-2</v>
      </c>
      <c r="I3081" s="2">
        <f ca="1"/>
        <v>3074</v>
      </c>
      <c r="J3081">
        <f ca="1"/>
        <v>5.3633967913785749</v>
      </c>
      <c r="K3081">
        <f ca="1"/>
        <v>-7.8970452139095239E-3</v>
      </c>
    </row>
    <row r="3082" spans="7:11">
      <c r="G3082" s="20">
        <v>5.3651421206305692</v>
      </c>
      <c r="H3082" s="20">
        <v>1.0808073321493829E-2</v>
      </c>
      <c r="I3082" s="2">
        <f ca="1"/>
        <v>3075</v>
      </c>
      <c r="J3082">
        <f ca="1"/>
        <v>5.3651421206305692</v>
      </c>
      <c r="K3082">
        <f ca="1"/>
        <v>-7.9347364464327236E-3</v>
      </c>
    </row>
    <row r="3083" spans="7:11">
      <c r="G3083" s="20">
        <v>5.3668874498825634</v>
      </c>
      <c r="H3083" s="20">
        <v>1.0794200739617184E-2</v>
      </c>
      <c r="I3083" s="2">
        <f ca="1"/>
        <v>3076</v>
      </c>
      <c r="J3083">
        <f ca="1"/>
        <v>5.3668874498825634</v>
      </c>
      <c r="K3083">
        <f ca="1"/>
        <v>-7.9592921235355617E-3</v>
      </c>
    </row>
    <row r="3084" spans="7:11">
      <c r="G3084" s="20">
        <v>5.3686327791345576</v>
      </c>
      <c r="H3084" s="20">
        <v>1.0780290150757082E-2</v>
      </c>
      <c r="I3084" s="2">
        <f ca="1"/>
        <v>3077</v>
      </c>
      <c r="J3084">
        <f ca="1"/>
        <v>5.3686327791345576</v>
      </c>
      <c r="K3084">
        <f ca="1"/>
        <v>-7.9890436032973265E-3</v>
      </c>
    </row>
    <row r="3085" spans="7:11">
      <c r="G3085" s="20">
        <v>5.3703781083865518</v>
      </c>
      <c r="H3085" s="20">
        <v>1.07663137166246E-2</v>
      </c>
      <c r="I3085" s="2">
        <f ca="1"/>
        <v>3078</v>
      </c>
      <c r="J3085">
        <f ca="1"/>
        <v>5.3703781083865518</v>
      </c>
      <c r="K3085">
        <f ca="1"/>
        <v>-8.0213959192185508E-3</v>
      </c>
    </row>
    <row r="3086" spans="7:11">
      <c r="G3086" s="20">
        <v>5.3721234376385461</v>
      </c>
      <c r="H3086" s="20">
        <v>1.0752290196877803E-2</v>
      </c>
      <c r="I3086" s="2">
        <f ca="1"/>
        <v>3079</v>
      </c>
      <c r="J3086">
        <f ca="1"/>
        <v>5.3721234376385461</v>
      </c>
      <c r="K3086">
        <f ca="1"/>
        <v>-8.0444795843124597E-3</v>
      </c>
    </row>
    <row r="3087" spans="7:11">
      <c r="G3087" s="20">
        <v>5.3738687668905403</v>
      </c>
      <c r="H3087" s="20">
        <v>1.0738233185553458E-2</v>
      </c>
      <c r="I3087" s="2">
        <f ca="1"/>
        <v>3080</v>
      </c>
      <c r="J3087">
        <f ca="1"/>
        <v>5.3738687668905403</v>
      </c>
      <c r="K3087">
        <f ca="1"/>
        <v>-8.0669281379921205E-3</v>
      </c>
    </row>
    <row r="3088" spans="7:11">
      <c r="G3088" s="20">
        <v>5.3756140961425354</v>
      </c>
      <c r="H3088" s="20">
        <v>1.072413130557185E-2</v>
      </c>
      <c r="I3088" s="2">
        <f ca="1"/>
        <v>3081</v>
      </c>
      <c r="J3088">
        <f ca="1"/>
        <v>5.3756140961425354</v>
      </c>
      <c r="K3088">
        <f ca="1"/>
        <v>-8.1002169647014961E-3</v>
      </c>
    </row>
    <row r="3089" spans="7:11">
      <c r="G3089" s="20">
        <v>5.3773594253945287</v>
      </c>
      <c r="H3089" s="20">
        <v>1.0709958094321471E-2</v>
      </c>
      <c r="I3089" s="2">
        <f ca="1"/>
        <v>3082</v>
      </c>
      <c r="J3089">
        <f ca="1"/>
        <v>5.3773594253945287</v>
      </c>
      <c r="K3089">
        <f ca="1"/>
        <v>-8.1329687768169484E-3</v>
      </c>
    </row>
    <row r="3090" spans="7:11">
      <c r="G3090" s="20">
        <v>5.3791047546465238</v>
      </c>
      <c r="H3090" s="20">
        <v>1.0695741888948382E-2</v>
      </c>
      <c r="I3090" s="2">
        <f ca="1"/>
        <v>3083</v>
      </c>
      <c r="J3090">
        <f ca="1"/>
        <v>5.3791047546465238</v>
      </c>
      <c r="K3090">
        <f ca="1"/>
        <v>-8.156441918980642E-3</v>
      </c>
    </row>
    <row r="3091" spans="7:11">
      <c r="G3091" s="20">
        <v>5.3808500838985172</v>
      </c>
      <c r="H3091" s="20">
        <v>1.0681486740974694E-2</v>
      </c>
      <c r="I3091" s="2">
        <f ca="1"/>
        <v>3084</v>
      </c>
      <c r="J3091">
        <f ca="1"/>
        <v>5.3808500838985172</v>
      </c>
      <c r="K3091">
        <f ca="1"/>
        <v>-8.1866145007273555E-3</v>
      </c>
    </row>
    <row r="3092" spans="7:11">
      <c r="G3092" s="20">
        <v>5.3825954131505123</v>
      </c>
      <c r="H3092" s="20">
        <v>1.0667165213422543E-2</v>
      </c>
      <c r="I3092" s="2">
        <f ca="1"/>
        <v>3085</v>
      </c>
      <c r="J3092">
        <f ca="1"/>
        <v>5.3825954131505123</v>
      </c>
      <c r="K3092">
        <f ca="1"/>
        <v>-8.2191665704912115E-3</v>
      </c>
    </row>
    <row r="3093" spans="7:11">
      <c r="G3093" s="20">
        <v>5.3843407424025065</v>
      </c>
      <c r="H3093" s="20">
        <v>1.0652796437289704E-2</v>
      </c>
      <c r="I3093" s="2">
        <f ca="1"/>
        <v>3086</v>
      </c>
      <c r="J3093">
        <f ca="1"/>
        <v>5.3843407424025065</v>
      </c>
      <c r="K3093">
        <f ca="1"/>
        <v>-8.2415619131626181E-3</v>
      </c>
    </row>
    <row r="3094" spans="7:11">
      <c r="G3094" s="20">
        <v>5.3860860716545016</v>
      </c>
      <c r="H3094" s="20">
        <v>1.0638396735244207E-2</v>
      </c>
      <c r="I3094" s="2">
        <f ca="1"/>
        <v>3087</v>
      </c>
      <c r="J3094">
        <f ca="1"/>
        <v>5.3860860716545016</v>
      </c>
      <c r="K3094">
        <f ca="1"/>
        <v>-8.2630186670291598E-3</v>
      </c>
    </row>
    <row r="3095" spans="7:11">
      <c r="G3095" s="20">
        <v>5.3878314009064949</v>
      </c>
      <c r="H3095" s="20">
        <v>1.0623953060911023E-2</v>
      </c>
      <c r="I3095" s="2">
        <f ca="1"/>
        <v>3088</v>
      </c>
      <c r="J3095">
        <f ca="1"/>
        <v>5.3878314009064949</v>
      </c>
      <c r="K3095">
        <f ca="1"/>
        <v>-8.2956396790092608E-3</v>
      </c>
    </row>
    <row r="3096" spans="7:11">
      <c r="G3096" s="20">
        <v>5.38957673015849</v>
      </c>
      <c r="H3096" s="20">
        <v>1.060943949005265E-2</v>
      </c>
      <c r="I3096" s="2">
        <f ca="1"/>
        <v>3089</v>
      </c>
      <c r="J3096">
        <f ca="1"/>
        <v>5.38957673015849</v>
      </c>
      <c r="K3096">
        <f ca="1"/>
        <v>-8.3301099516135662E-3</v>
      </c>
    </row>
    <row r="3097" spans="7:11">
      <c r="G3097" s="20">
        <v>5.3913220594104834</v>
      </c>
      <c r="H3097" s="20">
        <v>1.0594875491769264E-2</v>
      </c>
      <c r="I3097" s="2">
        <f ca="1"/>
        <v>3090</v>
      </c>
      <c r="J3097">
        <f ca="1"/>
        <v>5.3913220594104834</v>
      </c>
      <c r="K3097">
        <f ca="1"/>
        <v>-8.356122861530077E-3</v>
      </c>
    </row>
    <row r="3098" spans="7:11">
      <c r="G3098" s="20">
        <v>5.3930673886624785</v>
      </c>
      <c r="H3098" s="20">
        <v>1.0580271118725677E-2</v>
      </c>
      <c r="I3098" s="2">
        <f ca="1"/>
        <v>3091</v>
      </c>
      <c r="J3098">
        <f ca="1"/>
        <v>5.3930673886624785</v>
      </c>
      <c r="K3098">
        <f ca="1"/>
        <v>-8.3826955030611716E-3</v>
      </c>
    </row>
    <row r="3099" spans="7:11">
      <c r="G3099" s="20">
        <v>5.3948127179144727</v>
      </c>
      <c r="H3099" s="20">
        <v>1.0565614364425151E-2</v>
      </c>
      <c r="I3099" s="2">
        <f ca="1"/>
        <v>3092</v>
      </c>
      <c r="J3099">
        <f ca="1"/>
        <v>5.3948127179144727</v>
      </c>
      <c r="K3099">
        <f ca="1"/>
        <v>-8.4107387433528247E-3</v>
      </c>
    </row>
    <row r="3100" spans="7:11">
      <c r="G3100" s="20">
        <v>5.3965580471664669</v>
      </c>
      <c r="H3100" s="20">
        <v>1.0550912102006368E-2</v>
      </c>
      <c r="I3100" s="2">
        <f ca="1"/>
        <v>3093</v>
      </c>
      <c r="J3100">
        <f ca="1"/>
        <v>5.3965580471664669</v>
      </c>
      <c r="K3100">
        <f ca="1"/>
        <v>-8.4333714083014068E-3</v>
      </c>
    </row>
    <row r="3101" spans="7:11">
      <c r="G3101" s="20">
        <v>5.398303376418462</v>
      </c>
      <c r="H3101" s="20">
        <v>1.0536176344801463E-2</v>
      </c>
      <c r="I3101" s="2">
        <f ca="1"/>
        <v>3094</v>
      </c>
      <c r="J3101">
        <f ca="1"/>
        <v>5.398303376418462</v>
      </c>
      <c r="K3101">
        <f ca="1"/>
        <v>-8.4548335935722401E-3</v>
      </c>
    </row>
    <row r="3102" spans="7:11">
      <c r="G3102" s="20">
        <v>5.4000487056704563</v>
      </c>
      <c r="H3102" s="20">
        <v>1.052139916522315E-2</v>
      </c>
      <c r="I3102" s="2">
        <f ca="1"/>
        <v>3095</v>
      </c>
      <c r="J3102">
        <f ca="1"/>
        <v>5.4000487056704563</v>
      </c>
      <c r="K3102">
        <f ca="1"/>
        <v>-8.4861914374766926E-3</v>
      </c>
    </row>
    <row r="3103" spans="7:11">
      <c r="G3103" s="20">
        <v>5.4017940349224505</v>
      </c>
      <c r="H3103" s="20">
        <v>1.0506553948493761E-2</v>
      </c>
      <c r="I3103" s="2">
        <f ca="1"/>
        <v>3096</v>
      </c>
      <c r="J3103">
        <f ca="1"/>
        <v>5.4017940349224505</v>
      </c>
      <c r="K3103">
        <f ca="1"/>
        <v>-8.5194672478579089E-3</v>
      </c>
    </row>
    <row r="3104" spans="7:11">
      <c r="G3104" s="20">
        <v>5.4035393641744447</v>
      </c>
      <c r="H3104" s="20">
        <v>1.0491660614424964E-2</v>
      </c>
      <c r="I3104" s="2">
        <f ca="1"/>
        <v>3097</v>
      </c>
      <c r="J3104">
        <f ca="1"/>
        <v>5.4035393641744447</v>
      </c>
      <c r="K3104">
        <f ca="1"/>
        <v>-8.5446613864772168E-3</v>
      </c>
    </row>
    <row r="3105" spans="7:11">
      <c r="G3105" s="20">
        <v>5.405284693426438</v>
      </c>
      <c r="H3105" s="20">
        <v>1.047672745356136E-2</v>
      </c>
      <c r="I3105" s="2">
        <f ca="1"/>
        <v>3098</v>
      </c>
      <c r="J3105">
        <f ca="1"/>
        <v>5.405284693426438</v>
      </c>
      <c r="K3105">
        <f ca="1"/>
        <v>-8.5705676921828157E-3</v>
      </c>
    </row>
    <row r="3106" spans="7:11">
      <c r="G3106" s="20">
        <v>5.4070300226784331</v>
      </c>
      <c r="H3106" s="20">
        <v>1.0461743689426237E-2</v>
      </c>
      <c r="I3106" s="2">
        <f ca="1"/>
        <v>3099</v>
      </c>
      <c r="J3106">
        <f ca="1"/>
        <v>5.4070300226784331</v>
      </c>
      <c r="K3106">
        <f ca="1"/>
        <v>-8.5977241791816844E-3</v>
      </c>
    </row>
    <row r="3107" spans="7:11">
      <c r="G3107" s="20">
        <v>5.4087753519304265</v>
      </c>
      <c r="H3107" s="20">
        <v>1.0446715734540353E-2</v>
      </c>
      <c r="I3107" s="2">
        <f ca="1"/>
        <v>3100</v>
      </c>
      <c r="J3107">
        <f ca="1"/>
        <v>5.4087753519304265</v>
      </c>
      <c r="K3107">
        <f ca="1"/>
        <v>-8.6196188331529901E-3</v>
      </c>
    </row>
    <row r="3108" spans="7:11">
      <c r="G3108" s="20">
        <v>5.4105206811824216</v>
      </c>
      <c r="H3108" s="20">
        <v>1.0431655543645153E-2</v>
      </c>
      <c r="I3108" s="2">
        <f ca="1"/>
        <v>3101</v>
      </c>
      <c r="J3108">
        <f ca="1"/>
        <v>5.4105206811824216</v>
      </c>
      <c r="K3108">
        <f ca="1"/>
        <v>-8.6403173851414689E-3</v>
      </c>
    </row>
    <row r="3109" spans="7:11">
      <c r="G3109" s="20">
        <v>5.4122660104344167</v>
      </c>
      <c r="H3109" s="20">
        <v>1.0416555337182734E-2</v>
      </c>
      <c r="I3109" s="2">
        <f ca="1"/>
        <v>3102</v>
      </c>
      <c r="J3109">
        <f ca="1"/>
        <v>5.4122660104344167</v>
      </c>
      <c r="K3109">
        <f ca="1"/>
        <v>-8.6708138649765603E-3</v>
      </c>
    </row>
    <row r="3110" spans="7:11">
      <c r="G3110" s="20">
        <v>5.41401133968641</v>
      </c>
      <c r="H3110" s="20">
        <v>1.0401388693490872E-2</v>
      </c>
      <c r="I3110" s="2">
        <f ca="1"/>
        <v>3103</v>
      </c>
      <c r="J3110">
        <f ca="1"/>
        <v>5.41401133968641</v>
      </c>
      <c r="K3110">
        <f ca="1"/>
        <v>-8.7032100572459713E-3</v>
      </c>
    </row>
    <row r="3111" spans="7:11">
      <c r="G3111" s="20">
        <v>5.4157566689384051</v>
      </c>
      <c r="H3111" s="20">
        <v>1.0386175402984411E-2</v>
      </c>
      <c r="I3111" s="2">
        <f ca="1"/>
        <v>3104</v>
      </c>
      <c r="J3111">
        <f ca="1"/>
        <v>5.4157566689384051</v>
      </c>
      <c r="K3111">
        <f ca="1"/>
        <v>-8.7236564683686336E-3</v>
      </c>
    </row>
    <row r="3112" spans="7:11">
      <c r="G3112" s="20">
        <v>5.4175019981903985</v>
      </c>
      <c r="H3112" s="20">
        <v>1.0370937387853687E-2</v>
      </c>
      <c r="I3112" s="2">
        <f ca="1"/>
        <v>3105</v>
      </c>
      <c r="J3112">
        <f ca="1"/>
        <v>5.4175019981903985</v>
      </c>
      <c r="K3112">
        <f ca="1"/>
        <v>-8.7425328789957121E-3</v>
      </c>
    </row>
    <row r="3113" spans="7:11">
      <c r="G3113" s="20">
        <v>5.4192473274423936</v>
      </c>
      <c r="H3113" s="20">
        <v>1.0355658206243946E-2</v>
      </c>
      <c r="I3113" s="2">
        <f ca="1"/>
        <v>3106</v>
      </c>
      <c r="J3113">
        <f ca="1"/>
        <v>5.4192473274423936</v>
      </c>
      <c r="K3113">
        <f ca="1"/>
        <v>-8.7731776907944009E-3</v>
      </c>
    </row>
    <row r="3114" spans="7:11">
      <c r="G3114" s="20">
        <v>5.4209926566943869</v>
      </c>
      <c r="H3114" s="20">
        <v>1.0340313220540314E-2</v>
      </c>
      <c r="I3114" s="2">
        <f ca="1"/>
        <v>3107</v>
      </c>
      <c r="J3114">
        <f ca="1"/>
        <v>5.4209926566943869</v>
      </c>
      <c r="K3114">
        <f ca="1"/>
        <v>-8.8032445793073451E-3</v>
      </c>
    </row>
    <row r="3115" spans="7:11">
      <c r="G3115" s="20">
        <v>5.422737985946382</v>
      </c>
      <c r="H3115" s="20">
        <v>1.0324929085690496E-2</v>
      </c>
      <c r="I3115" s="2">
        <f ca="1"/>
        <v>3108</v>
      </c>
      <c r="J3115">
        <f ca="1"/>
        <v>5.422737985946382</v>
      </c>
      <c r="K3115">
        <f ca="1"/>
        <v>-8.824163154825395E-3</v>
      </c>
    </row>
    <row r="3116" spans="7:11">
      <c r="G3116" s="20">
        <v>5.4244833151983753</v>
      </c>
      <c r="H3116" s="20">
        <v>1.0309511080383341E-2</v>
      </c>
      <c r="I3116" s="2">
        <f ca="1"/>
        <v>3109</v>
      </c>
      <c r="J3116">
        <f ca="1"/>
        <v>5.4244833151983753</v>
      </c>
      <c r="K3116">
        <f ca="1"/>
        <v>-8.8512886472083344E-3</v>
      </c>
    </row>
    <row r="3117" spans="7:11">
      <c r="G3117" s="20">
        <v>5.4262286444503696</v>
      </c>
      <c r="H3117" s="20">
        <v>1.029403225970287E-2</v>
      </c>
      <c r="I3117" s="2">
        <f ca="1"/>
        <v>3110</v>
      </c>
      <c r="J3117">
        <f ca="1"/>
        <v>5.4262286444503696</v>
      </c>
      <c r="K3117">
        <f ca="1"/>
        <v>-8.8807345403760403E-3</v>
      </c>
    </row>
    <row r="3118" spans="7:11">
      <c r="G3118" s="20">
        <v>5.4279739737023647</v>
      </c>
      <c r="H3118" s="20">
        <v>1.0278511468838306E-2</v>
      </c>
      <c r="I3118" s="2">
        <f ca="1"/>
        <v>3111</v>
      </c>
      <c r="J3118">
        <f ca="1"/>
        <v>5.4279739737023647</v>
      </c>
      <c r="K3118">
        <f ca="1"/>
        <v>-8.9003315171482227E-3</v>
      </c>
    </row>
    <row r="3119" spans="7:11">
      <c r="G3119" s="20">
        <v>5.4297193029543598</v>
      </c>
      <c r="H3119" s="20">
        <v>1.0262964241804205E-2</v>
      </c>
      <c r="I3119" s="2">
        <f ca="1"/>
        <v>3112</v>
      </c>
      <c r="J3119">
        <f ca="1"/>
        <v>5.4297193029543598</v>
      </c>
      <c r="K3119">
        <f ca="1"/>
        <v>-8.9190475511958731E-3</v>
      </c>
    </row>
    <row r="3120" spans="7:11">
      <c r="G3120" s="20">
        <v>5.4314646322063531</v>
      </c>
      <c r="H3120" s="20">
        <v>1.0247378119656246E-2</v>
      </c>
      <c r="I3120" s="2">
        <f ca="1"/>
        <v>3113</v>
      </c>
      <c r="J3120">
        <f ca="1"/>
        <v>5.4314646322063531</v>
      </c>
      <c r="K3120">
        <f ca="1"/>
        <v>-8.9485678163402152E-3</v>
      </c>
    </row>
    <row r="3121" spans="7:11">
      <c r="G3121" s="20">
        <v>5.4332099614583482</v>
      </c>
      <c r="H3121" s="20">
        <v>1.0231727847457579E-2</v>
      </c>
      <c r="I3121" s="2">
        <f ca="1"/>
        <v>3114</v>
      </c>
      <c r="J3121">
        <f ca="1"/>
        <v>5.4332099614583482</v>
      </c>
      <c r="K3121">
        <f ca="1"/>
        <v>-8.979866612405487E-3</v>
      </c>
    </row>
    <row r="3122" spans="7:11">
      <c r="G3122" s="20">
        <v>5.4349552907103416</v>
      </c>
      <c r="H3122" s="20">
        <v>1.0216032471900971E-2</v>
      </c>
      <c r="I3122" s="2">
        <f ca="1"/>
        <v>3115</v>
      </c>
      <c r="J3122">
        <f ca="1"/>
        <v>5.4349552907103416</v>
      </c>
      <c r="K3122">
        <f ca="1"/>
        <v>-9.0029061188307662E-3</v>
      </c>
    </row>
    <row r="3123" spans="7:11">
      <c r="G3123" s="20">
        <v>5.4367006199623367</v>
      </c>
      <c r="H3123" s="20">
        <v>1.0200301776653273E-2</v>
      </c>
      <c r="I3123" s="2">
        <f ca="1"/>
        <v>3116</v>
      </c>
      <c r="J3123">
        <f ca="1"/>
        <v>5.4367006199623367</v>
      </c>
      <c r="K3123">
        <f ca="1"/>
        <v>-9.0264721086056598E-3</v>
      </c>
    </row>
    <row r="3124" spans="7:11">
      <c r="G3124" s="20">
        <v>5.4384459492143309</v>
      </c>
      <c r="H3124" s="20">
        <v>1.0184524140274044E-2</v>
      </c>
      <c r="I3124" s="2">
        <f ca="1"/>
        <v>3117</v>
      </c>
      <c r="J3124">
        <f ca="1"/>
        <v>5.4384459492143309</v>
      </c>
      <c r="K3124">
        <f ca="1"/>
        <v>-9.051440278532245E-3</v>
      </c>
    </row>
    <row r="3125" spans="7:11">
      <c r="G3125" s="20">
        <v>5.440191278466326</v>
      </c>
      <c r="H3125" s="20">
        <v>1.0168706289671663E-2</v>
      </c>
      <c r="I3125" s="2">
        <f ca="1"/>
        <v>3118</v>
      </c>
      <c r="J3125">
        <f ca="1"/>
        <v>5.440191278466326</v>
      </c>
      <c r="K3125">
        <f ca="1"/>
        <v>-9.0711277885377126E-3</v>
      </c>
    </row>
    <row r="3126" spans="7:11">
      <c r="G3126" s="20">
        <v>5.4419366077183193</v>
      </c>
      <c r="H3126" s="20">
        <v>1.0152859930918219E-2</v>
      </c>
      <c r="I3126" s="2">
        <f ca="1"/>
        <v>3119</v>
      </c>
      <c r="J3126">
        <f ca="1"/>
        <v>5.4419366077183193</v>
      </c>
      <c r="K3126">
        <f ca="1"/>
        <v>-9.0896547378635541E-3</v>
      </c>
    </row>
    <row r="3127" spans="7:11">
      <c r="G3127" s="20">
        <v>5.4436819369703144</v>
      </c>
      <c r="H3127" s="20">
        <v>1.0136977409062621E-2</v>
      </c>
      <c r="I3127" s="2">
        <f ca="1"/>
        <v>3120</v>
      </c>
      <c r="J3127">
        <f ca="1"/>
        <v>5.4436819369703144</v>
      </c>
      <c r="K3127">
        <f ca="1"/>
        <v>-9.1177667414585398E-3</v>
      </c>
    </row>
    <row r="3128" spans="7:11">
      <c r="G3128" s="20">
        <v>5.4454272662223078</v>
      </c>
      <c r="H3128" s="20">
        <v>1.0121032920904764E-2</v>
      </c>
      <c r="I3128" s="2">
        <f ca="1"/>
        <v>3121</v>
      </c>
      <c r="J3128">
        <f ca="1"/>
        <v>5.4454272662223078</v>
      </c>
      <c r="K3128">
        <f ca="1"/>
        <v>-9.1477170345387309E-3</v>
      </c>
    </row>
    <row r="3129" spans="7:11">
      <c r="G3129" s="20">
        <v>5.4471725954743029</v>
      </c>
      <c r="H3129" s="20">
        <v>1.0105045852803928E-2</v>
      </c>
      <c r="I3129" s="2">
        <f ca="1"/>
        <v>3122</v>
      </c>
      <c r="J3129">
        <f ca="1"/>
        <v>5.4471725954743029</v>
      </c>
      <c r="K3129">
        <f ca="1"/>
        <v>-9.1697944045869978E-3</v>
      </c>
    </row>
    <row r="3130" spans="7:11">
      <c r="G3130" s="20">
        <v>5.4489179247262962</v>
      </c>
      <c r="H3130" s="20">
        <v>1.0089024300086567E-2</v>
      </c>
      <c r="I3130" s="2">
        <f ca="1"/>
        <v>3123</v>
      </c>
      <c r="J3130">
        <f ca="1"/>
        <v>5.4489179247262962</v>
      </c>
      <c r="K3130">
        <f ca="1"/>
        <v>-9.1925375704403015E-3</v>
      </c>
    </row>
    <row r="3131" spans="7:11">
      <c r="G3131" s="20">
        <v>5.4506632539782913</v>
      </c>
      <c r="H3131" s="20">
        <v>1.0072957843360437E-2</v>
      </c>
      <c r="I3131" s="2">
        <f ca="1"/>
        <v>3124</v>
      </c>
      <c r="J3131">
        <f ca="1"/>
        <v>5.4506632539782913</v>
      </c>
      <c r="K3131">
        <f ca="1"/>
        <v>-9.2164701036000669E-3</v>
      </c>
    </row>
    <row r="3132" spans="7:11">
      <c r="G3132" s="20">
        <v>5.4524085832302847</v>
      </c>
      <c r="H3132" s="20">
        <v>1.005685275034268E-2</v>
      </c>
      <c r="I3132" s="2">
        <f ca="1"/>
        <v>3125</v>
      </c>
      <c r="J3132">
        <f ca="1"/>
        <v>5.4524085832302847</v>
      </c>
      <c r="K3132">
        <f ca="1"/>
        <v>-9.2352791034396361E-3</v>
      </c>
    </row>
    <row r="3133" spans="7:11">
      <c r="G3133" s="20">
        <v>5.4541539124822798</v>
      </c>
      <c r="H3133" s="20">
        <v>1.0040720637821309E-2</v>
      </c>
      <c r="I3133" s="2">
        <f ca="1"/>
        <v>3126</v>
      </c>
      <c r="J3133">
        <f ca="1"/>
        <v>5.4541539124822798</v>
      </c>
      <c r="K3133">
        <f ca="1"/>
        <v>-9.2529058235528618E-3</v>
      </c>
    </row>
    <row r="3134" spans="7:11">
      <c r="G3134" s="20">
        <v>5.4558992417342749</v>
      </c>
      <c r="H3134" s="20">
        <v>1.0024554015943075E-2</v>
      </c>
      <c r="I3134" s="2">
        <f ca="1"/>
        <v>3127</v>
      </c>
      <c r="J3134">
        <f ca="1"/>
        <v>5.4558992417342749</v>
      </c>
      <c r="K3134">
        <f ca="1"/>
        <v>-9.2799947536795924E-3</v>
      </c>
    </row>
    <row r="3135" spans="7:11">
      <c r="G3135" s="20">
        <v>5.4576445709862682</v>
      </c>
      <c r="H3135" s="20">
        <v>1.0008327345217409E-2</v>
      </c>
      <c r="I3135" s="2">
        <f ca="1"/>
        <v>3128</v>
      </c>
      <c r="J3135">
        <f ca="1"/>
        <v>5.4576445709862682</v>
      </c>
      <c r="K3135">
        <f ca="1"/>
        <v>-9.3088983436518859E-3</v>
      </c>
    </row>
    <row r="3136" spans="7:11">
      <c r="G3136" s="20">
        <v>5.4593899002382624</v>
      </c>
      <c r="H3136" s="20">
        <v>9.9920598307770506E-3</v>
      </c>
      <c r="I3136" s="2">
        <f ca="1"/>
        <v>3129</v>
      </c>
      <c r="J3136">
        <f ca="1"/>
        <v>5.4593899002382624</v>
      </c>
      <c r="K3136">
        <f ca="1"/>
        <v>-9.3262124158530312E-3</v>
      </c>
    </row>
    <row r="3137" spans="7:11">
      <c r="G3137" s="20">
        <v>5.4611352294902566</v>
      </c>
      <c r="H3137" s="20">
        <v>9.9757727225380094E-3</v>
      </c>
      <c r="I3137" s="2">
        <f ca="1"/>
        <v>3130</v>
      </c>
      <c r="J3137">
        <f ca="1"/>
        <v>5.4611352294902566</v>
      </c>
      <c r="K3137">
        <f ca="1"/>
        <v>-9.3419834607374862E-3</v>
      </c>
    </row>
    <row r="3138" spans="7:11">
      <c r="G3138" s="20">
        <v>5.4628805587422509</v>
      </c>
      <c r="H3138" s="20">
        <v>9.959450156765708E-3</v>
      </c>
      <c r="I3138" s="2">
        <f ca="1"/>
        <v>3131</v>
      </c>
      <c r="J3138">
        <f ca="1"/>
        <v>5.4628805587422509</v>
      </c>
      <c r="K3138">
        <f ca="1"/>
        <v>-9.3691078566626972E-3</v>
      </c>
    </row>
    <row r="3139" spans="7:11">
      <c r="G3139" s="20">
        <v>5.4646258879942451</v>
      </c>
      <c r="H3139" s="20">
        <v>9.9430683665233648E-3</v>
      </c>
      <c r="I3139" s="2">
        <f ca="1"/>
        <v>3132</v>
      </c>
      <c r="J3139">
        <f ca="1"/>
        <v>5.4646258879942451</v>
      </c>
      <c r="K3139">
        <f ca="1"/>
        <v>-9.3956525106277007E-3</v>
      </c>
    </row>
    <row r="3140" spans="7:11">
      <c r="G3140" s="20">
        <v>5.4663712172462393</v>
      </c>
      <c r="H3140" s="20">
        <v>9.926653142428965E-3</v>
      </c>
      <c r="I3140" s="2">
        <f ca="1"/>
        <v>3133</v>
      </c>
      <c r="J3140">
        <f ca="1"/>
        <v>5.4663712172462393</v>
      </c>
      <c r="K3140">
        <f ca="1"/>
        <v>-9.4133305853218302E-3</v>
      </c>
    </row>
    <row r="3141" spans="7:11">
      <c r="G3141" s="20">
        <v>5.4681165464982335</v>
      </c>
      <c r="H3141" s="20">
        <v>9.9102096440648567E-3</v>
      </c>
      <c r="I3141" s="2">
        <f ca="1"/>
        <v>3134</v>
      </c>
      <c r="J3141">
        <f ca="1"/>
        <v>5.4681165464982335</v>
      </c>
      <c r="K3141">
        <f ca="1"/>
        <v>-9.4369706762434339E-3</v>
      </c>
    </row>
    <row r="3142" spans="7:11">
      <c r="G3142" s="20">
        <v>5.4698618757502278</v>
      </c>
      <c r="H3142" s="20">
        <v>9.8937119004860463E-3</v>
      </c>
      <c r="I3142" s="2">
        <f ca="1"/>
        <v>3135</v>
      </c>
      <c r="J3142">
        <f ca="1"/>
        <v>5.4698618757502278</v>
      </c>
      <c r="K3142">
        <f ca="1"/>
        <v>-9.4628271686445584E-3</v>
      </c>
    </row>
    <row r="3143" spans="7:11">
      <c r="G3143" s="20">
        <v>5.4716072050022229</v>
      </c>
      <c r="H3143" s="20">
        <v>9.8771781459368463E-3</v>
      </c>
      <c r="I3143" s="2">
        <f ca="1"/>
        <v>3136</v>
      </c>
      <c r="J3143">
        <f ca="1"/>
        <v>5.4716072050022229</v>
      </c>
      <c r="K3143">
        <f ca="1"/>
        <v>-9.4791588150856497E-3</v>
      </c>
    </row>
    <row r="3144" spans="7:11">
      <c r="G3144" s="20">
        <v>5.473352534254218</v>
      </c>
      <c r="H3144" s="20">
        <v>9.8606233941574938E-3</v>
      </c>
      <c r="I3144" s="2">
        <f ca="1"/>
        <v>3137</v>
      </c>
      <c r="J3144">
        <f ca="1"/>
        <v>5.473352534254218</v>
      </c>
      <c r="K3144">
        <f ca="1"/>
        <v>-9.4946174352897265E-3</v>
      </c>
    </row>
    <row r="3145" spans="7:11">
      <c r="G3145" s="20">
        <v>5.4750978635062113</v>
      </c>
      <c r="H3145" s="20">
        <v>9.8440356788442353E-3</v>
      </c>
      <c r="I3145" s="2">
        <f ca="1"/>
        <v>3138</v>
      </c>
      <c r="J3145">
        <f ca="1"/>
        <v>5.4750978635062113</v>
      </c>
      <c r="K3145">
        <f ca="1"/>
        <v>-9.5204628153917979E-3</v>
      </c>
    </row>
    <row r="3146" spans="7:11">
      <c r="G3146" s="20">
        <v>5.4768431927582064</v>
      </c>
      <c r="H3146" s="20">
        <v>9.8273907096690406E-3</v>
      </c>
      <c r="I3146" s="2">
        <f ca="1"/>
        <v>3139</v>
      </c>
      <c r="J3146">
        <f ca="1"/>
        <v>5.4768431927582064</v>
      </c>
      <c r="K3146">
        <f ca="1"/>
        <v>-9.5479966954498396E-3</v>
      </c>
    </row>
    <row r="3147" spans="7:11">
      <c r="G3147" s="20">
        <v>5.4785885220101997</v>
      </c>
      <c r="H3147" s="20">
        <v>9.8107068829832098E-3</v>
      </c>
      <c r="I3147" s="2">
        <f ca="1"/>
        <v>3140</v>
      </c>
      <c r="J3147">
        <f ca="1"/>
        <v>5.4785885220101997</v>
      </c>
      <c r="K3147">
        <f ca="1"/>
        <v>-9.5675462126914787E-3</v>
      </c>
    </row>
    <row r="3148" spans="7:11">
      <c r="G3148" s="20">
        <v>5.480333851262194</v>
      </c>
      <c r="H3148" s="20">
        <v>9.7939936731194152E-3</v>
      </c>
      <c r="I3148" s="2">
        <f ca="1"/>
        <v>3141</v>
      </c>
      <c r="J3148">
        <f ca="1"/>
        <v>5.480333851262194</v>
      </c>
      <c r="K3148">
        <f ca="1"/>
        <v>-9.5875764132097984E-3</v>
      </c>
    </row>
    <row r="3149" spans="7:11">
      <c r="G3149" s="20">
        <v>5.4820791805141891</v>
      </c>
      <c r="H3149" s="20">
        <v>9.7772399278437915E-3</v>
      </c>
      <c r="I3149" s="2">
        <f ca="1"/>
        <v>3142</v>
      </c>
      <c r="J3149">
        <f ca="1"/>
        <v>5.4820791805141891</v>
      </c>
      <c r="K3149">
        <f ca="1"/>
        <v>-9.608932578607416E-3</v>
      </c>
    </row>
    <row r="3150" spans="7:11">
      <c r="G3150" s="20">
        <v>5.4838245097661842</v>
      </c>
      <c r="H3150" s="20">
        <v>9.7604521708996306E-3</v>
      </c>
      <c r="I3150" s="2">
        <f ca="1"/>
        <v>3143</v>
      </c>
      <c r="J3150">
        <f ca="1"/>
        <v>5.4838245097661842</v>
      </c>
      <c r="K3150">
        <f ca="1"/>
        <v>-9.6251862600403876E-3</v>
      </c>
    </row>
    <row r="3151" spans="7:11">
      <c r="G3151" s="20">
        <v>5.4855698390181775</v>
      </c>
      <c r="H3151" s="20">
        <v>9.7436416895727088E-3</v>
      </c>
      <c r="I3151" s="2">
        <f ca="1"/>
        <v>3144</v>
      </c>
      <c r="J3151">
        <f ca="1"/>
        <v>5.4855698390181775</v>
      </c>
      <c r="K3151">
        <f ca="1"/>
        <v>-9.6403003644907181E-3</v>
      </c>
    </row>
    <row r="3152" spans="7:11">
      <c r="G3152" s="20">
        <v>5.4873151682701726</v>
      </c>
      <c r="H3152" s="20">
        <v>9.7268011744513182E-3</v>
      </c>
      <c r="I3152" s="2">
        <f ca="1"/>
        <v>3145</v>
      </c>
      <c r="J3152">
        <f ca="1"/>
        <v>5.4873151682701726</v>
      </c>
      <c r="K3152">
        <f ca="1"/>
        <v>-9.6645964783016458E-3</v>
      </c>
    </row>
    <row r="3153" spans="7:11">
      <c r="G3153" s="20">
        <v>5.489060497522166</v>
      </c>
      <c r="H3153" s="20">
        <v>9.7099058836881084E-3</v>
      </c>
      <c r="I3153" s="2">
        <f ca="1"/>
        <v>3146</v>
      </c>
      <c r="J3153">
        <f ca="1"/>
        <v>5.489060497522166</v>
      </c>
      <c r="K3153">
        <f ca="1"/>
        <v>-9.6906332312408604E-3</v>
      </c>
    </row>
    <row r="3154" spans="7:11">
      <c r="G3154" s="20">
        <v>5.4908058267741611</v>
      </c>
      <c r="H3154" s="20">
        <v>9.6929744831536543E-3</v>
      </c>
      <c r="I3154" s="2">
        <f ca="1"/>
        <v>3147</v>
      </c>
      <c r="J3154">
        <f ca="1"/>
        <v>5.4908058267741611</v>
      </c>
      <c r="K3154">
        <f ca="1"/>
        <v>-9.7090813685939137E-3</v>
      </c>
    </row>
    <row r="3155" spans="7:11">
      <c r="G3155" s="20">
        <v>5.4925511560261544</v>
      </c>
      <c r="H3155" s="20">
        <v>9.6760147962429103E-3</v>
      </c>
      <c r="I3155" s="2">
        <f ca="1"/>
        <v>3148</v>
      </c>
      <c r="J3155">
        <f ca="1"/>
        <v>5.4925511560261544</v>
      </c>
      <c r="K3155">
        <f ca="1"/>
        <v>-9.7281423944006913E-3</v>
      </c>
    </row>
    <row r="3156" spans="7:11">
      <c r="G3156" s="20">
        <v>5.4942964852781495</v>
      </c>
      <c r="H3156" s="20">
        <v>9.659016860176629E-3</v>
      </c>
      <c r="I3156" s="2">
        <f ca="1"/>
        <v>3149</v>
      </c>
      <c r="J3156">
        <f ca="1"/>
        <v>5.4942964852781495</v>
      </c>
      <c r="K3156">
        <f ca="1"/>
        <v>-9.7483203031493298E-3</v>
      </c>
    </row>
    <row r="3157" spans="7:11">
      <c r="G3157" s="20">
        <v>5.4960418145301437</v>
      </c>
      <c r="H3157" s="20">
        <v>9.6419867390771102E-3</v>
      </c>
      <c r="I3157" s="2">
        <f ca="1"/>
        <v>3150</v>
      </c>
      <c r="J3157">
        <f ca="1"/>
        <v>5.4960418145301437</v>
      </c>
      <c r="K3157">
        <f ca="1"/>
        <v>-9.7635621120499491E-3</v>
      </c>
    </row>
    <row r="3158" spans="7:11">
      <c r="G3158" s="20">
        <v>5.497787143782138</v>
      </c>
      <c r="H3158" s="20">
        <v>9.6249355990609825E-3</v>
      </c>
      <c r="I3158" s="2">
        <f ca="1"/>
        <v>3151</v>
      </c>
      <c r="J3158">
        <f ca="1"/>
        <v>5.497787143782138</v>
      </c>
      <c r="K3158">
        <f ca="1"/>
        <v>-9.7776471732494239E-3</v>
      </c>
    </row>
    <row r="3159" spans="7:11">
      <c r="G3159" s="20">
        <v>5.4995324730341322</v>
      </c>
      <c r="H3159" s="20">
        <v>9.6078563118228086E-3</v>
      </c>
      <c r="I3159" s="2">
        <f ca="1"/>
        <v>3152</v>
      </c>
      <c r="J3159">
        <f ca="1"/>
        <v>5.4995324730341322</v>
      </c>
      <c r="K3159">
        <f ca="1"/>
        <v>-9.8007669886068603E-3</v>
      </c>
    </row>
    <row r="3160" spans="7:11">
      <c r="G3160" s="20">
        <v>5.5012778022861264</v>
      </c>
      <c r="H3160" s="20">
        <v>9.5907244684265928E-3</v>
      </c>
      <c r="I3160" s="2">
        <f ca="1"/>
        <v>3153</v>
      </c>
      <c r="J3160">
        <f ca="1"/>
        <v>5.5012778022861264</v>
      </c>
      <c r="K3160">
        <f ca="1"/>
        <v>-9.8255987776263987E-3</v>
      </c>
    </row>
    <row r="3161" spans="7:11">
      <c r="G3161" s="20">
        <v>5.5030231315381206</v>
      </c>
      <c r="H3161" s="20">
        <v>9.5735585018929086E-3</v>
      </c>
      <c r="I3161" s="2">
        <f ca="1"/>
        <v>3154</v>
      </c>
      <c r="J3161">
        <f ca="1"/>
        <v>5.5030231315381206</v>
      </c>
      <c r="K3161">
        <f ca="1"/>
        <v>-9.8393135300621389E-3</v>
      </c>
    </row>
    <row r="3162" spans="7:11">
      <c r="G3162" s="20">
        <v>5.5047684607901148</v>
      </c>
      <c r="H3162" s="20">
        <v>9.5563787849794728E-3</v>
      </c>
      <c r="I3162" s="2">
        <f ca="1"/>
        <v>3155</v>
      </c>
      <c r="J3162">
        <f ca="1"/>
        <v>5.5047684607901148</v>
      </c>
      <c r="K3162">
        <f ca="1"/>
        <v>-9.8515268384891889E-3</v>
      </c>
    </row>
    <row r="3163" spans="7:11">
      <c r="G3163" s="20">
        <v>5.5065137900421099</v>
      </c>
      <c r="H3163" s="20">
        <v>9.5391701859568571E-3</v>
      </c>
      <c r="I3163" s="2">
        <f ca="1"/>
        <v>3156</v>
      </c>
      <c r="J3163">
        <f ca="1"/>
        <v>5.5065137900421099</v>
      </c>
      <c r="K3163">
        <f ca="1"/>
        <v>-9.8745683277274409E-3</v>
      </c>
    </row>
    <row r="3164" spans="7:11">
      <c r="G3164" s="20">
        <v>5.5082591192941033</v>
      </c>
      <c r="H3164" s="20">
        <v>9.5219100390730761E-3</v>
      </c>
      <c r="I3164" s="2">
        <f ca="1"/>
        <v>3157</v>
      </c>
      <c r="J3164">
        <f ca="1"/>
        <v>5.5082591192941033</v>
      </c>
      <c r="K3164">
        <f ca="1"/>
        <v>-9.8970337911436865E-3</v>
      </c>
    </row>
    <row r="3165" spans="7:11">
      <c r="G3165" s="20">
        <v>5.5100044485460984</v>
      </c>
      <c r="H3165" s="20">
        <v>9.5046230207895405E-3</v>
      </c>
      <c r="I3165" s="2">
        <f ca="1"/>
        <v>3158</v>
      </c>
      <c r="J3165">
        <f ca="1"/>
        <v>5.5100044485460984</v>
      </c>
      <c r="K3165">
        <f ca="1"/>
        <v>-9.9110006910115202E-3</v>
      </c>
    </row>
    <row r="3166" spans="7:11">
      <c r="G3166" s="20">
        <v>5.5117497777980917</v>
      </c>
      <c r="H3166" s="20">
        <v>9.4873141202279614E-3</v>
      </c>
      <c r="I3166" s="2">
        <f ca="1"/>
        <v>3159</v>
      </c>
      <c r="J3166">
        <f ca="1"/>
        <v>5.5117497777980917</v>
      </c>
      <c r="K3166">
        <f ca="1"/>
        <v>-9.9306271063490832E-3</v>
      </c>
    </row>
    <row r="3167" spans="7:11">
      <c r="G3167" s="20">
        <v>5.5134951070500868</v>
      </c>
      <c r="H3167" s="20">
        <v>9.4699585928308249E-3</v>
      </c>
      <c r="I3167" s="2">
        <f ca="1"/>
        <v>3160</v>
      </c>
      <c r="J3167">
        <f ca="1"/>
        <v>5.5134951070500868</v>
      </c>
      <c r="K3167">
        <f ca="1"/>
        <v>-9.9523438584785458E-3</v>
      </c>
    </row>
    <row r="3168" spans="7:11">
      <c r="G3168" s="20">
        <v>5.5152404363020811</v>
      </c>
      <c r="H3168" s="20">
        <v>9.4525738865037373E-3</v>
      </c>
      <c r="I3168" s="2">
        <f ca="1"/>
        <v>3161</v>
      </c>
      <c r="J3168">
        <f ca="1"/>
        <v>5.5152404363020811</v>
      </c>
      <c r="K3168">
        <f ca="1"/>
        <v>-9.9649520737368508E-3</v>
      </c>
    </row>
    <row r="3169" spans="7:11">
      <c r="G3169" s="20">
        <v>5.5169857655540762</v>
      </c>
      <c r="H3169" s="20">
        <v>9.4351743481327893E-3</v>
      </c>
      <c r="I3169" s="2">
        <f ca="1"/>
        <v>3162</v>
      </c>
      <c r="J3169">
        <f ca="1"/>
        <v>5.5169857655540762</v>
      </c>
      <c r="K3169">
        <f ca="1"/>
        <v>-9.9767041314577695E-3</v>
      </c>
    </row>
    <row r="3170" spans="7:11">
      <c r="G3170" s="20">
        <v>5.5187310948060704</v>
      </c>
      <c r="H3170" s="20">
        <v>9.4177486193854788E-3</v>
      </c>
      <c r="I3170" s="2">
        <f ca="1"/>
        <v>3163</v>
      </c>
      <c r="J3170">
        <f ca="1"/>
        <v>5.5187310948060704</v>
      </c>
      <c r="K3170">
        <f ca="1"/>
        <v>-9.9983250814507426E-3</v>
      </c>
    </row>
    <row r="3171" spans="7:11">
      <c r="G3171" s="20">
        <v>5.5204764240580646</v>
      </c>
      <c r="H3171" s="20">
        <v>9.4002736096615823E-3</v>
      </c>
      <c r="I3171" s="2">
        <f ca="1"/>
        <v>3164</v>
      </c>
      <c r="J3171">
        <f ca="1"/>
        <v>5.5204764240580646</v>
      </c>
      <c r="K3171">
        <f ca="1"/>
        <v>-1.0021528275164015E-2</v>
      </c>
    </row>
    <row r="3172" spans="7:11">
      <c r="G3172" s="20">
        <v>5.5222217533100579</v>
      </c>
      <c r="H3172" s="20">
        <v>9.3827668864888258E-3</v>
      </c>
      <c r="I3172" s="2">
        <f ca="1"/>
        <v>3165</v>
      </c>
      <c r="J3172">
        <f ca="1"/>
        <v>5.5222217533100579</v>
      </c>
      <c r="K3172">
        <f ca="1"/>
        <v>-1.0037099449666171E-2</v>
      </c>
    </row>
    <row r="3173" spans="7:11">
      <c r="G3173" s="20">
        <v>5.523967082562053</v>
      </c>
      <c r="H3173" s="20">
        <v>9.3652375231122274E-3</v>
      </c>
      <c r="I3173" s="2">
        <f ca="1"/>
        <v>3166</v>
      </c>
      <c r="J3173">
        <f ca="1"/>
        <v>5.523967082562053</v>
      </c>
      <c r="K3173">
        <f ca="1"/>
        <v>-1.0053101042757783E-2</v>
      </c>
    </row>
    <row r="3174" spans="7:11">
      <c r="G3174" s="20">
        <v>5.5257124118140473</v>
      </c>
      <c r="H3174" s="20">
        <v>9.3476749438424593E-3</v>
      </c>
      <c r="I3174" s="2">
        <f ca="1"/>
        <v>3167</v>
      </c>
      <c r="J3174">
        <f ca="1"/>
        <v>5.5257124118140473</v>
      </c>
      <c r="K3174">
        <f ca="1"/>
        <v>-1.0070339577585232E-2</v>
      </c>
    </row>
    <row r="3175" spans="7:11">
      <c r="G3175" s="20">
        <v>5.5274577410660424</v>
      </c>
      <c r="H3175" s="20">
        <v>9.3300854066276692E-3</v>
      </c>
      <c r="I3175" s="2">
        <f ca="1"/>
        <v>3168</v>
      </c>
      <c r="J3175">
        <f ca="1"/>
        <v>5.5274577410660424</v>
      </c>
      <c r="K3175">
        <f ca="1"/>
        <v>-1.0082703008746384E-2</v>
      </c>
    </row>
    <row r="3176" spans="7:11">
      <c r="G3176" s="20">
        <v>5.5292030703180366</v>
      </c>
      <c r="H3176" s="20">
        <v>9.3124796708417799E-3</v>
      </c>
      <c r="I3176" s="2">
        <f ca="1"/>
        <v>3169</v>
      </c>
      <c r="J3176">
        <f ca="1"/>
        <v>5.5292030703180366</v>
      </c>
      <c r="K3176">
        <f ca="1"/>
        <v>-1.0093959334803884E-2</v>
      </c>
    </row>
    <row r="3177" spans="7:11">
      <c r="G3177" s="20">
        <v>5.5309483995700308</v>
      </c>
      <c r="H3177" s="20">
        <v>9.2948508416367225E-3</v>
      </c>
      <c r="I3177" s="2">
        <f ca="1"/>
        <v>3170</v>
      </c>
      <c r="J3177">
        <f ca="1"/>
        <v>5.5309483995700308</v>
      </c>
      <c r="K3177">
        <f ca="1"/>
        <v>-1.0113906296486338E-2</v>
      </c>
    </row>
    <row r="3178" spans="7:11">
      <c r="G3178" s="20">
        <v>5.532693728822025</v>
      </c>
      <c r="H3178" s="20">
        <v>9.2771754778194077E-3</v>
      </c>
      <c r="I3178" s="2">
        <f ca="1"/>
        <v>3171</v>
      </c>
      <c r="J3178">
        <f ca="1"/>
        <v>5.532693728822025</v>
      </c>
      <c r="K3178">
        <f ca="1"/>
        <v>-1.0135479468514329E-2</v>
      </c>
    </row>
    <row r="3179" spans="7:11">
      <c r="G3179" s="20">
        <v>5.5344390580740193</v>
      </c>
      <c r="H3179" s="20">
        <v>9.2594713440379527E-3</v>
      </c>
      <c r="I3179" s="2">
        <f ca="1"/>
        <v>3172</v>
      </c>
      <c r="J3179">
        <f ca="1"/>
        <v>5.5344390580740193</v>
      </c>
      <c r="K3179">
        <f ca="1"/>
        <v>-1.0149821982159534E-2</v>
      </c>
    </row>
    <row r="3180" spans="7:11">
      <c r="G3180" s="20">
        <v>5.5361843873260135</v>
      </c>
      <c r="H3180" s="20">
        <v>9.2417459154034137E-3</v>
      </c>
      <c r="I3180" s="2">
        <f ca="1"/>
        <v>3173</v>
      </c>
      <c r="J3180">
        <f ca="1"/>
        <v>5.5361843873260135</v>
      </c>
      <c r="K3180">
        <f ca="1"/>
        <v>-1.0164718618744861E-2</v>
      </c>
    </row>
    <row r="3181" spans="7:11">
      <c r="G3181" s="20">
        <v>5.5379297165780077</v>
      </c>
      <c r="H3181" s="20">
        <v>9.2239897825507813E-3</v>
      </c>
      <c r="I3181" s="2">
        <f ca="1"/>
        <v>3174</v>
      </c>
      <c r="J3181">
        <f ca="1"/>
        <v>5.5379297165780077</v>
      </c>
      <c r="K3181">
        <f ca="1"/>
        <v>-1.0180649373799602E-2</v>
      </c>
    </row>
    <row r="3182" spans="7:11">
      <c r="G3182" s="20">
        <v>5.5396750458300019</v>
      </c>
      <c r="H3182" s="20">
        <v>9.2062087450906355E-3</v>
      </c>
      <c r="I3182" s="2">
        <f ca="1"/>
        <v>3175</v>
      </c>
      <c r="J3182">
        <f ca="1"/>
        <v>5.5396750458300019</v>
      </c>
      <c r="K3182">
        <f ca="1"/>
        <v>-1.0191879719728684E-2</v>
      </c>
    </row>
    <row r="3183" spans="7:11">
      <c r="G3183" s="20">
        <v>5.5414203750819961</v>
      </c>
      <c r="H3183" s="20">
        <v>9.188413410935483E-3</v>
      </c>
      <c r="I3183" s="2">
        <f ca="1"/>
        <v>3176</v>
      </c>
      <c r="J3183">
        <f ca="1"/>
        <v>5.5414203750819961</v>
      </c>
      <c r="K3183">
        <f ca="1"/>
        <v>-1.0201989949150215E-2</v>
      </c>
    </row>
    <row r="3184" spans="7:11">
      <c r="G3184" s="20">
        <v>5.5431657043339913</v>
      </c>
      <c r="H3184" s="20">
        <v>9.1705970821170206E-3</v>
      </c>
      <c r="I3184" s="2">
        <f ca="1"/>
        <v>3177</v>
      </c>
      <c r="J3184">
        <f ca="1"/>
        <v>5.5431657043339913</v>
      </c>
      <c r="K3184">
        <f ca="1"/>
        <v>-1.0220620750053977E-2</v>
      </c>
    </row>
    <row r="3185" spans="7:11">
      <c r="G3185" s="20">
        <v>5.5449110335859846</v>
      </c>
      <c r="H3185" s="20">
        <v>9.1527367141982664E-3</v>
      </c>
      <c r="I3185" s="2">
        <f ca="1"/>
        <v>3178</v>
      </c>
      <c r="J3185">
        <f ca="1"/>
        <v>5.5449110335859846</v>
      </c>
      <c r="K3185">
        <f ca="1"/>
        <v>-1.0240844805212561E-2</v>
      </c>
    </row>
    <row r="3186" spans="7:11">
      <c r="G3186" s="20">
        <v>5.5466563628379797</v>
      </c>
      <c r="H3186" s="20">
        <v>9.1348497901096795E-3</v>
      </c>
      <c r="I3186" s="2">
        <f ca="1"/>
        <v>3179</v>
      </c>
      <c r="J3186">
        <f ca="1"/>
        <v>5.5466563628379797</v>
      </c>
      <c r="K3186">
        <f ca="1"/>
        <v>-1.0250531823447026E-2</v>
      </c>
    </row>
    <row r="3187" spans="7:11">
      <c r="G3187" s="20">
        <v>5.548401692089973</v>
      </c>
      <c r="H3187" s="20">
        <v>9.1169556081183468E-3</v>
      </c>
      <c r="I3187" s="2">
        <f ca="1"/>
        <v>3180</v>
      </c>
      <c r="J3187">
        <f ca="1"/>
        <v>5.548401692089973</v>
      </c>
      <c r="K3187">
        <f ca="1"/>
        <v>-1.0258774076965689E-2</v>
      </c>
    </row>
    <row r="3188" spans="7:11">
      <c r="G3188" s="20">
        <v>5.5501470213419681</v>
      </c>
      <c r="H3188" s="20">
        <v>9.0990399131374231E-3</v>
      </c>
      <c r="I3188" s="2">
        <f ca="1"/>
        <v>3181</v>
      </c>
      <c r="J3188">
        <f ca="1"/>
        <v>5.5501470213419681</v>
      </c>
      <c r="K3188">
        <f ca="1"/>
        <v>-1.0277215742264178E-2</v>
      </c>
    </row>
    <row r="3189" spans="7:11">
      <c r="G3189" s="20">
        <v>5.5518923505939615</v>
      </c>
      <c r="H3189" s="20">
        <v>9.0810813575902885E-3</v>
      </c>
      <c r="I3189" s="2">
        <f ca="1"/>
        <v>3182</v>
      </c>
      <c r="J3189">
        <f ca="1"/>
        <v>5.5518923505939615</v>
      </c>
      <c r="K3189">
        <f ca="1"/>
        <v>-1.0295090818167133E-2</v>
      </c>
    </row>
    <row r="3190" spans="7:11">
      <c r="G3190" s="20">
        <v>5.5536376798459566</v>
      </c>
      <c r="H3190" s="20">
        <v>9.0631032668236546E-3</v>
      </c>
      <c r="I3190" s="2">
        <f ca="1"/>
        <v>3183</v>
      </c>
      <c r="J3190">
        <f ca="1"/>
        <v>5.5536376798459566</v>
      </c>
      <c r="K3190">
        <f ca="1"/>
        <v>-1.0304917143930828E-2</v>
      </c>
    </row>
    <row r="3191" spans="7:11">
      <c r="G3191" s="20">
        <v>5.5553830090979499</v>
      </c>
      <c r="H3191" s="20">
        <v>9.0451104109289301E-3</v>
      </c>
      <c r="I3191" s="2">
        <f ca="1"/>
        <v>3184</v>
      </c>
      <c r="J3191">
        <f ca="1"/>
        <v>5.5553830090979499</v>
      </c>
      <c r="K3191">
        <f ca="1"/>
        <v>-1.0320046961533871E-2</v>
      </c>
    </row>
    <row r="3192" spans="7:11">
      <c r="G3192" s="20">
        <v>5.557128338349945</v>
      </c>
      <c r="H3192" s="20">
        <v>9.0270795071358163E-3</v>
      </c>
      <c r="I3192" s="2">
        <f ca="1"/>
        <v>3185</v>
      </c>
      <c r="J3192">
        <f ca="1"/>
        <v>5.557128338349945</v>
      </c>
      <c r="K3192">
        <f ca="1"/>
        <v>-1.0337121946948307E-2</v>
      </c>
    </row>
    <row r="3193" spans="7:11">
      <c r="G3193" s="20">
        <v>5.5588736676019392</v>
      </c>
      <c r="H3193" s="20">
        <v>9.0090270482980402E-3</v>
      </c>
      <c r="I3193" s="2">
        <f ca="1"/>
        <v>3186</v>
      </c>
      <c r="J3193">
        <f ca="1"/>
        <v>5.5588736676019392</v>
      </c>
      <c r="K3193">
        <f ca="1"/>
        <v>-1.0345592375205145E-2</v>
      </c>
    </row>
    <row r="3194" spans="7:11">
      <c r="G3194" s="20">
        <v>5.5606189968539343</v>
      </c>
      <c r="H3194" s="20">
        <v>8.9909665771324993E-3</v>
      </c>
      <c r="I3194" s="2">
        <f ca="1"/>
        <v>3187</v>
      </c>
      <c r="J3194">
        <f ca="1"/>
        <v>5.5606189968539343</v>
      </c>
      <c r="K3194">
        <f ca="1"/>
        <v>-1.0353232043356088E-2</v>
      </c>
    </row>
    <row r="3195" spans="7:11">
      <c r="G3195" s="20">
        <v>5.5623643261059277</v>
      </c>
      <c r="H3195" s="20">
        <v>8.9728874508221337E-3</v>
      </c>
      <c r="I3195" s="2">
        <f ca="1"/>
        <v>3188</v>
      </c>
      <c r="J3195">
        <f ca="1"/>
        <v>5.5623643261059277</v>
      </c>
      <c r="K3195">
        <f ca="1"/>
        <v>-1.0370129287785424E-2</v>
      </c>
    </row>
    <row r="3196" spans="7:11">
      <c r="G3196" s="20">
        <v>5.5641096553579228</v>
      </c>
      <c r="H3196" s="20">
        <v>8.9547679971466315E-3</v>
      </c>
      <c r="I3196" s="2">
        <f ca="1"/>
        <v>3189</v>
      </c>
      <c r="J3196">
        <f ca="1"/>
        <v>5.5641096553579228</v>
      </c>
      <c r="K3196">
        <f ca="1"/>
        <v>-1.0388488050734428E-2</v>
      </c>
    </row>
    <row r="3197" spans="7:11">
      <c r="G3197" s="20">
        <v>5.5658549846099161</v>
      </c>
      <c r="H3197" s="20">
        <v>8.9366247866642552E-3</v>
      </c>
      <c r="I3197" s="2">
        <f ca="1"/>
        <v>3190</v>
      </c>
      <c r="J3197">
        <f ca="1"/>
        <v>5.5658549846099161</v>
      </c>
      <c r="K3197">
        <f ca="1"/>
        <v>-1.0399640339735521E-2</v>
      </c>
    </row>
    <row r="3198" spans="7:11">
      <c r="G3198" s="20">
        <v>5.5676003138619112</v>
      </c>
      <c r="H3198" s="20">
        <v>8.9184664041563125E-3</v>
      </c>
      <c r="I3198" s="2">
        <f ca="1"/>
        <v>3191</v>
      </c>
      <c r="J3198">
        <f ca="1"/>
        <v>5.5676003138619112</v>
      </c>
      <c r="K3198">
        <f ca="1"/>
        <v>-1.0411169347179434E-2</v>
      </c>
    </row>
    <row r="3199" spans="7:11">
      <c r="G3199" s="20">
        <v>5.5693456431139063</v>
      </c>
      <c r="H3199" s="20">
        <v>8.900282949846041E-3</v>
      </c>
      <c r="I3199" s="2">
        <f ca="1"/>
        <v>3192</v>
      </c>
      <c r="J3199">
        <f ca="1"/>
        <v>5.5693456431139063</v>
      </c>
      <c r="K3199">
        <f ca="1"/>
        <v>-1.0423835282379437E-2</v>
      </c>
    </row>
    <row r="3200" spans="7:11">
      <c r="G3200" s="20">
        <v>5.5710909723659006</v>
      </c>
      <c r="H3200" s="20">
        <v>8.8820803548836907E-3</v>
      </c>
      <c r="I3200" s="2">
        <f ca="1"/>
        <v>3193</v>
      </c>
      <c r="J3200">
        <f ca="1"/>
        <v>5.5710909723659006</v>
      </c>
      <c r="K3200">
        <f ca="1"/>
        <v>-1.0431900574579291E-2</v>
      </c>
    </row>
    <row r="3201" spans="7:11">
      <c r="G3201" s="20">
        <v>5.5728363016178948</v>
      </c>
      <c r="H3201" s="20">
        <v>8.8638687473926239E-3</v>
      </c>
      <c r="I3201" s="2">
        <f ca="1"/>
        <v>3194</v>
      </c>
      <c r="J3201">
        <f ca="1"/>
        <v>5.5728363016178948</v>
      </c>
      <c r="K3201">
        <f ca="1"/>
        <v>-1.0438902380324947E-2</v>
      </c>
    </row>
    <row r="3202" spans="7:11">
      <c r="G3202" s="20">
        <v>5.574581630869889</v>
      </c>
      <c r="H3202" s="20">
        <v>8.8456417115175042E-3</v>
      </c>
      <c r="I3202" s="2">
        <f ca="1"/>
        <v>3195</v>
      </c>
      <c r="J3202">
        <f ca="1"/>
        <v>5.574581630869889</v>
      </c>
      <c r="K3202">
        <f ca="1"/>
        <v>-1.0454022129560788E-2</v>
      </c>
    </row>
    <row r="3203" spans="7:11">
      <c r="G3203" s="20">
        <v>5.5763269601218823</v>
      </c>
      <c r="H3203" s="20">
        <v>8.8273773261451985E-3</v>
      </c>
      <c r="I3203" s="2">
        <f ca="1"/>
        <v>3196</v>
      </c>
      <c r="J3203">
        <f ca="1"/>
        <v>5.5763269601218823</v>
      </c>
      <c r="K3203">
        <f ca="1"/>
        <v>-1.0470639087986336E-2</v>
      </c>
    </row>
    <row r="3204" spans="7:11">
      <c r="G3204" s="20">
        <v>5.5780722893738774</v>
      </c>
      <c r="H3204" s="20">
        <v>8.8090922861428309E-3</v>
      </c>
      <c r="I3204" s="2">
        <f ca="1"/>
        <v>3197</v>
      </c>
      <c r="J3204">
        <f ca="1"/>
        <v>5.5780722893738774</v>
      </c>
      <c r="K3204">
        <f ca="1"/>
        <v>-1.0480452318634129E-2</v>
      </c>
    </row>
    <row r="3205" spans="7:11">
      <c r="G3205" s="20">
        <v>5.5798176186258708</v>
      </c>
      <c r="H3205" s="20">
        <v>8.7907936461335129E-3</v>
      </c>
      <c r="I3205" s="2">
        <f ca="1"/>
        <v>3198</v>
      </c>
      <c r="J3205">
        <f ca="1"/>
        <v>5.5798176186258708</v>
      </c>
      <c r="K3205">
        <f ca="1"/>
        <v>-1.0490756883626313E-2</v>
      </c>
    </row>
    <row r="3206" spans="7:11">
      <c r="G3206" s="20">
        <v>5.5815629478778659</v>
      </c>
      <c r="H3206" s="20">
        <v>8.7724726364137254E-3</v>
      </c>
      <c r="I3206" s="2">
        <f ca="1"/>
        <v>3199</v>
      </c>
      <c r="J3206">
        <f ca="1"/>
        <v>5.5815629478778659</v>
      </c>
      <c r="K3206">
        <f ca="1"/>
        <v>-1.0502003687905112E-2</v>
      </c>
    </row>
    <row r="3207" spans="7:11">
      <c r="G3207" s="20">
        <v>5.5833082771298592</v>
      </c>
      <c r="H3207" s="20">
        <v>8.7541347376514089E-3</v>
      </c>
      <c r="I3207" s="2">
        <f ca="1"/>
        <v>3200</v>
      </c>
      <c r="J3207">
        <f ca="1"/>
        <v>5.5833082771298592</v>
      </c>
      <c r="K3207">
        <f ca="1"/>
        <v>-1.0508830332951635E-2</v>
      </c>
    </row>
    <row r="3208" spans="7:11">
      <c r="G3208" s="20">
        <v>5.5850536063818543</v>
      </c>
      <c r="H3208" s="20">
        <v>8.7357898984450361E-3</v>
      </c>
      <c r="I3208" s="2">
        <f ca="1"/>
        <v>3201</v>
      </c>
      <c r="J3208">
        <f ca="1"/>
        <v>5.5850536063818543</v>
      </c>
      <c r="K3208">
        <f ca="1"/>
        <v>-1.0515807878757541E-2</v>
      </c>
    </row>
    <row r="3209" spans="7:11">
      <c r="G3209" s="20">
        <v>5.5867989356338477</v>
      </c>
      <c r="H3209" s="20">
        <v>8.7174276434531153E-3</v>
      </c>
      <c r="I3209" s="2">
        <f ca="1"/>
        <v>3202</v>
      </c>
      <c r="J3209">
        <f ca="1"/>
        <v>5.5867989356338477</v>
      </c>
      <c r="K3209">
        <f ca="1"/>
        <v>-1.0525998024818054E-2</v>
      </c>
    </row>
    <row r="3210" spans="7:11">
      <c r="G3210" s="20">
        <v>5.5885442648858437</v>
      </c>
      <c r="H3210" s="20">
        <v>8.6990472339267301E-3</v>
      </c>
      <c r="I3210" s="2">
        <f ca="1"/>
        <v>3203</v>
      </c>
      <c r="J3210">
        <f ca="1"/>
        <v>5.5885442648858437</v>
      </c>
      <c r="K3210">
        <f ca="1"/>
        <v>-1.0532362897192433E-2</v>
      </c>
    </row>
    <row r="3211" spans="7:11">
      <c r="G3211" s="20">
        <v>5.5902895941378379</v>
      </c>
      <c r="H3211" s="20">
        <v>8.6806627613389194E-3</v>
      </c>
      <c r="I3211" s="2">
        <f ca="1"/>
        <v>3204</v>
      </c>
      <c r="J3211">
        <f ca="1"/>
        <v>5.5902895941378379</v>
      </c>
      <c r="K3211">
        <f ca="1"/>
        <v>-1.0542793146066877E-2</v>
      </c>
    </row>
    <row r="3212" spans="7:11">
      <c r="G3212" s="20">
        <v>5.5920349233898312</v>
      </c>
      <c r="H3212" s="20">
        <v>8.6622459433756301E-3</v>
      </c>
      <c r="I3212" s="2">
        <f ca="1"/>
        <v>3205</v>
      </c>
      <c r="J3212">
        <f ca="1"/>
        <v>5.5920349233898312</v>
      </c>
      <c r="K3212">
        <f ca="1"/>
        <v>-1.0559943696760726E-2</v>
      </c>
    </row>
    <row r="3213" spans="7:11">
      <c r="G3213" s="20">
        <v>5.5937802526418263</v>
      </c>
      <c r="H3213" s="20">
        <v>8.6438016040721825E-3</v>
      </c>
      <c r="I3213" s="2">
        <f ca="1"/>
        <v>3206</v>
      </c>
      <c r="J3213">
        <f ca="1"/>
        <v>5.5937802526418263</v>
      </c>
      <c r="K3213">
        <f ca="1"/>
        <v>-1.0570269529413192E-2</v>
      </c>
    </row>
    <row r="3214" spans="7:11">
      <c r="G3214" s="20">
        <v>5.5955255818938205</v>
      </c>
      <c r="H3214" s="20">
        <v>8.6253487421533246E-3</v>
      </c>
      <c r="I3214" s="2">
        <f ca="1"/>
        <v>3207</v>
      </c>
      <c r="J3214">
        <f ca="1"/>
        <v>5.5955255818938205</v>
      </c>
      <c r="K3214">
        <f ca="1"/>
        <v>-1.0574470357786376E-2</v>
      </c>
    </row>
    <row r="3215" spans="7:11">
      <c r="G3215" s="20">
        <v>5.5972709111458139</v>
      </c>
      <c r="H3215" s="20">
        <v>8.6068897391926111E-3</v>
      </c>
      <c r="I3215" s="2">
        <f ca="1"/>
        <v>3208</v>
      </c>
      <c r="J3215">
        <f ca="1"/>
        <v>5.5972709111458139</v>
      </c>
      <c r="K3215">
        <f ca="1"/>
        <v>-1.058129778250016E-2</v>
      </c>
    </row>
    <row r="3216" spans="7:11">
      <c r="G3216" s="20">
        <v>5.5990162403978081</v>
      </c>
      <c r="H3216" s="20">
        <v>8.5884130450656158E-3</v>
      </c>
      <c r="I3216" s="2">
        <f ca="1"/>
        <v>3209</v>
      </c>
      <c r="J3216">
        <f ca="1"/>
        <v>5.5990162403978081</v>
      </c>
      <c r="K3216">
        <f ca="1"/>
        <v>-1.0591006935056872E-2</v>
      </c>
    </row>
    <row r="3217" spans="7:11">
      <c r="G3217" s="20">
        <v>5.6007615696498041</v>
      </c>
      <c r="H3217" s="20">
        <v>8.5699201507689355E-3</v>
      </c>
      <c r="I3217" s="2">
        <f ca="1"/>
        <v>3210</v>
      </c>
      <c r="J3217">
        <f ca="1"/>
        <v>5.6007615696498041</v>
      </c>
      <c r="K3217">
        <f ca="1"/>
        <v>-1.059590874106971E-2</v>
      </c>
    </row>
    <row r="3218" spans="7:11">
      <c r="G3218" s="20">
        <v>5.6025068989017974</v>
      </c>
      <c r="H3218" s="20">
        <v>8.5514263461111059E-3</v>
      </c>
      <c r="I3218" s="2">
        <f ca="1"/>
        <v>3211</v>
      </c>
      <c r="J3218">
        <f ca="1"/>
        <v>5.6025068989017974</v>
      </c>
      <c r="K3218">
        <f ca="1"/>
        <v>-1.0604819213102631E-2</v>
      </c>
    </row>
    <row r="3219" spans="7:11">
      <c r="G3219" s="20">
        <v>5.6042522281537925</v>
      </c>
      <c r="H3219" s="20">
        <v>8.5329023483994588E-3</v>
      </c>
      <c r="I3219" s="2">
        <f ca="1"/>
        <v>3212</v>
      </c>
      <c r="J3219">
        <f ca="1"/>
        <v>5.6042522281537925</v>
      </c>
      <c r="K3219">
        <f ca="1"/>
        <v>-1.062048847621835E-2</v>
      </c>
    </row>
    <row r="3220" spans="7:11">
      <c r="G3220" s="20">
        <v>5.6059975574057859</v>
      </c>
      <c r="H3220" s="20">
        <v>8.5143538476950831E-3</v>
      </c>
      <c r="I3220" s="2">
        <f ca="1"/>
        <v>3213</v>
      </c>
      <c r="J3220">
        <f ca="1"/>
        <v>5.6059975574057859</v>
      </c>
      <c r="K3220">
        <f ca="1"/>
        <v>-1.0629278313325016E-2</v>
      </c>
    </row>
    <row r="3221" spans="7:11">
      <c r="G3221" s="20">
        <v>5.607742886657781</v>
      </c>
      <c r="H3221" s="20">
        <v>8.4957991676637909E-3</v>
      </c>
      <c r="I3221" s="2">
        <f ca="1"/>
        <v>3214</v>
      </c>
      <c r="J3221">
        <f ca="1"/>
        <v>5.607742886657781</v>
      </c>
      <c r="K3221">
        <f ca="1"/>
        <v>-1.0632209757628899E-2</v>
      </c>
    </row>
    <row r="3222" spans="7:11">
      <c r="G3222" s="20">
        <v>5.6094882159097743</v>
      </c>
      <c r="H3222" s="20">
        <v>8.4772404342884269E-3</v>
      </c>
      <c r="I3222" s="2">
        <f ca="1"/>
        <v>3215</v>
      </c>
      <c r="J3222">
        <f ca="1"/>
        <v>5.6094882159097743</v>
      </c>
      <c r="K3222">
        <f ca="1"/>
        <v>-1.0637694590050229E-2</v>
      </c>
    </row>
    <row r="3223" spans="7:11">
      <c r="G3223" s="20">
        <v>5.6112335451617694</v>
      </c>
      <c r="H3223" s="20">
        <v>8.4586666085802002E-3</v>
      </c>
      <c r="I3223" s="2">
        <f ca="1"/>
        <v>3216</v>
      </c>
      <c r="J3223">
        <f ca="1"/>
        <v>5.6112335451617694</v>
      </c>
      <c r="K3223">
        <f ca="1"/>
        <v>-1.0645951455339028E-2</v>
      </c>
    </row>
    <row r="3224" spans="7:11">
      <c r="G3224" s="20">
        <v>5.6129788744137636</v>
      </c>
      <c r="H3224" s="20">
        <v>8.4400790533077901E-3</v>
      </c>
      <c r="I3224" s="2">
        <f ca="1"/>
        <v>3217</v>
      </c>
      <c r="J3224">
        <f ca="1"/>
        <v>5.6129788744137636</v>
      </c>
      <c r="K3224">
        <f ca="1"/>
        <v>-1.0649535224450614E-2</v>
      </c>
    </row>
    <row r="3225" spans="7:11">
      <c r="G3225" s="20">
        <v>5.6147242036657588</v>
      </c>
      <c r="H3225" s="20">
        <v>8.4214927178854378E-3</v>
      </c>
      <c r="I3225" s="2">
        <f ca="1"/>
        <v>3218</v>
      </c>
      <c r="J3225">
        <f ca="1"/>
        <v>5.6147242036657588</v>
      </c>
      <c r="K3225">
        <f ca="1"/>
        <v>-1.065703091035575E-2</v>
      </c>
    </row>
    <row r="3226" spans="7:11">
      <c r="G3226" s="20">
        <v>5.6164695329177521</v>
      </c>
      <c r="H3226" s="20">
        <v>8.4028789977332891E-3</v>
      </c>
      <c r="I3226" s="2">
        <f ca="1"/>
        <v>3219</v>
      </c>
      <c r="J3226">
        <f ca="1"/>
        <v>5.6164695329177521</v>
      </c>
      <c r="K3226">
        <f ca="1"/>
        <v>-1.0671119702465367E-2</v>
      </c>
    </row>
    <row r="3227" spans="7:11">
      <c r="G3227" s="20">
        <v>5.6182148621697463</v>
      </c>
      <c r="H3227" s="20">
        <v>8.3842434831489579E-3</v>
      </c>
      <c r="I3227" s="2">
        <f ca="1"/>
        <v>3220</v>
      </c>
      <c r="J3227">
        <f ca="1"/>
        <v>5.6182148621697463</v>
      </c>
      <c r="K3227">
        <f ca="1"/>
        <v>-1.0678470833275951E-2</v>
      </c>
    </row>
    <row r="3228" spans="7:11">
      <c r="G3228" s="20">
        <v>5.6199601914217405</v>
      </c>
      <c r="H3228" s="20">
        <v>8.3656041027095219E-3</v>
      </c>
      <c r="I3228" s="2">
        <f ca="1"/>
        <v>3221</v>
      </c>
      <c r="J3228">
        <f ca="1"/>
        <v>5.6199601914217405</v>
      </c>
      <c r="K3228">
        <f ca="1"/>
        <v>-1.068009083255307E-2</v>
      </c>
    </row>
    <row r="3229" spans="7:11">
      <c r="G3229" s="20">
        <v>5.6217055206737356</v>
      </c>
      <c r="H3229" s="20">
        <v>8.346962933260928E-3</v>
      </c>
      <c r="I3229" s="2">
        <f ca="1"/>
        <v>3222</v>
      </c>
      <c r="J3229">
        <f ca="1"/>
        <v>5.6217055206737356</v>
      </c>
      <c r="K3229">
        <f ca="1"/>
        <v>-1.0684195722552175E-2</v>
      </c>
    </row>
    <row r="3230" spans="7:11">
      <c r="G3230" s="20">
        <v>5.6234508499257299</v>
      </c>
      <c r="H3230" s="20">
        <v>8.3283092240523087E-3</v>
      </c>
      <c r="I3230" s="2">
        <f ca="1"/>
        <v>3223</v>
      </c>
      <c r="J3230">
        <f ca="1"/>
        <v>5.6234508499257299</v>
      </c>
      <c r="K3230">
        <f ca="1"/>
        <v>-1.0690998079756014E-2</v>
      </c>
    </row>
    <row r="3231" spans="7:11">
      <c r="G3231" s="20">
        <v>5.6251961791777232</v>
      </c>
      <c r="H3231" s="20">
        <v>8.3096443098977131E-3</v>
      </c>
      <c r="I3231" s="2">
        <f ca="1"/>
        <v>3224</v>
      </c>
      <c r="J3231">
        <f ca="1"/>
        <v>5.6251961791777232</v>
      </c>
      <c r="K3231">
        <f ca="1"/>
        <v>-1.0693235310641876E-2</v>
      </c>
    </row>
    <row r="3232" spans="7:11">
      <c r="G3232" s="20">
        <v>5.6269415084297192</v>
      </c>
      <c r="H3232" s="20">
        <v>8.2909827912800577E-3</v>
      </c>
      <c r="I3232" s="2">
        <f ca="1"/>
        <v>3225</v>
      </c>
      <c r="J3232">
        <f ca="1"/>
        <v>5.6269415084297192</v>
      </c>
      <c r="K3232">
        <f ca="1"/>
        <v>-1.069928246481134E-2</v>
      </c>
    </row>
    <row r="3233" spans="7:11">
      <c r="G3233" s="20">
        <v>5.6286868376817125</v>
      </c>
      <c r="H3233" s="20">
        <v>8.2722967685753355E-3</v>
      </c>
      <c r="I3233" s="2">
        <f ca="1"/>
        <v>3226</v>
      </c>
      <c r="J3233">
        <f ca="1"/>
        <v>5.6286868376817125</v>
      </c>
      <c r="K3233">
        <f ca="1"/>
        <v>-1.0711754722644982E-2</v>
      </c>
    </row>
    <row r="3234" spans="7:11">
      <c r="G3234" s="20">
        <v>5.6304321669337067</v>
      </c>
      <c r="H3234" s="20">
        <v>8.2535917135648281E-3</v>
      </c>
      <c r="I3234" s="2">
        <f ca="1"/>
        <v>3227</v>
      </c>
      <c r="J3234">
        <f ca="1"/>
        <v>5.6304321669337067</v>
      </c>
      <c r="K3234">
        <f ca="1"/>
        <v>-1.0717643404261118E-2</v>
      </c>
    </row>
    <row r="3235" spans="7:11">
      <c r="G3235" s="20">
        <v>5.6321774961857018</v>
      </c>
      <c r="H3235" s="20">
        <v>8.2348851354835263E-3</v>
      </c>
      <c r="I3235" s="2">
        <f ca="1"/>
        <v>3228</v>
      </c>
      <c r="J3235">
        <f ca="1"/>
        <v>5.6321774961857018</v>
      </c>
      <c r="K3235">
        <f ca="1"/>
        <v>-1.071793354032703E-2</v>
      </c>
    </row>
    <row r="3236" spans="7:11">
      <c r="G3236" s="20">
        <v>5.6339228254376952</v>
      </c>
      <c r="H3236" s="20">
        <v>8.2161790677071026E-3</v>
      </c>
      <c r="I3236" s="2">
        <f ca="1"/>
        <v>3229</v>
      </c>
      <c r="J3236">
        <f ca="1"/>
        <v>5.6339228254376952</v>
      </c>
      <c r="K3236">
        <f ca="1"/>
        <v>-1.0720639395102744E-2</v>
      </c>
    </row>
    <row r="3237" spans="7:11">
      <c r="G3237" s="20">
        <v>5.6356681546896903</v>
      </c>
      <c r="H3237" s="20">
        <v>8.1974630444108174E-3</v>
      </c>
      <c r="I3237" s="2">
        <f ca="1"/>
        <v>3230</v>
      </c>
      <c r="J3237">
        <f ca="1"/>
        <v>5.6356681546896903</v>
      </c>
      <c r="K3237">
        <f ca="1"/>
        <v>-1.0728588582650387E-2</v>
      </c>
    </row>
    <row r="3238" spans="7:11">
      <c r="G3238" s="20">
        <v>5.6374134839416845</v>
      </c>
      <c r="H3238" s="20">
        <v>8.1787292287352712E-3</v>
      </c>
      <c r="I3238" s="2">
        <f ca="1"/>
        <v>3231</v>
      </c>
      <c r="J3238">
        <f ca="1"/>
        <v>5.6374134839416845</v>
      </c>
      <c r="K3238">
        <f ca="1"/>
        <v>-1.073441438867689E-2</v>
      </c>
    </row>
    <row r="3239" spans="7:11">
      <c r="G3239" s="20">
        <v>5.6391588131936787</v>
      </c>
      <c r="H3239" s="20">
        <v>8.1599928695396465E-3</v>
      </c>
      <c r="I3239" s="2">
        <f ca="1"/>
        <v>3232</v>
      </c>
      <c r="J3239">
        <f ca="1"/>
        <v>5.6391588131936787</v>
      </c>
      <c r="K3239">
        <f ca="1"/>
        <v>-1.0734083988990494E-2</v>
      </c>
    </row>
    <row r="3240" spans="7:11">
      <c r="G3240" s="20">
        <v>5.640904142445673</v>
      </c>
      <c r="H3240" s="20">
        <v>8.1412602071765754E-3</v>
      </c>
      <c r="I3240" s="2">
        <f ca="1"/>
        <v>3233</v>
      </c>
      <c r="J3240">
        <f ca="1"/>
        <v>5.640904142445673</v>
      </c>
      <c r="K3240">
        <f ca="1"/>
        <v>-1.0736482871826682E-2</v>
      </c>
    </row>
    <row r="3241" spans="7:11">
      <c r="G3241" s="20">
        <v>5.6426494716976663</v>
      </c>
      <c r="H3241" s="20">
        <v>8.122515474300188E-3</v>
      </c>
      <c r="I3241" s="2">
        <f ca="1"/>
        <v>3234</v>
      </c>
      <c r="J3241">
        <f ca="1"/>
        <v>5.6426494716976663</v>
      </c>
      <c r="K3241">
        <f ca="1"/>
        <v>-1.0742016537632799E-2</v>
      </c>
    </row>
    <row r="3242" spans="7:11">
      <c r="G3242" s="20">
        <v>5.6443948009496623</v>
      </c>
      <c r="H3242" s="20">
        <v>8.1037634957994934E-3</v>
      </c>
      <c r="I3242" s="2">
        <f ca="1"/>
        <v>3235</v>
      </c>
      <c r="J3242">
        <f ca="1"/>
        <v>5.6443948009496623</v>
      </c>
      <c r="K3242">
        <f ca="1"/>
        <v>-1.0741846741040766E-2</v>
      </c>
    </row>
    <row r="3243" spans="7:11">
      <c r="G3243" s="20">
        <v>5.6461401302016565</v>
      </c>
      <c r="H3243" s="20">
        <v>8.0850193556250144E-3</v>
      </c>
      <c r="I3243" s="2">
        <f ca="1"/>
        <v>3236</v>
      </c>
      <c r="J3243">
        <f ca="1"/>
        <v>5.6461401302016565</v>
      </c>
      <c r="K3243">
        <f ca="1"/>
        <v>-1.0745292079132808E-2</v>
      </c>
    </row>
    <row r="3244" spans="7:11">
      <c r="G3244" s="20">
        <v>5.6478854594536507</v>
      </c>
      <c r="H3244" s="20">
        <v>8.0662553506256288E-3</v>
      </c>
      <c r="I3244" s="2">
        <f ca="1"/>
        <v>3237</v>
      </c>
      <c r="J3244">
        <f ca="1"/>
        <v>5.6478854594536507</v>
      </c>
      <c r="K3244">
        <f ca="1"/>
        <v>-1.0755057229799145E-2</v>
      </c>
    </row>
    <row r="3245" spans="7:11">
      <c r="G3245" s="20">
        <v>5.6496307887056449</v>
      </c>
      <c r="H3245" s="20">
        <v>8.0474771236449336E-3</v>
      </c>
      <c r="I3245" s="2">
        <f ca="1"/>
        <v>3238</v>
      </c>
      <c r="J3245">
        <f ca="1"/>
        <v>5.6496307887056449</v>
      </c>
      <c r="K3245">
        <f ca="1"/>
        <v>-1.0758510559884131E-2</v>
      </c>
    </row>
    <row r="3246" spans="7:11">
      <c r="G3246" s="20">
        <v>5.6513761179576392</v>
      </c>
      <c r="H3246" s="20">
        <v>8.0287010642495198E-3</v>
      </c>
      <c r="I3246" s="2">
        <f ca="1"/>
        <v>3239</v>
      </c>
      <c r="J3246">
        <f ca="1"/>
        <v>5.6513761179576392</v>
      </c>
      <c r="K3246">
        <f ca="1"/>
        <v>-1.0756707801853237E-2</v>
      </c>
    </row>
    <row r="3247" spans="7:11">
      <c r="G3247" s="20">
        <v>5.6531214472096334</v>
      </c>
      <c r="H3247" s="20">
        <v>8.0099291300814758E-3</v>
      </c>
      <c r="I3247" s="2">
        <f ca="1"/>
        <v>3240</v>
      </c>
      <c r="J3247">
        <f ca="1"/>
        <v>5.6531214472096334</v>
      </c>
      <c r="K3247">
        <f ca="1"/>
        <v>-1.0757222002584303E-2</v>
      </c>
    </row>
    <row r="3248" spans="7:11">
      <c r="G3248" s="20">
        <v>5.6548667764616276</v>
      </c>
      <c r="H3248" s="20">
        <v>7.9911512757869074E-3</v>
      </c>
      <c r="I3248" s="2">
        <f ca="1"/>
        <v>3241</v>
      </c>
      <c r="J3248">
        <f ca="1"/>
        <v>5.6548667764616276</v>
      </c>
      <c r="K3248">
        <f ca="1"/>
        <v>-1.0760225977210812E-2</v>
      </c>
    </row>
    <row r="3249" spans="7:11">
      <c r="G3249" s="20">
        <v>5.6566121057136218</v>
      </c>
      <c r="H3249" s="20">
        <v>7.9723688557692875E-3</v>
      </c>
      <c r="I3249" s="2">
        <f ca="1"/>
        <v>3242</v>
      </c>
      <c r="J3249">
        <f ca="1"/>
        <v>5.6566121057136218</v>
      </c>
      <c r="K3249">
        <f ca="1"/>
        <v>-1.0758909939539103E-2</v>
      </c>
    </row>
    <row r="3250" spans="7:11">
      <c r="G3250" s="20">
        <v>5.6583574349656169</v>
      </c>
      <c r="H3250" s="20">
        <v>7.9535955953127999E-3</v>
      </c>
      <c r="I3250" s="2">
        <f ca="1"/>
        <v>3243</v>
      </c>
      <c r="J3250">
        <f ca="1"/>
        <v>5.6583574349656169</v>
      </c>
      <c r="K3250">
        <f ca="1"/>
        <v>-1.0761133422033043E-2</v>
      </c>
    </row>
    <row r="3251" spans="7:11">
      <c r="G3251" s="20">
        <v>5.6601027642176112</v>
      </c>
      <c r="H3251" s="20">
        <v>7.9348054138771041E-3</v>
      </c>
      <c r="I3251" s="2">
        <f ca="1"/>
        <v>3244</v>
      </c>
      <c r="J3251">
        <f ca="1"/>
        <v>5.6601027642176112</v>
      </c>
      <c r="K3251">
        <f ca="1"/>
        <v>-1.0769341670601148E-2</v>
      </c>
    </row>
    <row r="3252" spans="7:11">
      <c r="G3252" s="20">
        <v>5.6618480934696045</v>
      </c>
      <c r="H3252" s="20">
        <v>7.9160035012279684E-3</v>
      </c>
      <c r="I3252" s="2">
        <f ca="1"/>
        <v>3245</v>
      </c>
      <c r="J3252">
        <f ca="1"/>
        <v>5.6618480934696045</v>
      </c>
      <c r="K3252">
        <f ca="1"/>
        <v>-1.0771373456899642E-2</v>
      </c>
    </row>
    <row r="3253" spans="7:11">
      <c r="G3253" s="20">
        <v>5.6635934227215996</v>
      </c>
      <c r="H3253" s="20">
        <v>7.897206227520142E-3</v>
      </c>
      <c r="I3253" s="2">
        <f ca="1"/>
        <v>3246</v>
      </c>
      <c r="J3253">
        <f ca="1"/>
        <v>5.6635934227215996</v>
      </c>
      <c r="K3253">
        <f ca="1"/>
        <v>-1.0768169254065322E-2</v>
      </c>
    </row>
    <row r="3254" spans="7:11">
      <c r="G3254" s="20">
        <v>5.6653387519735938</v>
      </c>
      <c r="H3254" s="20">
        <v>7.8784154996488689E-3</v>
      </c>
      <c r="I3254" s="2">
        <f ca="1"/>
        <v>3247</v>
      </c>
      <c r="J3254">
        <f ca="1"/>
        <v>5.6653387519735938</v>
      </c>
      <c r="K3254">
        <f ca="1"/>
        <v>-1.0767197147808055E-2</v>
      </c>
    </row>
    <row r="3255" spans="7:11">
      <c r="G3255" s="20">
        <v>5.667084081225588</v>
      </c>
      <c r="H3255" s="20">
        <v>7.8596216192320257E-3</v>
      </c>
      <c r="I3255" s="2">
        <f ca="1"/>
        <v>3248</v>
      </c>
      <c r="J3255">
        <f ca="1"/>
        <v>5.667084081225588</v>
      </c>
      <c r="K3255">
        <f ca="1"/>
        <v>-1.076864584696716E-2</v>
      </c>
    </row>
    <row r="3256" spans="7:11">
      <c r="G3256" s="20">
        <v>5.6688294104775814</v>
      </c>
      <c r="H3256" s="20">
        <v>7.8408258344467227E-3</v>
      </c>
      <c r="I3256" s="2">
        <f ca="1"/>
        <v>3249</v>
      </c>
      <c r="J3256">
        <f ca="1"/>
        <v>5.6688294104775814</v>
      </c>
      <c r="K3256">
        <f ca="1"/>
        <v>-1.0765928784690505E-2</v>
      </c>
    </row>
    <row r="3257" spans="7:11">
      <c r="G3257" s="20">
        <v>5.6705747397295774</v>
      </c>
      <c r="H3257" s="20">
        <v>7.8220414383664023E-3</v>
      </c>
      <c r="I3257" s="2">
        <f ca="1"/>
        <v>3250</v>
      </c>
      <c r="J3257">
        <f ca="1"/>
        <v>5.6705747397295774</v>
      </c>
      <c r="K3257">
        <f ca="1"/>
        <v>-1.0766640828671317E-2</v>
      </c>
    </row>
    <row r="3258" spans="7:11">
      <c r="G3258" s="20">
        <v>5.6723200689815707</v>
      </c>
      <c r="H3258" s="20">
        <v>7.8032431680787225E-3</v>
      </c>
      <c r="I3258" s="2">
        <f ca="1"/>
        <v>3251</v>
      </c>
      <c r="J3258">
        <f ca="1"/>
        <v>5.6723200689815707</v>
      </c>
      <c r="K3258">
        <f ca="1"/>
        <v>-1.0773150789596548E-2</v>
      </c>
    </row>
    <row r="3259" spans="7:11">
      <c r="G3259" s="20">
        <v>5.6740653982335649</v>
      </c>
      <c r="H3259" s="20">
        <v>7.7844360479479568E-3</v>
      </c>
      <c r="I3259" s="2">
        <f ca="1"/>
        <v>3252</v>
      </c>
      <c r="J3259">
        <f ca="1"/>
        <v>5.6740653982335649</v>
      </c>
      <c r="K3259">
        <f ca="1"/>
        <v>-1.0773659430895182E-2</v>
      </c>
    </row>
    <row r="3260" spans="7:11">
      <c r="G3260" s="20">
        <v>5.67581072748556</v>
      </c>
      <c r="H3260" s="20">
        <v>7.7656360021671833E-3</v>
      </c>
      <c r="I3260" s="2">
        <f ca="1"/>
        <v>3253</v>
      </c>
      <c r="J3260">
        <f ca="1"/>
        <v>5.67581072748556</v>
      </c>
      <c r="K3260">
        <f ca="1"/>
        <v>-1.076907137909925E-2</v>
      </c>
    </row>
    <row r="3261" spans="7:11">
      <c r="G3261" s="20">
        <v>5.6775560567375543</v>
      </c>
      <c r="H3261" s="20">
        <v>7.7468448973584359E-3</v>
      </c>
      <c r="I3261" s="2">
        <f ca="1"/>
        <v>3254</v>
      </c>
      <c r="J3261">
        <f ca="1"/>
        <v>5.6775560567375543</v>
      </c>
      <c r="K3261">
        <f ca="1"/>
        <v>-1.076664260302824E-2</v>
      </c>
    </row>
    <row r="3262" spans="7:11">
      <c r="G3262" s="20">
        <v>5.6793013859895476</v>
      </c>
      <c r="H3262" s="20">
        <v>7.7280533296055281E-3</v>
      </c>
      <c r="I3262" s="2">
        <f ca="1"/>
        <v>3255</v>
      </c>
      <c r="J3262">
        <f ca="1"/>
        <v>5.6793013859895476</v>
      </c>
      <c r="K3262">
        <f ca="1"/>
        <v>-1.0768925684870369E-2</v>
      </c>
    </row>
    <row r="3263" spans="7:11">
      <c r="G3263" s="20">
        <v>5.6810467152415427</v>
      </c>
      <c r="H3263" s="20">
        <v>7.7092542553377236E-3</v>
      </c>
      <c r="I3263" s="2">
        <f ca="1"/>
        <v>3256</v>
      </c>
      <c r="J3263">
        <f ca="1"/>
        <v>5.6810467152415427</v>
      </c>
      <c r="K3263">
        <f ca="1"/>
        <v>-1.0769264014175044E-2</v>
      </c>
    </row>
    <row r="3264" spans="7:11">
      <c r="G3264" s="20">
        <v>5.6827920444935378</v>
      </c>
      <c r="H3264" s="20">
        <v>7.6904615065927322E-3</v>
      </c>
      <c r="I3264" s="2">
        <f ca="1"/>
        <v>3257</v>
      </c>
      <c r="J3264">
        <f ca="1"/>
        <v>5.6827920444935378</v>
      </c>
      <c r="K3264">
        <f ca="1"/>
        <v>-1.076401485606392E-2</v>
      </c>
    </row>
    <row r="3265" spans="7:11">
      <c r="G3265" s="20">
        <v>5.6845373737455311</v>
      </c>
      <c r="H3265" s="20">
        <v>7.6716807553433462E-3</v>
      </c>
      <c r="I3265" s="2">
        <f ca="1"/>
        <v>3258</v>
      </c>
      <c r="J3265">
        <f ca="1"/>
        <v>5.6845373737455311</v>
      </c>
      <c r="K3265">
        <f ca="1"/>
        <v>-1.0761202209957011E-2</v>
      </c>
    </row>
    <row r="3266" spans="7:11">
      <c r="G3266" s="20">
        <v>5.6862827029975245</v>
      </c>
      <c r="H3266" s="20">
        <v>7.6528978245854256E-3</v>
      </c>
      <c r="I3266" s="2">
        <f ca="1"/>
        <v>3259</v>
      </c>
      <c r="J3266">
        <f ca="1"/>
        <v>5.6862827029975245</v>
      </c>
      <c r="K3266">
        <f ca="1"/>
        <v>-1.0761189855115197E-2</v>
      </c>
    </row>
    <row r="3267" spans="7:11">
      <c r="G3267" s="20">
        <v>5.6880280322495205</v>
      </c>
      <c r="H3267" s="20">
        <v>7.6341171164625446E-3</v>
      </c>
      <c r="I3267" s="2">
        <f ca="1"/>
        <v>3260</v>
      </c>
      <c r="J3267">
        <f ca="1"/>
        <v>5.6880280322495205</v>
      </c>
      <c r="K3267">
        <f ca="1"/>
        <v>-1.0756010374567922E-2</v>
      </c>
    </row>
    <row r="3268" spans="7:11">
      <c r="G3268" s="20">
        <v>5.6897733615015138</v>
      </c>
      <c r="H3268" s="20">
        <v>7.6153522655024427E-3</v>
      </c>
      <c r="I3268" s="2">
        <f ca="1"/>
        <v>3261</v>
      </c>
      <c r="J3268">
        <f ca="1"/>
        <v>5.6897733615015138</v>
      </c>
      <c r="K3268">
        <f ca="1"/>
        <v>-1.07540584277609E-2</v>
      </c>
    </row>
    <row r="3269" spans="7:11">
      <c r="G3269" s="20">
        <v>5.6915186907535098</v>
      </c>
      <c r="H3269" s="20">
        <v>7.5965783709592829E-3</v>
      </c>
      <c r="I3269" s="2">
        <f ca="1"/>
        <v>3262</v>
      </c>
      <c r="J3269">
        <f ca="1"/>
        <v>5.6915186907535098</v>
      </c>
      <c r="K3269">
        <f ca="1"/>
        <v>-1.0757766930383304E-2</v>
      </c>
    </row>
    <row r="3270" spans="7:11">
      <c r="G3270" s="20">
        <v>5.6932640200055022</v>
      </c>
      <c r="H3270" s="20">
        <v>7.5778005748829745E-3</v>
      </c>
      <c r="I3270" s="2">
        <f ca="1"/>
        <v>3263</v>
      </c>
      <c r="J3270">
        <f ca="1"/>
        <v>5.6932640200055022</v>
      </c>
      <c r="K3270">
        <f ca="1"/>
        <v>-1.0755763866998013E-2</v>
      </c>
    </row>
    <row r="3271" spans="7:11">
      <c r="G3271" s="20">
        <v>5.6950093492574982</v>
      </c>
      <c r="H3271" s="20">
        <v>7.5590336723500547E-3</v>
      </c>
      <c r="I3271" s="2">
        <f ca="1"/>
        <v>3264</v>
      </c>
      <c r="J3271">
        <f ca="1"/>
        <v>5.6950093492574982</v>
      </c>
      <c r="K3271">
        <f ca="1"/>
        <v>-1.074901101451327E-2</v>
      </c>
    </row>
    <row r="3272" spans="7:11">
      <c r="G3272" s="20">
        <v>5.6967546785094907</v>
      </c>
      <c r="H3272" s="20">
        <v>7.5402794481756984E-3</v>
      </c>
      <c r="I3272" s="2">
        <f ca="1"/>
        <v>3265</v>
      </c>
      <c r="J3272">
        <f ca="1"/>
        <v>5.6967546785094907</v>
      </c>
      <c r="K3272">
        <f ca="1"/>
        <v>-1.0744312174568432E-2</v>
      </c>
    </row>
    <row r="3273" spans="7:11">
      <c r="G3273" s="20">
        <v>5.6985000077614867</v>
      </c>
      <c r="H3273" s="20">
        <v>7.5215289476883909E-3</v>
      </c>
      <c r="I3273" s="2">
        <f ca="1"/>
        <v>3266</v>
      </c>
      <c r="J3273">
        <f ca="1"/>
        <v>5.6985000077614867</v>
      </c>
      <c r="K3273">
        <f ca="1"/>
        <v>-1.0741818942236227E-2</v>
      </c>
    </row>
    <row r="3274" spans="7:11">
      <c r="G3274" s="20">
        <v>5.7002453370134791</v>
      </c>
      <c r="H3274" s="20">
        <v>7.5027834265366774E-3</v>
      </c>
      <c r="I3274" s="2">
        <f ca="1"/>
        <v>3267</v>
      </c>
      <c r="J3274">
        <f ca="1"/>
        <v>5.7002453370134791</v>
      </c>
      <c r="K3274">
        <f ca="1"/>
        <v>-1.073542925348709E-2</v>
      </c>
    </row>
    <row r="3275" spans="7:11">
      <c r="G3275" s="20">
        <v>5.7019906662654751</v>
      </c>
      <c r="H3275" s="20">
        <v>7.4840552302707399E-3</v>
      </c>
      <c r="I3275" s="2">
        <f ca="1"/>
        <v>3268</v>
      </c>
      <c r="J3275">
        <f ca="1"/>
        <v>5.7019906662654751</v>
      </c>
      <c r="K3275">
        <f ca="1"/>
        <v>-1.0732183342597557E-2</v>
      </c>
    </row>
    <row r="3276" spans="7:11">
      <c r="G3276" s="20">
        <v>5.7037359955174693</v>
      </c>
      <c r="H3276" s="20">
        <v>7.465321039485457E-3</v>
      </c>
      <c r="I3276" s="2">
        <f ca="1"/>
        <v>3269</v>
      </c>
      <c r="J3276">
        <f ca="1"/>
        <v>5.7037359955174693</v>
      </c>
      <c r="K3276">
        <f ca="1"/>
        <v>-1.0734268742048726E-2</v>
      </c>
    </row>
    <row r="3277" spans="7:11">
      <c r="G3277" s="20">
        <v>5.7054813247694618</v>
      </c>
      <c r="H3277" s="20">
        <v>7.4465855638022292E-3</v>
      </c>
      <c r="I3277" s="2">
        <f ca="1"/>
        <v>3270</v>
      </c>
      <c r="J3277">
        <f ca="1"/>
        <v>5.7054813247694618</v>
      </c>
      <c r="K3277">
        <f ca="1"/>
        <v>-1.073079200719638E-2</v>
      </c>
    </row>
    <row r="3278" spans="7:11">
      <c r="G3278" s="20">
        <v>5.7072266540214578</v>
      </c>
      <c r="H3278" s="20">
        <v>7.4278635091110058E-3</v>
      </c>
      <c r="I3278" s="2">
        <f ca="1"/>
        <v>3271</v>
      </c>
      <c r="J3278">
        <f ca="1"/>
        <v>5.7072266540214578</v>
      </c>
      <c r="K3278">
        <f ca="1"/>
        <v>-1.0722606518324008E-2</v>
      </c>
    </row>
    <row r="3279" spans="7:11">
      <c r="G3279" s="20">
        <v>5.708971983273452</v>
      </c>
      <c r="H3279" s="20">
        <v>7.4091566061741006E-3</v>
      </c>
      <c r="I3279" s="2">
        <f ca="1"/>
        <v>3272</v>
      </c>
      <c r="J3279">
        <f ca="1"/>
        <v>5.708971983273452</v>
      </c>
      <c r="K3279">
        <f ca="1"/>
        <v>-1.0716388564665029E-2</v>
      </c>
    </row>
    <row r="3280" spans="7:11">
      <c r="G3280" s="20">
        <v>5.7107173125254462</v>
      </c>
      <c r="H3280" s="20">
        <v>7.3904562562357133E-3</v>
      </c>
      <c r="I3280" s="2">
        <f ca="1"/>
        <v>3273</v>
      </c>
      <c r="J3280">
        <f ca="1"/>
        <v>5.7107173125254462</v>
      </c>
      <c r="K3280">
        <f ca="1"/>
        <v>-1.0712303453573855E-2</v>
      </c>
    </row>
    <row r="3281" spans="7:11">
      <c r="G3281" s="20">
        <v>5.7124626417774396</v>
      </c>
      <c r="H3281" s="20">
        <v>7.3717636130265878E-3</v>
      </c>
      <c r="I3281" s="2">
        <f ca="1"/>
        <v>3274</v>
      </c>
      <c r="J3281">
        <f ca="1"/>
        <v>5.7124626417774396</v>
      </c>
      <c r="K3281">
        <f ca="1"/>
        <v>-1.0704479593725051E-2</v>
      </c>
    </row>
    <row r="3282" spans="7:11">
      <c r="G3282" s="20">
        <v>5.7142079710294365</v>
      </c>
      <c r="H3282" s="20">
        <v>7.3530905735110872E-3</v>
      </c>
      <c r="I3282" s="2">
        <f ca="1"/>
        <v>3275</v>
      </c>
      <c r="J3282">
        <f ca="1"/>
        <v>5.7142079710294365</v>
      </c>
      <c r="K3282">
        <f ca="1"/>
        <v>-1.069968475303288E-2</v>
      </c>
    </row>
    <row r="3283" spans="7:11">
      <c r="G3283" s="20">
        <v>5.7159533002814289</v>
      </c>
      <c r="H3283" s="20">
        <v>7.3344146674534086E-3</v>
      </c>
      <c r="I3283" s="2">
        <f ca="1"/>
        <v>3276</v>
      </c>
      <c r="J3283">
        <f ca="1"/>
        <v>5.7159533002814289</v>
      </c>
      <c r="K3283">
        <f ca="1"/>
        <v>-1.0700027141527655E-2</v>
      </c>
    </row>
    <row r="3284" spans="7:11">
      <c r="G3284" s="20">
        <v>5.7176986295334231</v>
      </c>
      <c r="H3284" s="20">
        <v>7.3157404327766256E-3</v>
      </c>
      <c r="I3284" s="2">
        <f ca="1"/>
        <v>3277</v>
      </c>
      <c r="J3284">
        <f ca="1"/>
        <v>5.7176986295334231</v>
      </c>
      <c r="K3284">
        <f ca="1"/>
        <v>-1.0694991945244574E-2</v>
      </c>
    </row>
    <row r="3285" spans="7:11">
      <c r="G3285" s="20">
        <v>5.7194439587854191</v>
      </c>
      <c r="H3285" s="20">
        <v>7.2970821028696337E-3</v>
      </c>
      <c r="I3285" s="2">
        <f ca="1"/>
        <v>3278</v>
      </c>
      <c r="J3285">
        <f ca="1"/>
        <v>5.7194439587854191</v>
      </c>
      <c r="K3285">
        <f ca="1"/>
        <v>-1.0685396287510763E-2</v>
      </c>
    </row>
    <row r="3286" spans="7:11">
      <c r="G3286" s="20">
        <v>5.7211892880374116</v>
      </c>
      <c r="H3286" s="20">
        <v>7.2784413633571396E-3</v>
      </c>
      <c r="I3286" s="2">
        <f ca="1"/>
        <v>3279</v>
      </c>
      <c r="J3286">
        <f ca="1"/>
        <v>5.7211892880374116</v>
      </c>
      <c r="K3286">
        <f ca="1"/>
        <v>-1.0677693218521099E-2</v>
      </c>
    </row>
    <row r="3287" spans="7:11">
      <c r="G3287" s="20">
        <v>5.7229346172894058</v>
      </c>
      <c r="H3287" s="20">
        <v>7.2598099222334423E-3</v>
      </c>
      <c r="I3287" s="2">
        <f ca="1"/>
        <v>3280</v>
      </c>
      <c r="J3287">
        <f ca="1"/>
        <v>5.7229346172894058</v>
      </c>
      <c r="K3287">
        <f ca="1"/>
        <v>-1.0674145174549694E-2</v>
      </c>
    </row>
    <row r="3288" spans="7:11">
      <c r="G3288" s="20">
        <v>5.7246799465414</v>
      </c>
      <c r="H3288" s="20">
        <v>7.2411815677307905E-3</v>
      </c>
      <c r="I3288" s="2">
        <f ca="1"/>
        <v>3281</v>
      </c>
      <c r="J3288">
        <f ca="1"/>
        <v>5.7246799465414</v>
      </c>
      <c r="K3288">
        <f ca="1"/>
        <v>-1.0668845329907597E-2</v>
      </c>
    </row>
    <row r="3289" spans="7:11">
      <c r="G3289" s="20">
        <v>5.726425275793396</v>
      </c>
      <c r="H3289" s="20">
        <v>7.222568626554844E-3</v>
      </c>
      <c r="I3289" s="2">
        <f ca="1"/>
        <v>3282</v>
      </c>
      <c r="J3289">
        <f ca="1"/>
        <v>5.726425275793396</v>
      </c>
      <c r="K3289">
        <f ca="1"/>
        <v>-1.0658562782697261E-2</v>
      </c>
    </row>
    <row r="3290" spans="7:11">
      <c r="G3290" s="20">
        <v>5.7281706050453884</v>
      </c>
      <c r="H3290" s="20">
        <v>7.2039761649130736E-3</v>
      </c>
      <c r="I3290" s="2">
        <f ca="1"/>
        <v>3283</v>
      </c>
      <c r="J3290">
        <f ca="1"/>
        <v>5.7281706050453884</v>
      </c>
      <c r="K3290">
        <f ca="1"/>
        <v>-1.0650412718588432E-2</v>
      </c>
    </row>
    <row r="3291" spans="7:11">
      <c r="G3291" s="20">
        <v>5.7299159342973827</v>
      </c>
      <c r="H3291" s="20">
        <v>7.1853916728277355E-3</v>
      </c>
      <c r="I3291" s="2">
        <f ca="1"/>
        <v>3284</v>
      </c>
      <c r="J3291">
        <f ca="1"/>
        <v>5.7299159342973827</v>
      </c>
      <c r="K3291">
        <f ca="1"/>
        <v>-1.0644715414733941E-2</v>
      </c>
    </row>
    <row r="3292" spans="7:11">
      <c r="G3292" s="20">
        <v>5.7316612635493787</v>
      </c>
      <c r="H3292" s="20">
        <v>7.1668190985280768E-3</v>
      </c>
      <c r="I3292" s="2">
        <f ca="1"/>
        <v>3285</v>
      </c>
      <c r="J3292">
        <f ca="1"/>
        <v>5.7316612635493787</v>
      </c>
      <c r="K3292">
        <f ca="1"/>
        <v>-1.0634419618117546E-2</v>
      </c>
    </row>
    <row r="3293" spans="7:11">
      <c r="G3293" s="20">
        <v>5.7334065928013729</v>
      </c>
      <c r="H3293" s="20">
        <v>7.1482705455527531E-3</v>
      </c>
      <c r="I3293" s="2">
        <f ca="1"/>
        <v>3286</v>
      </c>
      <c r="J3293">
        <f ca="1"/>
        <v>5.7334065928013729</v>
      </c>
      <c r="K3293">
        <f ca="1"/>
        <v>-1.0626948960327601E-2</v>
      </c>
    </row>
    <row r="3294" spans="7:11">
      <c r="G3294" s="20">
        <v>5.7351519220533671</v>
      </c>
      <c r="H3294" s="20">
        <v>7.1297240487682581E-3</v>
      </c>
      <c r="I3294" s="2">
        <f ca="1"/>
        <v>3287</v>
      </c>
      <c r="J3294">
        <f ca="1"/>
        <v>5.7351519220533671</v>
      </c>
      <c r="K3294">
        <f ca="1"/>
        <v>-1.0624451397973344E-2</v>
      </c>
    </row>
    <row r="3295" spans="7:11">
      <c r="G3295" s="20">
        <v>5.7368972513053613</v>
      </c>
      <c r="H3295" s="20">
        <v>7.1111842139302056E-3</v>
      </c>
      <c r="I3295" s="2">
        <f ca="1"/>
        <v>3288</v>
      </c>
      <c r="J3295">
        <f ca="1"/>
        <v>5.7368972513053613</v>
      </c>
      <c r="K3295">
        <f ca="1"/>
        <v>-1.0616877515620939E-2</v>
      </c>
    </row>
    <row r="3296" spans="7:11">
      <c r="G3296" s="20">
        <v>5.7386425805573555</v>
      </c>
      <c r="H3296" s="20">
        <v>7.0926641549825522E-3</v>
      </c>
      <c r="I3296" s="2">
        <f ca="1"/>
        <v>3289</v>
      </c>
      <c r="J3296">
        <f ca="1"/>
        <v>5.7386425805573555</v>
      </c>
      <c r="K3296">
        <f ca="1"/>
        <v>-1.0605088532895116E-2</v>
      </c>
    </row>
    <row r="3297" spans="7:11">
      <c r="G3297" s="20">
        <v>5.7403879098093498</v>
      </c>
      <c r="H3297" s="20">
        <v>7.0741654714573049E-3</v>
      </c>
      <c r="I3297" s="2">
        <f ca="1"/>
        <v>3290</v>
      </c>
      <c r="J3297">
        <f ca="1"/>
        <v>5.7403879098093498</v>
      </c>
      <c r="K3297">
        <f ca="1"/>
        <v>-1.0595083013505353E-2</v>
      </c>
    </row>
    <row r="3298" spans="7:11">
      <c r="G3298" s="20">
        <v>5.742133239061344</v>
      </c>
      <c r="H3298" s="20">
        <v>7.0556803383609963E-3</v>
      </c>
      <c r="I3298" s="2">
        <f ca="1"/>
        <v>3291</v>
      </c>
      <c r="J3298">
        <f ca="1"/>
        <v>5.742133239061344</v>
      </c>
      <c r="K3298">
        <f ca="1"/>
        <v>-1.0586991020599061E-2</v>
      </c>
    </row>
    <row r="3299" spans="7:11">
      <c r="G3299" s="20">
        <v>5.7438785683133382</v>
      </c>
      <c r="H3299" s="20">
        <v>7.0372099012196015E-3</v>
      </c>
      <c r="I3299" s="2">
        <f ca="1"/>
        <v>3292</v>
      </c>
      <c r="J3299">
        <f ca="1"/>
        <v>5.7438785683133382</v>
      </c>
      <c r="K3299">
        <f ca="1"/>
        <v>-1.0575448586478351E-2</v>
      </c>
    </row>
    <row r="3300" spans="7:11">
      <c r="G3300" s="20">
        <v>5.7456238975653342</v>
      </c>
      <c r="H3300" s="20">
        <v>7.0187650588190943E-3</v>
      </c>
      <c r="I3300" s="2">
        <f ca="1"/>
        <v>3293</v>
      </c>
      <c r="J3300">
        <f ca="1"/>
        <v>5.7456238975653342</v>
      </c>
      <c r="K3300">
        <f ca="1"/>
        <v>-1.056664182650411E-2</v>
      </c>
    </row>
    <row r="3301" spans="7:11">
      <c r="G3301" s="20">
        <v>5.7473692268173266</v>
      </c>
      <c r="H3301" s="20">
        <v>7.000325363069315E-3</v>
      </c>
      <c r="I3301" s="2">
        <f ca="1"/>
        <v>3294</v>
      </c>
      <c r="J3301">
        <f ca="1"/>
        <v>5.7473692268173266</v>
      </c>
      <c r="K3301">
        <f ca="1"/>
        <v>-1.0562490133535047E-2</v>
      </c>
    </row>
    <row r="3302" spans="7:11">
      <c r="G3302" s="20">
        <v>5.7491145560693209</v>
      </c>
      <c r="H3302" s="20">
        <v>6.9818950128111949E-3</v>
      </c>
      <c r="I3302" s="2">
        <f ca="1"/>
        <v>3295</v>
      </c>
      <c r="J3302">
        <f ca="1"/>
        <v>5.7491145560693209</v>
      </c>
      <c r="K3302">
        <f ca="1"/>
        <v>-1.0553421740460495E-2</v>
      </c>
    </row>
    <row r="3303" spans="7:11">
      <c r="G3303" s="20">
        <v>5.7508598853213151</v>
      </c>
      <c r="H3303" s="20">
        <v>6.9634869717248001E-3</v>
      </c>
      <c r="I3303" s="2">
        <f ca="1"/>
        <v>3296</v>
      </c>
      <c r="J3303">
        <f ca="1"/>
        <v>5.7508598853213151</v>
      </c>
      <c r="K3303">
        <f ca="1"/>
        <v>-1.0540197504949304E-2</v>
      </c>
    </row>
    <row r="3304" spans="7:11">
      <c r="G3304" s="20">
        <v>5.7526052145733111</v>
      </c>
      <c r="H3304" s="20">
        <v>6.9451027827568072E-3</v>
      </c>
      <c r="I3304" s="2">
        <f ca="1"/>
        <v>3297</v>
      </c>
      <c r="J3304">
        <f ca="1"/>
        <v>5.7526052145733111</v>
      </c>
      <c r="K3304">
        <f ca="1"/>
        <v>-1.0528670688779718E-2</v>
      </c>
    </row>
    <row r="3305" spans="7:11">
      <c r="G3305" s="20">
        <v>5.7543505438253044</v>
      </c>
      <c r="H3305" s="20">
        <v>6.926734977849308E-3</v>
      </c>
      <c r="I3305" s="2">
        <f ca="1"/>
        <v>3298</v>
      </c>
      <c r="J3305">
        <f ca="1"/>
        <v>5.7543505438253044</v>
      </c>
      <c r="K3305">
        <f ca="1"/>
        <v>-1.0518982633178658E-2</v>
      </c>
    </row>
    <row r="3306" spans="7:11">
      <c r="G3306" s="20">
        <v>5.7560958730772986</v>
      </c>
      <c r="H3306" s="20">
        <v>6.9083846065750047E-3</v>
      </c>
      <c r="I3306" s="2">
        <f ca="1"/>
        <v>3299</v>
      </c>
      <c r="J3306">
        <f ca="1"/>
        <v>5.7560958730772986</v>
      </c>
      <c r="K3306">
        <f ca="1"/>
        <v>-1.0506002183791059E-2</v>
      </c>
    </row>
    <row r="3307" spans="7:11">
      <c r="G3307" s="20">
        <v>5.7578412023292938</v>
      </c>
      <c r="H3307" s="20">
        <v>6.8900621119835272E-3</v>
      </c>
      <c r="I3307" s="2">
        <f ca="1"/>
        <v>3300</v>
      </c>
      <c r="J3307">
        <f ca="1"/>
        <v>5.7578412023292938</v>
      </c>
      <c r="K3307">
        <f ca="1"/>
        <v>-1.0495641231675427E-2</v>
      </c>
    </row>
    <row r="3308" spans="7:11">
      <c r="G3308" s="20">
        <v>5.7595865315812871</v>
      </c>
      <c r="H3308" s="20">
        <v>6.8717479072548451E-3</v>
      </c>
      <c r="I3308" s="2">
        <f ca="1"/>
        <v>3301</v>
      </c>
      <c r="J3308">
        <f ca="1"/>
        <v>5.7595865315812871</v>
      </c>
      <c r="K3308">
        <f ca="1"/>
        <v>-1.0489738563662464E-2</v>
      </c>
    </row>
    <row r="3309" spans="7:11">
      <c r="G3309" s="20">
        <v>5.7613318608332813</v>
      </c>
      <c r="H3309" s="20">
        <v>6.8534460168616727E-3</v>
      </c>
      <c r="I3309" s="2">
        <f ca="1"/>
        <v>3302</v>
      </c>
      <c r="J3309">
        <f ca="1"/>
        <v>5.7613318608332813</v>
      </c>
      <c r="K3309">
        <f ca="1"/>
        <v>-1.0479108941751082E-2</v>
      </c>
    </row>
    <row r="3310" spans="7:11">
      <c r="G3310" s="20">
        <v>5.7630771900852764</v>
      </c>
      <c r="H3310" s="20">
        <v>6.8351689165130911E-3</v>
      </c>
      <c r="I3310" s="2">
        <f ca="1"/>
        <v>3303</v>
      </c>
      <c r="J3310">
        <f ca="1"/>
        <v>5.7630771900852764</v>
      </c>
      <c r="K3310">
        <f ca="1"/>
        <v>-1.0464477157057905E-2</v>
      </c>
    </row>
    <row r="3311" spans="7:11">
      <c r="G3311" s="20">
        <v>5.7648225193372706</v>
      </c>
      <c r="H3311" s="20">
        <v>6.8169181006835864E-3</v>
      </c>
      <c r="I3311" s="2">
        <f ca="1"/>
        <v>3304</v>
      </c>
      <c r="J3311">
        <f ca="1"/>
        <v>5.7648225193372706</v>
      </c>
      <c r="K3311">
        <f ca="1"/>
        <v>-1.0451467405341518E-2</v>
      </c>
    </row>
    <row r="3312" spans="7:11">
      <c r="G3312" s="20">
        <v>5.766567848589264</v>
      </c>
      <c r="H3312" s="20">
        <v>6.798686412935487E-3</v>
      </c>
      <c r="I3312" s="2">
        <f ca="1"/>
        <v>3305</v>
      </c>
      <c r="J3312">
        <f ca="1"/>
        <v>5.766567848589264</v>
      </c>
      <c r="K3312">
        <f ca="1"/>
        <v>-1.0442043961987932E-2</v>
      </c>
    </row>
    <row r="3313" spans="7:11">
      <c r="G3313" s="20">
        <v>5.7683131778412591</v>
      </c>
      <c r="H3313" s="20">
        <v>6.7804684911286521E-3</v>
      </c>
      <c r="I3313" s="2">
        <f ca="1"/>
        <v>3306</v>
      </c>
      <c r="J3313">
        <f ca="1"/>
        <v>5.7683131778412591</v>
      </c>
      <c r="K3313">
        <f ca="1"/>
        <v>-1.0431071684031692E-2</v>
      </c>
    </row>
    <row r="3314" spans="7:11">
      <c r="G3314" s="20">
        <v>5.7700585070932533</v>
      </c>
      <c r="H3314" s="20">
        <v>6.7622751038558995E-3</v>
      </c>
      <c r="I3314" s="2">
        <f ca="1"/>
        <v>3307</v>
      </c>
      <c r="J3314">
        <f ca="1"/>
        <v>5.7700585070932533</v>
      </c>
      <c r="K3314">
        <f ca="1"/>
        <v>-1.0415743366618661E-2</v>
      </c>
    </row>
    <row r="3315" spans="7:11">
      <c r="G3315" s="20">
        <v>5.7718038363452475</v>
      </c>
      <c r="H3315" s="20">
        <v>6.7441106879706034E-3</v>
      </c>
      <c r="I3315" s="2">
        <f ca="1"/>
        <v>3308</v>
      </c>
      <c r="J3315">
        <f ca="1"/>
        <v>5.7718038363452475</v>
      </c>
      <c r="K3315">
        <f ca="1"/>
        <v>-1.0402239708480145E-2</v>
      </c>
    </row>
    <row r="3316" spans="7:11">
      <c r="G3316" s="20">
        <v>5.7735491655972409</v>
      </c>
      <c r="H3316" s="20">
        <v>6.7259644373569762E-3</v>
      </c>
      <c r="I3316" s="2">
        <f ca="1"/>
        <v>3309</v>
      </c>
      <c r="J3316">
        <f ca="1"/>
        <v>5.7735491655972409</v>
      </c>
      <c r="K3316">
        <f ca="1"/>
        <v>-1.0390836637695723E-2</v>
      </c>
    </row>
    <row r="3317" spans="7:11">
      <c r="G3317" s="20">
        <v>5.775294494849236</v>
      </c>
      <c r="H3317" s="20">
        <v>6.7078398256976762E-3</v>
      </c>
      <c r="I3317" s="2">
        <f ca="1"/>
        <v>3310</v>
      </c>
      <c r="J3317">
        <f ca="1"/>
        <v>5.775294494849236</v>
      </c>
      <c r="K3317">
        <f ca="1"/>
        <v>-1.0375422683354427E-2</v>
      </c>
    </row>
    <row r="3318" spans="7:11">
      <c r="G3318" s="20">
        <v>5.7770398241012311</v>
      </c>
      <c r="H3318" s="20">
        <v>6.6897473799348321E-3</v>
      </c>
      <c r="I3318" s="2">
        <f ca="1"/>
        <v>3311</v>
      </c>
      <c r="J3318">
        <f ca="1"/>
        <v>5.7770398241012311</v>
      </c>
      <c r="K3318">
        <f ca="1"/>
        <v>-1.0362426276245652E-2</v>
      </c>
    </row>
    <row r="3319" spans="7:11">
      <c r="G3319" s="20">
        <v>5.7787851533532253</v>
      </c>
      <c r="H3319" s="20">
        <v>6.6716681342945368E-3</v>
      </c>
      <c r="I3319" s="2">
        <f ca="1"/>
        <v>3312</v>
      </c>
      <c r="J3319">
        <f ca="1"/>
        <v>5.7787851533532253</v>
      </c>
      <c r="K3319">
        <f ca="1"/>
        <v>-1.035370416179246E-2</v>
      </c>
    </row>
    <row r="3320" spans="7:11">
      <c r="G3320" s="20">
        <v>5.7805304826052195</v>
      </c>
      <c r="H3320" s="20">
        <v>6.6536061344546907E-3</v>
      </c>
      <c r="I3320" s="2">
        <f ca="1"/>
        <v>3313</v>
      </c>
      <c r="J3320">
        <f ca="1"/>
        <v>5.7805304826052195</v>
      </c>
      <c r="K3320">
        <f ca="1"/>
        <v>-1.0340561174096914E-2</v>
      </c>
    </row>
    <row r="3321" spans="7:11">
      <c r="G3321" s="20">
        <v>5.7822758118572137</v>
      </c>
      <c r="H3321" s="20">
        <v>6.6355727664961627E-3</v>
      </c>
      <c r="I3321" s="2">
        <f ca="1"/>
        <v>3314</v>
      </c>
      <c r="J3321">
        <f ca="1"/>
        <v>5.7822758118572137</v>
      </c>
      <c r="K3321">
        <f ca="1"/>
        <v>-1.0323753607728376E-2</v>
      </c>
    </row>
    <row r="3322" spans="7:11">
      <c r="G3322" s="20">
        <v>5.784021141109208</v>
      </c>
      <c r="H3322" s="20">
        <v>6.6175694361307923E-3</v>
      </c>
      <c r="I3322" s="2">
        <f ca="1"/>
        <v>3315</v>
      </c>
      <c r="J3322">
        <f ca="1"/>
        <v>5.784021141109208</v>
      </c>
      <c r="K3322">
        <f ca="1"/>
        <v>-1.030845806257121E-2</v>
      </c>
    </row>
    <row r="3323" spans="7:11">
      <c r="G3323" s="20">
        <v>5.7857664703612022</v>
      </c>
      <c r="H3323" s="20">
        <v>6.5995894596970403E-3</v>
      </c>
      <c r="I3323" s="2">
        <f ca="1"/>
        <v>3316</v>
      </c>
      <c r="J3323">
        <f ca="1"/>
        <v>5.7857664703612022</v>
      </c>
      <c r="K3323">
        <f ca="1"/>
        <v>-1.0294783014037216E-2</v>
      </c>
    </row>
    <row r="3324" spans="7:11">
      <c r="G3324" s="20">
        <v>5.7875117996131964</v>
      </c>
      <c r="H3324" s="20">
        <v>6.5816338642561275E-3</v>
      </c>
      <c r="I3324" s="2">
        <f ca="1"/>
        <v>3317</v>
      </c>
      <c r="J3324">
        <f ca="1"/>
        <v>5.7875117996131964</v>
      </c>
      <c r="K3324">
        <f ca="1"/>
        <v>-1.0278115485622597E-2</v>
      </c>
    </row>
    <row r="3325" spans="7:11">
      <c r="G3325" s="20">
        <v>5.7892571288651915</v>
      </c>
      <c r="H3325" s="20">
        <v>6.5637120684721674E-3</v>
      </c>
      <c r="I3325" s="2">
        <f ca="1"/>
        <v>3318</v>
      </c>
      <c r="J3325">
        <f ca="1"/>
        <v>5.7892571288651915</v>
      </c>
      <c r="K3325">
        <f ca="1"/>
        <v>-1.0263773489018304E-2</v>
      </c>
    </row>
    <row r="3326" spans="7:11">
      <c r="G3326" s="20">
        <v>5.7910024581171857</v>
      </c>
      <c r="H3326" s="20">
        <v>6.5458065360436656E-3</v>
      </c>
      <c r="I3326" s="2">
        <f ca="1"/>
        <v>3319</v>
      </c>
      <c r="J3326">
        <f ca="1"/>
        <v>5.7910024581171857</v>
      </c>
      <c r="K3326">
        <f ca="1"/>
        <v>-1.0253403940874001E-2</v>
      </c>
    </row>
    <row r="3327" spans="7:11">
      <c r="G3327" s="20">
        <v>5.7927477873691791</v>
      </c>
      <c r="H3327" s="20">
        <v>6.527920936811136E-3</v>
      </c>
      <c r="I3327" s="2">
        <f ca="1"/>
        <v>3320</v>
      </c>
      <c r="J3327">
        <f ca="1"/>
        <v>5.7927477873691791</v>
      </c>
      <c r="K3327">
        <f ca="1"/>
        <v>-1.0238778798940102E-2</v>
      </c>
    </row>
    <row r="3328" spans="7:11">
      <c r="G3328" s="20">
        <v>5.7944931166211742</v>
      </c>
      <c r="H3328" s="20">
        <v>6.5100664557586887E-3</v>
      </c>
      <c r="I3328" s="2">
        <f ca="1"/>
        <v>3321</v>
      </c>
      <c r="J3328">
        <f ca="1"/>
        <v>5.7944931166211742</v>
      </c>
      <c r="K3328">
        <f ca="1"/>
        <v>-1.0220563248417896E-2</v>
      </c>
    </row>
    <row r="3329" spans="7:11">
      <c r="G3329" s="20">
        <v>5.7962384458731684</v>
      </c>
      <c r="H3329" s="20">
        <v>6.4922444407924853E-3</v>
      </c>
      <c r="I3329" s="2">
        <f ca="1"/>
        <v>3322</v>
      </c>
      <c r="J3329">
        <f ca="1"/>
        <v>5.7962384458731684</v>
      </c>
      <c r="K3329">
        <f ca="1"/>
        <v>-1.0203775923833728E-2</v>
      </c>
    </row>
    <row r="3330" spans="7:11">
      <c r="G3330" s="20">
        <v>5.7979837751251626</v>
      </c>
      <c r="H3330" s="20">
        <v>6.474448558557366E-3</v>
      </c>
      <c r="I3330" s="2">
        <f ca="1"/>
        <v>3323</v>
      </c>
      <c r="J3330">
        <f ca="1"/>
        <v>5.7979837751251626</v>
      </c>
      <c r="K3330">
        <f ca="1"/>
        <v>-1.0188534526926364E-2</v>
      </c>
    </row>
    <row r="3331" spans="7:11">
      <c r="G3331" s="20">
        <v>5.7997291043771559</v>
      </c>
      <c r="H3331" s="20">
        <v>6.456679746102899E-3</v>
      </c>
      <c r="I3331" s="2">
        <f ca="1"/>
        <v>3324</v>
      </c>
      <c r="J3331">
        <f ca="1"/>
        <v>5.7997291043771559</v>
      </c>
      <c r="K3331">
        <f ca="1"/>
        <v>-1.0170455940009357E-2</v>
      </c>
    </row>
    <row r="3332" spans="7:11">
      <c r="G3332" s="20">
        <v>5.8014744336291519</v>
      </c>
      <c r="H3332" s="20">
        <v>6.4389469700409235E-3</v>
      </c>
      <c r="I3332" s="2">
        <f ca="1"/>
        <v>3325</v>
      </c>
      <c r="J3332">
        <f ca="1"/>
        <v>5.8014744336291519</v>
      </c>
      <c r="K3332">
        <f ca="1"/>
        <v>-1.0154587669890766E-2</v>
      </c>
    </row>
    <row r="3333" spans="7:11">
      <c r="G3333" s="20">
        <v>5.8032197628811462</v>
      </c>
      <c r="H3333" s="20">
        <v>6.4212335482984806E-3</v>
      </c>
      <c r="I3333" s="2">
        <f ca="1"/>
        <v>3326</v>
      </c>
      <c r="J3333">
        <f ca="1"/>
        <v>5.8032197628811462</v>
      </c>
      <c r="K3333">
        <f ca="1"/>
        <v>-1.0142497136779687E-2</v>
      </c>
    </row>
    <row r="3334" spans="7:11">
      <c r="G3334" s="20">
        <v>5.8049650921331386</v>
      </c>
      <c r="H3334" s="20">
        <v>6.4035429761587631E-3</v>
      </c>
      <c r="I3334" s="2">
        <f ca="1"/>
        <v>3327</v>
      </c>
      <c r="J3334">
        <f ca="1"/>
        <v>5.8049650921331386</v>
      </c>
      <c r="K3334">
        <f ca="1"/>
        <v>-1.0126341832846652E-2</v>
      </c>
    </row>
    <row r="3335" spans="7:11">
      <c r="G3335" s="20">
        <v>5.8067104213851355</v>
      </c>
      <c r="H3335" s="20">
        <v>6.3858859470653515E-3</v>
      </c>
      <c r="I3335" s="2">
        <f ca="1"/>
        <v>3328</v>
      </c>
      <c r="J3335">
        <f ca="1"/>
        <v>5.8067104213851355</v>
      </c>
      <c r="K3335">
        <f ca="1"/>
        <v>-1.0106751300223529E-2</v>
      </c>
    </row>
    <row r="3336" spans="7:11">
      <c r="G3336" s="20">
        <v>5.8084557506371288</v>
      </c>
      <c r="H3336" s="20">
        <v>6.3682637587849237E-3</v>
      </c>
      <c r="I3336" s="2">
        <f ca="1"/>
        <v>3329</v>
      </c>
      <c r="J3336">
        <f ca="1"/>
        <v>5.8084557506371288</v>
      </c>
      <c r="K3336">
        <f ca="1"/>
        <v>-1.0088514995799682E-2</v>
      </c>
    </row>
    <row r="3337" spans="7:11">
      <c r="G3337" s="20">
        <v>5.810201079889123</v>
      </c>
      <c r="H3337" s="20">
        <v>6.3506703864026574E-3</v>
      </c>
      <c r="I3337" s="2">
        <f ca="1"/>
        <v>3330</v>
      </c>
      <c r="J3337">
        <f ca="1"/>
        <v>5.810201079889123</v>
      </c>
      <c r="K3337">
        <f ca="1"/>
        <v>-1.007329825605011E-2</v>
      </c>
    </row>
    <row r="3338" spans="7:11">
      <c r="G3338" s="20">
        <v>5.8119464091411173</v>
      </c>
      <c r="H3338" s="20">
        <v>6.3331013145642304E-3</v>
      </c>
      <c r="I3338" s="2">
        <f ca="1"/>
        <v>3331</v>
      </c>
      <c r="J3338">
        <f ca="1"/>
        <v>5.8119464091411173</v>
      </c>
      <c r="K3338">
        <f ca="1"/>
        <v>-1.0056741043059678E-2</v>
      </c>
    </row>
    <row r="3339" spans="7:11">
      <c r="G3339" s="20">
        <v>5.8136917383931115</v>
      </c>
      <c r="H3339" s="20">
        <v>6.3155657377582915E-3</v>
      </c>
      <c r="I3339" s="2">
        <f ca="1"/>
        <v>3332</v>
      </c>
      <c r="J3339">
        <f ca="1"/>
        <v>5.8136917383931115</v>
      </c>
      <c r="K3339">
        <f ca="1"/>
        <v>-1.0036461311505948E-2</v>
      </c>
    </row>
    <row r="3340" spans="7:11">
      <c r="G3340" s="20">
        <v>5.8154370676451057</v>
      </c>
      <c r="H3340" s="20">
        <v>6.2980674555372712E-3</v>
      </c>
      <c r="I3340" s="2">
        <f ca="1"/>
        <v>3333</v>
      </c>
      <c r="J3340">
        <f ca="1"/>
        <v>5.8154370676451057</v>
      </c>
      <c r="K3340">
        <f ca="1"/>
        <v>-1.0017701972319153E-2</v>
      </c>
    </row>
    <row r="3341" spans="7:11">
      <c r="G3341" s="20">
        <v>5.8171823968970999</v>
      </c>
      <c r="H3341" s="20">
        <v>6.2805973611781939E-3</v>
      </c>
      <c r="I3341" s="2">
        <f ca="1"/>
        <v>3334</v>
      </c>
      <c r="J3341">
        <f ca="1"/>
        <v>5.8171823968970999</v>
      </c>
      <c r="K3341">
        <f ca="1"/>
        <v>-1.0000695034555357E-2</v>
      </c>
    </row>
    <row r="3342" spans="7:11">
      <c r="G3342" s="20">
        <v>5.818927726149095</v>
      </c>
      <c r="H3342" s="20">
        <v>6.2631584443690966E-3</v>
      </c>
      <c r="I3342" s="2">
        <f ca="1"/>
        <v>3335</v>
      </c>
      <c r="J3342">
        <f ca="1"/>
        <v>5.818927726149095</v>
      </c>
      <c r="K3342">
        <f ca="1"/>
        <v>-9.9802698697556962E-3</v>
      </c>
    </row>
    <row r="3343" spans="7:11">
      <c r="G3343" s="20">
        <v>5.8206730554010884</v>
      </c>
      <c r="H3343" s="20">
        <v>6.2457596472852315E-3</v>
      </c>
      <c r="I3343" s="2">
        <f ca="1"/>
        <v>3336</v>
      </c>
      <c r="J3343">
        <f ca="1"/>
        <v>5.8206730554010884</v>
      </c>
      <c r="K3343">
        <f ca="1"/>
        <v>-9.961859876972054E-3</v>
      </c>
    </row>
    <row r="3344" spans="7:11">
      <c r="G3344" s="20">
        <v>5.8224183846530844</v>
      </c>
      <c r="H3344" s="20">
        <v>6.228384993473994E-3</v>
      </c>
      <c r="I3344" s="2">
        <f ca="1"/>
        <v>3337</v>
      </c>
      <c r="J3344">
        <f ca="1"/>
        <v>5.8224183846530844</v>
      </c>
      <c r="K3344">
        <f ca="1"/>
        <v>-9.947030925288404E-3</v>
      </c>
    </row>
    <row r="3345" spans="7:11">
      <c r="G3345" s="20">
        <v>5.8241637139050768</v>
      </c>
      <c r="H3345" s="20">
        <v>6.2110379591964375E-3</v>
      </c>
      <c r="I3345" s="2">
        <f ca="1"/>
        <v>3338</v>
      </c>
      <c r="J3345">
        <f ca="1"/>
        <v>5.8241637139050768</v>
      </c>
      <c r="K3345">
        <f ca="1"/>
        <v>-9.9284408016376106E-3</v>
      </c>
    </row>
    <row r="3346" spans="7:11">
      <c r="G3346" s="20">
        <v>5.8259090431570728</v>
      </c>
      <c r="H3346" s="20">
        <v>6.1937281971584119E-3</v>
      </c>
      <c r="I3346" s="2">
        <f ca="1"/>
        <v>3339</v>
      </c>
      <c r="J3346">
        <f ca="1"/>
        <v>5.8259090431570728</v>
      </c>
      <c r="K3346">
        <f ca="1"/>
        <v>-9.9067392111491532E-3</v>
      </c>
    </row>
    <row r="3347" spans="7:11">
      <c r="G3347" s="20">
        <v>5.8276543724090653</v>
      </c>
      <c r="H3347" s="20">
        <v>6.176456915722244E-3</v>
      </c>
      <c r="I3347" s="2">
        <f ca="1"/>
        <v>3340</v>
      </c>
      <c r="J3347">
        <f ca="1"/>
        <v>5.8276543724090653</v>
      </c>
      <c r="K3347">
        <f ca="1"/>
        <v>-9.8862837952887785E-3</v>
      </c>
    </row>
    <row r="3348" spans="7:11">
      <c r="G3348" s="20">
        <v>5.8293997016610613</v>
      </c>
      <c r="H3348" s="20">
        <v>6.159218556555544E-3</v>
      </c>
      <c r="I3348" s="2">
        <f ca="1"/>
        <v>3341</v>
      </c>
      <c r="J3348">
        <f ca="1"/>
        <v>5.8293997016610613</v>
      </c>
      <c r="K3348">
        <f ca="1"/>
        <v>-9.867162523418703E-3</v>
      </c>
    </row>
    <row r="3349" spans="7:11">
      <c r="G3349" s="20">
        <v>5.8311450309130537</v>
      </c>
      <c r="H3349" s="20">
        <v>6.1420140209496365E-3</v>
      </c>
      <c r="I3349" s="2">
        <f ca="1"/>
        <v>3342</v>
      </c>
      <c r="J3349">
        <f ca="1"/>
        <v>5.8311450309130537</v>
      </c>
      <c r="K3349">
        <f ca="1"/>
        <v>-9.8455077145620674E-3</v>
      </c>
    </row>
    <row r="3350" spans="7:11">
      <c r="G3350" s="20">
        <v>5.8328903601650497</v>
      </c>
      <c r="H3350" s="20">
        <v>6.1248512513256241E-3</v>
      </c>
      <c r="I3350" s="2">
        <f ca="1"/>
        <v>3343</v>
      </c>
      <c r="J3350">
        <f ca="1"/>
        <v>5.8328903601650497</v>
      </c>
      <c r="K3350">
        <f ca="1"/>
        <v>-9.8257756158389963E-3</v>
      </c>
    </row>
    <row r="3351" spans="7:11">
      <c r="G3351" s="20">
        <v>5.8346356894170439</v>
      </c>
      <c r="H3351" s="20">
        <v>6.1077155937379083E-3</v>
      </c>
      <c r="I3351" s="2">
        <f ca="1"/>
        <v>3344</v>
      </c>
      <c r="J3351">
        <f ca="1"/>
        <v>5.8346356894170439</v>
      </c>
      <c r="K3351">
        <f ca="1"/>
        <v>-9.8093439734741935E-3</v>
      </c>
    </row>
    <row r="3352" spans="7:11">
      <c r="G3352" s="20">
        <v>5.8363810186690381</v>
      </c>
      <c r="H3352" s="20">
        <v>6.0906101813660686E-3</v>
      </c>
      <c r="I3352" s="2">
        <f ca="1"/>
        <v>3345</v>
      </c>
      <c r="J3352">
        <f ca="1"/>
        <v>5.8363810186690381</v>
      </c>
      <c r="K3352">
        <f ca="1"/>
        <v>-9.789317999567752E-3</v>
      </c>
    </row>
    <row r="3353" spans="7:11">
      <c r="G3353" s="20">
        <v>5.8381263479210324</v>
      </c>
      <c r="H3353" s="20">
        <v>6.07354442761447E-3</v>
      </c>
      <c r="I3353" s="2">
        <f ca="1"/>
        <v>3346</v>
      </c>
      <c r="J3353">
        <f ca="1"/>
        <v>5.8381263479210324</v>
      </c>
      <c r="K3353">
        <f ca="1"/>
        <v>-9.7662656229017264E-3</v>
      </c>
    </row>
    <row r="3354" spans="7:11">
      <c r="G3354" s="20">
        <v>5.8398716771730266</v>
      </c>
      <c r="H3354" s="20">
        <v>6.0565194832172767E-3</v>
      </c>
      <c r="I3354" s="2">
        <f ca="1"/>
        <v>3347</v>
      </c>
      <c r="J3354">
        <f ca="1"/>
        <v>5.8398716771730266</v>
      </c>
      <c r="K3354">
        <f ca="1"/>
        <v>-9.7443798604113143E-3</v>
      </c>
    </row>
    <row r="3355" spans="7:11">
      <c r="G3355" s="20">
        <v>5.8416170064250208</v>
      </c>
      <c r="H3355" s="20">
        <v>6.0395301251886316E-3</v>
      </c>
      <c r="I3355" s="2">
        <f ca="1"/>
        <v>3348</v>
      </c>
      <c r="J3355">
        <f ca="1"/>
        <v>5.8416170064250208</v>
      </c>
      <c r="K3355">
        <f ca="1"/>
        <v>-9.7237555687856338E-3</v>
      </c>
    </row>
    <row r="3356" spans="7:11">
      <c r="G3356" s="20">
        <v>5.8433623356770141</v>
      </c>
      <c r="H3356" s="20">
        <v>6.0225771731503988E-3</v>
      </c>
      <c r="I3356" s="2">
        <f ca="1"/>
        <v>3349</v>
      </c>
      <c r="J3356">
        <f ca="1"/>
        <v>5.8433623356770141</v>
      </c>
      <c r="K3356">
        <f ca="1"/>
        <v>-9.70074709637124E-3</v>
      </c>
    </row>
    <row r="3357" spans="7:11">
      <c r="G3357" s="20">
        <v>5.845107664929011</v>
      </c>
      <c r="H3357" s="20">
        <v>6.0056681298416249E-3</v>
      </c>
      <c r="I3357" s="2">
        <f ca="1"/>
        <v>3350</v>
      </c>
      <c r="J3357">
        <f ca="1"/>
        <v>5.845107664929011</v>
      </c>
      <c r="K3357">
        <f ca="1"/>
        <v>-9.679550728137816E-3</v>
      </c>
    </row>
    <row r="3358" spans="7:11">
      <c r="G3358" s="20">
        <v>5.8468529941810035</v>
      </c>
      <c r="H3358" s="20">
        <v>5.9887891670864285E-3</v>
      </c>
      <c r="I3358" s="2">
        <f ca="1"/>
        <v>3351</v>
      </c>
      <c r="J3358">
        <f ca="1"/>
        <v>5.8468529941810035</v>
      </c>
      <c r="K3358">
        <f ca="1"/>
        <v>-9.6614666195409676E-3</v>
      </c>
    </row>
    <row r="3359" spans="7:11">
      <c r="G3359" s="20">
        <v>5.8485983234329977</v>
      </c>
      <c r="H3359" s="20">
        <v>5.9719432492251409E-3</v>
      </c>
      <c r="I3359" s="2">
        <f ca="1"/>
        <v>3352</v>
      </c>
      <c r="J3359">
        <f ca="1"/>
        <v>5.8485983234329977</v>
      </c>
      <c r="K3359">
        <f ca="1"/>
        <v>-9.6399750695680617E-3</v>
      </c>
    </row>
    <row r="3360" spans="7:11">
      <c r="G3360" s="20">
        <v>5.8503436526849937</v>
      </c>
      <c r="H3360" s="20">
        <v>5.955139306131587E-3</v>
      </c>
      <c r="I3360" s="2">
        <f ca="1"/>
        <v>3353</v>
      </c>
      <c r="J3360">
        <f ca="1"/>
        <v>5.8503436526849937</v>
      </c>
      <c r="K3360">
        <f ca="1"/>
        <v>-9.6156101267975778E-3</v>
      </c>
    </row>
    <row r="3361" spans="7:11">
      <c r="G3361" s="20">
        <v>5.8520889819369879</v>
      </c>
      <c r="H3361" s="20">
        <v>5.9383784379649805E-3</v>
      </c>
      <c r="I3361" s="2">
        <f ca="1"/>
        <v>3354</v>
      </c>
      <c r="J3361">
        <f ca="1"/>
        <v>5.8520889819369879</v>
      </c>
      <c r="K3361">
        <f ca="1"/>
        <v>-9.5923408813785235E-3</v>
      </c>
    </row>
    <row r="3362" spans="7:11">
      <c r="G3362" s="20">
        <v>5.8538343111889803</v>
      </c>
      <c r="H3362" s="20">
        <v>5.9216557198608641E-3</v>
      </c>
      <c r="I3362" s="2">
        <f ca="1"/>
        <v>3355</v>
      </c>
      <c r="J3362">
        <f ca="1"/>
        <v>5.8538343111889803</v>
      </c>
      <c r="K3362">
        <f ca="1"/>
        <v>-9.571540582089642E-3</v>
      </c>
    </row>
    <row r="3363" spans="7:11">
      <c r="G3363" s="20">
        <v>5.8555796404409746</v>
      </c>
      <c r="H3363" s="20">
        <v>5.9049674584358558E-3</v>
      </c>
      <c r="I3363" s="2">
        <f ca="1"/>
        <v>3356</v>
      </c>
      <c r="J3363">
        <f ca="1"/>
        <v>5.8555796404409746</v>
      </c>
      <c r="K3363">
        <f ca="1"/>
        <v>-9.549608512332438E-3</v>
      </c>
    </row>
    <row r="3364" spans="7:11">
      <c r="G3364" s="20">
        <v>5.8573249696929706</v>
      </c>
      <c r="H3364" s="20">
        <v>5.8883212976975135E-3</v>
      </c>
      <c r="I3364" s="2">
        <f ca="1"/>
        <v>3357</v>
      </c>
      <c r="J3364">
        <f ca="1"/>
        <v>5.8573249696929706</v>
      </c>
      <c r="K3364">
        <f ca="1"/>
        <v>-9.5245786863784442E-3</v>
      </c>
    </row>
    <row r="3365" spans="7:11">
      <c r="G3365" s="20">
        <v>5.859070298944963</v>
      </c>
      <c r="H3365" s="20">
        <v>5.8717204068473418E-3</v>
      </c>
      <c r="I3365" s="2">
        <f ca="1"/>
        <v>3358</v>
      </c>
      <c r="J3365">
        <f ca="1"/>
        <v>5.859070298944963</v>
      </c>
      <c r="K3365">
        <f ca="1"/>
        <v>-9.5007765151003641E-3</v>
      </c>
    </row>
    <row r="3366" spans="7:11">
      <c r="G3366" s="20">
        <v>5.8608156281969581</v>
      </c>
      <c r="H3366" s="20">
        <v>5.8551573313605932E-3</v>
      </c>
      <c r="I3366" s="2">
        <f ca="1"/>
        <v>3359</v>
      </c>
      <c r="J3366">
        <f ca="1"/>
        <v>5.8608156281969581</v>
      </c>
      <c r="K3366">
        <f ca="1"/>
        <v>-9.4783912145328664E-3</v>
      </c>
    </row>
    <row r="3367" spans="7:11">
      <c r="G3367" s="20">
        <v>5.8625609574489532</v>
      </c>
      <c r="H3367" s="20">
        <v>5.8386345799501865E-3</v>
      </c>
      <c r="I3367" s="2">
        <f ca="1"/>
        <v>3360</v>
      </c>
      <c r="J3367">
        <f ca="1"/>
        <v>5.8625609574489532</v>
      </c>
      <c r="K3367">
        <f ca="1"/>
        <v>-9.453170539348292E-3</v>
      </c>
    </row>
    <row r="3368" spans="7:11">
      <c r="G3368" s="20">
        <v>5.8643062867009474</v>
      </c>
      <c r="H3368" s="20">
        <v>5.8221595412277557E-3</v>
      </c>
      <c r="I3368" s="2">
        <f ca="1"/>
        <v>3361</v>
      </c>
      <c r="J3368">
        <f ca="1"/>
        <v>5.8643062867009474</v>
      </c>
      <c r="K3368">
        <f ca="1"/>
        <v>-9.4295776305610823E-3</v>
      </c>
    </row>
    <row r="3369" spans="7:11">
      <c r="G3369" s="20">
        <v>5.8660516159529417</v>
      </c>
      <c r="H3369" s="20">
        <v>5.8057191446050493E-3</v>
      </c>
      <c r="I3369" s="2">
        <f ca="1"/>
        <v>3362</v>
      </c>
      <c r="J3369">
        <f ca="1"/>
        <v>5.8660516159529417</v>
      </c>
      <c r="K3369">
        <f ca="1"/>
        <v>-9.4088953448782688E-3</v>
      </c>
    </row>
    <row r="3370" spans="7:11">
      <c r="G3370" s="20">
        <v>5.8677969452049359</v>
      </c>
      <c r="H3370" s="20">
        <v>5.7893163006790191E-3</v>
      </c>
      <c r="I3370" s="2">
        <f ca="1"/>
        <v>3363</v>
      </c>
      <c r="J3370">
        <f ca="1"/>
        <v>5.8677969452049359</v>
      </c>
      <c r="K3370">
        <f ca="1"/>
        <v>-9.3850998015862358E-3</v>
      </c>
    </row>
    <row r="3371" spans="7:11">
      <c r="G3371" s="20">
        <v>5.8695422744569301</v>
      </c>
      <c r="H3371" s="20">
        <v>5.772958966171862E-3</v>
      </c>
      <c r="I3371" s="2">
        <f ca="1"/>
        <v>3364</v>
      </c>
      <c r="J3371">
        <f ca="1"/>
        <v>5.8695422744569301</v>
      </c>
      <c r="K3371">
        <f ca="1"/>
        <v>-9.3587348664962745E-3</v>
      </c>
    </row>
    <row r="3372" spans="7:11">
      <c r="G3372" s="20">
        <v>5.8712876037089243</v>
      </c>
      <c r="H3372" s="20">
        <v>5.7566481532307107E-3</v>
      </c>
      <c r="I3372" s="2">
        <f ca="1"/>
        <v>3365</v>
      </c>
      <c r="J3372">
        <f ca="1"/>
        <v>5.8712876037089243</v>
      </c>
      <c r="K3372">
        <f ca="1"/>
        <v>-9.3333625995214702E-3</v>
      </c>
    </row>
    <row r="3373" spans="7:11">
      <c r="G3373" s="20">
        <v>5.8730329329609186</v>
      </c>
      <c r="H3373" s="20">
        <v>5.7403793846430348E-3</v>
      </c>
      <c r="I3373" s="2">
        <f ca="1"/>
        <v>3366</v>
      </c>
      <c r="J3373">
        <f ca="1"/>
        <v>5.8730329329609186</v>
      </c>
      <c r="K3373">
        <f ca="1"/>
        <v>-9.309051624446044E-3</v>
      </c>
    </row>
    <row r="3374" spans="7:11">
      <c r="G3374" s="20">
        <v>5.8747782622129128</v>
      </c>
      <c r="H3374" s="20">
        <v>5.7241534330137707E-3</v>
      </c>
      <c r="I3374" s="2">
        <f ca="1"/>
        <v>3367</v>
      </c>
      <c r="J3374">
        <f ca="1"/>
        <v>5.8747782622129128</v>
      </c>
      <c r="K3374">
        <f ca="1"/>
        <v>-9.2826557456230484E-3</v>
      </c>
    </row>
    <row r="3375" spans="7:11">
      <c r="G3375" s="20">
        <v>5.8765235914649088</v>
      </c>
      <c r="H3375" s="20">
        <v>5.707976803424962E-3</v>
      </c>
      <c r="I3375" s="2">
        <f ca="1"/>
        <v>3368</v>
      </c>
      <c r="J3375">
        <f ca="1"/>
        <v>5.8765235914649088</v>
      </c>
      <c r="K3375">
        <f ca="1"/>
        <v>-9.2577978599336867E-3</v>
      </c>
    </row>
    <row r="3376" spans="7:11">
      <c r="G3376" s="20">
        <v>5.8782689207169012</v>
      </c>
      <c r="H3376" s="20">
        <v>5.6918376221857872E-3</v>
      </c>
      <c r="I3376" s="2">
        <f ca="1"/>
        <v>3369</v>
      </c>
      <c r="J3376">
        <f ca="1"/>
        <v>5.8782689207169012</v>
      </c>
      <c r="K3376">
        <f ca="1"/>
        <v>-9.2355954412258467E-3</v>
      </c>
    </row>
    <row r="3377" spans="7:11">
      <c r="G3377" s="20">
        <v>5.8800142499688954</v>
      </c>
      <c r="H3377" s="20">
        <v>5.6757384936586665E-3</v>
      </c>
      <c r="I3377" s="2">
        <f ca="1"/>
        <v>3370</v>
      </c>
      <c r="J3377">
        <f ca="1"/>
        <v>5.8800142499688954</v>
      </c>
      <c r="K3377">
        <f ca="1"/>
        <v>-9.2104433340175346E-3</v>
      </c>
    </row>
    <row r="3378" spans="7:11">
      <c r="G3378" s="20">
        <v>5.8817595792208897</v>
      </c>
      <c r="H3378" s="20">
        <v>5.6596871098363952E-3</v>
      </c>
      <c r="I3378" s="2">
        <f ca="1"/>
        <v>3371</v>
      </c>
      <c r="J3378">
        <f ca="1"/>
        <v>5.8817595792208897</v>
      </c>
      <c r="K3378">
        <f ca="1"/>
        <v>-9.182813784774856E-3</v>
      </c>
    </row>
    <row r="3379" spans="7:11">
      <c r="G3379" s="20">
        <v>5.8835049084728857</v>
      </c>
      <c r="H3379" s="20">
        <v>5.6436844266302836E-3</v>
      </c>
      <c r="I3379" s="2">
        <f ca="1"/>
        <v>3372</v>
      </c>
      <c r="J3379">
        <f ca="1"/>
        <v>5.8835049084728857</v>
      </c>
      <c r="K3379">
        <f ca="1"/>
        <v>-9.1561032965643795E-3</v>
      </c>
    </row>
    <row r="3380" spans="7:11">
      <c r="G3380" s="20">
        <v>5.885250237724879</v>
      </c>
      <c r="H3380" s="20">
        <v>5.627726280000838E-3</v>
      </c>
      <c r="I3380" s="2">
        <f ca="1"/>
        <v>3373</v>
      </c>
      <c r="J3380">
        <f ca="1"/>
        <v>5.885250237724879</v>
      </c>
      <c r="K3380">
        <f ca="1"/>
        <v>-9.1303855109383918E-3</v>
      </c>
    </row>
    <row r="3381" spans="7:11">
      <c r="G3381" s="20">
        <v>5.8869955669768732</v>
      </c>
      <c r="H3381" s="20">
        <v>5.6118133688018417E-3</v>
      </c>
      <c r="I3381" s="2">
        <f ca="1"/>
        <v>3374</v>
      </c>
      <c r="J3381">
        <f ca="1"/>
        <v>5.8869955669768732</v>
      </c>
      <c r="K3381">
        <f ca="1"/>
        <v>-9.1027231943646026E-3</v>
      </c>
    </row>
    <row r="3382" spans="7:11">
      <c r="G3382" s="20">
        <v>5.8887408962288683</v>
      </c>
      <c r="H3382" s="20">
        <v>5.5959517818729683E-3</v>
      </c>
      <c r="I3382" s="2">
        <f ca="1"/>
        <v>3375</v>
      </c>
      <c r="J3382">
        <f ca="1"/>
        <v>5.8887408962288683</v>
      </c>
      <c r="K3382">
        <f ca="1"/>
        <v>-9.0764949898006972E-3</v>
      </c>
    </row>
    <row r="3383" spans="7:11">
      <c r="G3383" s="20">
        <v>5.8904862254808625</v>
      </c>
      <c r="H3383" s="20">
        <v>5.5801304243792774E-3</v>
      </c>
      <c r="I3383" s="2">
        <f ca="1"/>
        <v>3376</v>
      </c>
      <c r="J3383">
        <f ca="1"/>
        <v>5.8904862254808625</v>
      </c>
      <c r="K3383">
        <f ca="1"/>
        <v>-9.0527453483482609E-3</v>
      </c>
    </row>
    <row r="3384" spans="7:11">
      <c r="G3384" s="20">
        <v>5.8922315547328559</v>
      </c>
      <c r="H3384" s="20">
        <v>5.5643517393383227E-3</v>
      </c>
      <c r="I3384" s="2">
        <f ca="1"/>
        <v>3377</v>
      </c>
      <c r="J3384">
        <f ca="1"/>
        <v>5.8922315547328559</v>
      </c>
      <c r="K3384">
        <f ca="1"/>
        <v>-9.0262247507880648E-3</v>
      </c>
    </row>
    <row r="3385" spans="7:11">
      <c r="G3385" s="20">
        <v>5.893976883984851</v>
      </c>
      <c r="H3385" s="20">
        <v>5.5486229561940281E-3</v>
      </c>
      <c r="I3385" s="2">
        <f ca="1"/>
        <v>3378</v>
      </c>
      <c r="J3385">
        <f ca="1"/>
        <v>5.893976883984851</v>
      </c>
      <c r="K3385">
        <f ca="1"/>
        <v>-8.9973734953144799E-3</v>
      </c>
    </row>
    <row r="3386" spans="7:11">
      <c r="G3386" s="20">
        <v>5.8957222132368452</v>
      </c>
      <c r="H3386" s="20">
        <v>5.532944981033335E-3</v>
      </c>
      <c r="I3386" s="2">
        <f ca="1"/>
        <v>3379</v>
      </c>
      <c r="J3386">
        <f ca="1"/>
        <v>5.8957222132368452</v>
      </c>
      <c r="K3386">
        <f ca="1"/>
        <v>-8.9693754953772287E-3</v>
      </c>
    </row>
    <row r="3387" spans="7:11">
      <c r="G3387" s="20">
        <v>5.8974675424888385</v>
      </c>
      <c r="H3387" s="20">
        <v>5.517313929345632E-3</v>
      </c>
      <c r="I3387" s="2">
        <f ca="1"/>
        <v>3380</v>
      </c>
      <c r="J3387">
        <f ca="1"/>
        <v>5.8974675424888385</v>
      </c>
      <c r="K3387">
        <f ca="1"/>
        <v>-8.9433253223257826E-3</v>
      </c>
    </row>
    <row r="3388" spans="7:11">
      <c r="G3388" s="20">
        <v>5.8992128717408336</v>
      </c>
      <c r="H3388" s="20">
        <v>5.5017268864430233E-3</v>
      </c>
      <c r="I3388" s="2">
        <f ca="1"/>
        <v>3381</v>
      </c>
      <c r="J3388">
        <f ca="1"/>
        <v>5.8992128717408336</v>
      </c>
      <c r="K3388">
        <f ca="1"/>
        <v>-8.9163471261815772E-3</v>
      </c>
    </row>
    <row r="3389" spans="7:11">
      <c r="G3389" s="20">
        <v>5.9009582009928279</v>
      </c>
      <c r="H3389" s="20">
        <v>5.4861900064251054E-3</v>
      </c>
      <c r="I3389" s="2">
        <f ca="1"/>
        <v>3382</v>
      </c>
      <c r="J3389">
        <f ca="1"/>
        <v>5.9009582009928279</v>
      </c>
      <c r="K3389">
        <f ca="1"/>
        <v>-8.8868720537897024E-3</v>
      </c>
    </row>
    <row r="3390" spans="7:11">
      <c r="G3390" s="20">
        <v>5.9027035302448221</v>
      </c>
      <c r="H3390" s="20">
        <v>5.4707058509346051E-3</v>
      </c>
      <c r="I3390" s="2">
        <f ca="1"/>
        <v>3383</v>
      </c>
      <c r="J3390">
        <f ca="1"/>
        <v>5.9027035302448221</v>
      </c>
      <c r="K3390">
        <f ca="1"/>
        <v>-8.8583503116448619E-3</v>
      </c>
    </row>
    <row r="3391" spans="7:11">
      <c r="G3391" s="20">
        <v>5.9044488594968154</v>
      </c>
      <c r="H3391" s="20">
        <v>5.4552685305784615E-3</v>
      </c>
      <c r="I3391" s="2">
        <f ca="1"/>
        <v>3384</v>
      </c>
      <c r="J3391">
        <f ca="1"/>
        <v>5.9044488594968154</v>
      </c>
      <c r="K3391">
        <f ca="1"/>
        <v>-8.8309308948370524E-3</v>
      </c>
    </row>
    <row r="3392" spans="7:11">
      <c r="G3392" s="20">
        <v>5.9061941887488123</v>
      </c>
      <c r="H3392" s="20">
        <v>5.4398800869083922E-3</v>
      </c>
      <c r="I3392" s="2">
        <f ca="1"/>
        <v>3385</v>
      </c>
      <c r="J3392">
        <f ca="1"/>
        <v>5.9061941887488123</v>
      </c>
      <c r="K3392">
        <f ca="1"/>
        <v>-8.8012350684909414E-3</v>
      </c>
    </row>
    <row r="3393" spans="7:11">
      <c r="G3393" s="20">
        <v>5.9079395180008056</v>
      </c>
      <c r="H3393" s="20">
        <v>5.4245464245410166E-3</v>
      </c>
      <c r="I3393" s="2">
        <f ca="1"/>
        <v>3386</v>
      </c>
      <c r="J3393">
        <f ca="1"/>
        <v>5.9079395180008056</v>
      </c>
      <c r="K3393">
        <f ca="1"/>
        <v>-8.7728041254865642E-3</v>
      </c>
    </row>
    <row r="3394" spans="7:11">
      <c r="G3394" s="20">
        <v>5.9096848472527999</v>
      </c>
      <c r="H3394" s="20">
        <v>5.4092572235839454E-3</v>
      </c>
      <c r="I3394" s="2">
        <f ca="1"/>
        <v>3387</v>
      </c>
      <c r="J3394">
        <f ca="1"/>
        <v>5.9096848472527999</v>
      </c>
      <c r="K3394">
        <f ca="1"/>
        <v>-8.7466526614451527E-3</v>
      </c>
    </row>
    <row r="3395" spans="7:11">
      <c r="G3395" s="20">
        <v>5.9114301765047941</v>
      </c>
      <c r="H3395" s="20">
        <v>5.39401484704691E-3</v>
      </c>
      <c r="I3395" s="2">
        <f ca="1"/>
        <v>3388</v>
      </c>
      <c r="J3395">
        <f ca="1"/>
        <v>5.9114301765047941</v>
      </c>
      <c r="K3395">
        <f ca="1"/>
        <v>-8.718007979843968E-3</v>
      </c>
    </row>
    <row r="3396" spans="7:11">
      <c r="G3396" s="20">
        <v>5.9131755057567883</v>
      </c>
      <c r="H3396" s="20">
        <v>5.378825634891264E-3</v>
      </c>
      <c r="I3396" s="2">
        <f ca="1"/>
        <v>3389</v>
      </c>
      <c r="J3396">
        <f ca="1"/>
        <v>5.9131755057567883</v>
      </c>
      <c r="K3396">
        <f ca="1"/>
        <v>-8.6873117100555869E-3</v>
      </c>
    </row>
    <row r="3397" spans="7:11">
      <c r="G3397" s="20">
        <v>5.9149208350087825</v>
      </c>
      <c r="H3397" s="20">
        <v>5.3636904085494061E-3</v>
      </c>
      <c r="I3397" s="2">
        <f ca="1"/>
        <v>3390</v>
      </c>
      <c r="J3397">
        <f ca="1"/>
        <v>5.9149208350087825</v>
      </c>
      <c r="K3397">
        <f ca="1"/>
        <v>-8.6573732843201624E-3</v>
      </c>
    </row>
    <row r="3398" spans="7:11">
      <c r="G3398" s="20">
        <v>5.9166661642607767</v>
      </c>
      <c r="H3398" s="20">
        <v>5.3486057012141494E-3</v>
      </c>
      <c r="I3398" s="2">
        <f ca="1"/>
        <v>3391</v>
      </c>
      <c r="J3398">
        <f ca="1"/>
        <v>5.9166661642607767</v>
      </c>
      <c r="K3398">
        <f ca="1"/>
        <v>-8.6282435385354895E-3</v>
      </c>
    </row>
    <row r="3399" spans="7:11">
      <c r="G3399" s="20">
        <v>5.918411493512771</v>
      </c>
      <c r="H3399" s="20">
        <v>5.3335721568671338E-3</v>
      </c>
      <c r="I3399" s="2">
        <f ca="1"/>
        <v>3392</v>
      </c>
      <c r="J3399">
        <f ca="1"/>
        <v>5.918411493512771</v>
      </c>
      <c r="K3399">
        <f ca="1"/>
        <v>-8.5974561446084084E-3</v>
      </c>
    </row>
    <row r="3400" spans="7:11">
      <c r="G3400" s="20">
        <v>5.9201568227647661</v>
      </c>
      <c r="H3400" s="20">
        <v>5.3185949178102968E-3</v>
      </c>
      <c r="I3400" s="2">
        <f ca="1"/>
        <v>3393</v>
      </c>
      <c r="J3400">
        <f ca="1"/>
        <v>5.9201568227647661</v>
      </c>
      <c r="K3400">
        <f ca="1"/>
        <v>-8.5678492823144069E-3</v>
      </c>
    </row>
    <row r="3401" spans="7:11">
      <c r="G3401" s="20">
        <v>5.9219021520167603</v>
      </c>
      <c r="H3401" s="20">
        <v>5.3036647209089242E-3</v>
      </c>
      <c r="I3401" s="2">
        <f ca="1"/>
        <v>3394</v>
      </c>
      <c r="J3401">
        <f ca="1"/>
        <v>5.9219021520167603</v>
      </c>
      <c r="K3401">
        <f ca="1"/>
        <v>-8.5402957431707296E-3</v>
      </c>
    </row>
    <row r="3402" spans="7:11">
      <c r="G3402" s="20">
        <v>5.9236474812687536</v>
      </c>
      <c r="H3402" s="20">
        <v>5.2887836618478292E-3</v>
      </c>
      <c r="I3402" s="2">
        <f ca="1"/>
        <v>3395</v>
      </c>
      <c r="J3402">
        <f ca="1"/>
        <v>5.9236474812687536</v>
      </c>
      <c r="K3402">
        <f ca="1"/>
        <v>-8.5104048705261347E-3</v>
      </c>
    </row>
    <row r="3403" spans="7:11">
      <c r="G3403" s="20">
        <v>5.9253928105207487</v>
      </c>
      <c r="H3403" s="20">
        <v>5.2739578037752375E-3</v>
      </c>
      <c r="I3403" s="2">
        <f ca="1"/>
        <v>3396</v>
      </c>
      <c r="J3403">
        <f ca="1"/>
        <v>5.9253928105207487</v>
      </c>
      <c r="K3403">
        <f ca="1"/>
        <v>-8.4785569824223275E-3</v>
      </c>
    </row>
    <row r="3404" spans="7:11">
      <c r="G3404" s="20">
        <v>5.927138139772743</v>
      </c>
      <c r="H3404" s="20">
        <v>5.2591879148155786E-3</v>
      </c>
      <c r="I3404" s="2">
        <f ca="1"/>
        <v>3397</v>
      </c>
      <c r="J3404">
        <f ca="1"/>
        <v>5.927138139772743</v>
      </c>
      <c r="K3404">
        <f ca="1"/>
        <v>-8.4474008029542698E-3</v>
      </c>
    </row>
    <row r="3405" spans="7:11">
      <c r="G3405" s="20">
        <v>5.9288834690247381</v>
      </c>
      <c r="H3405" s="20">
        <v>5.2444708123257988E-3</v>
      </c>
      <c r="I3405" s="2">
        <f ca="1"/>
        <v>3398</v>
      </c>
      <c r="J3405">
        <f ca="1"/>
        <v>5.9288834690247381</v>
      </c>
      <c r="K3405">
        <f ca="1"/>
        <v>-8.4169906034763948E-3</v>
      </c>
    </row>
    <row r="3406" spans="7:11">
      <c r="G3406" s="20">
        <v>5.9306287982767305</v>
      </c>
      <c r="H3406" s="20">
        <v>5.2298070749875704E-3</v>
      </c>
      <c r="I3406" s="2">
        <f ca="1"/>
        <v>3399</v>
      </c>
      <c r="J3406">
        <f ca="1"/>
        <v>5.9306287982767305</v>
      </c>
      <c r="K3406">
        <f ca="1"/>
        <v>-8.3850514090377665E-3</v>
      </c>
    </row>
    <row r="3407" spans="7:11">
      <c r="G3407" s="20">
        <v>5.9323741275287265</v>
      </c>
      <c r="H3407" s="20">
        <v>5.2152014613184609E-3</v>
      </c>
      <c r="I3407" s="2">
        <f ca="1"/>
        <v>3400</v>
      </c>
      <c r="J3407">
        <f ca="1"/>
        <v>5.9323741275287265</v>
      </c>
      <c r="K3407">
        <f ca="1"/>
        <v>-8.3541981324702936E-3</v>
      </c>
    </row>
    <row r="3408" spans="7:11">
      <c r="G3408" s="20">
        <v>5.9341194567807207</v>
      </c>
      <c r="H3408" s="20">
        <v>5.2006454222324437E-3</v>
      </c>
      <c r="I3408" s="2">
        <f ca="1"/>
        <v>3401</v>
      </c>
      <c r="J3408">
        <f ca="1"/>
        <v>5.9341194567807207</v>
      </c>
      <c r="K3408">
        <f ca="1"/>
        <v>-8.3252366502073374E-3</v>
      </c>
    </row>
    <row r="3409" spans="7:11">
      <c r="G3409" s="20">
        <v>5.9358647860327149</v>
      </c>
      <c r="H3409" s="20">
        <v>5.1861409032076984E-3</v>
      </c>
      <c r="I3409" s="2">
        <f ca="1"/>
        <v>3402</v>
      </c>
      <c r="J3409">
        <f ca="1"/>
        <v>5.9358647860327149</v>
      </c>
      <c r="K3409">
        <f ca="1"/>
        <v>-8.2941041463389428E-3</v>
      </c>
    </row>
    <row r="3410" spans="7:11">
      <c r="G3410" s="20">
        <v>5.9376101152847101</v>
      </c>
      <c r="H3410" s="20">
        <v>5.1716935370610525E-3</v>
      </c>
      <c r="I3410" s="2">
        <f ca="1"/>
        <v>3403</v>
      </c>
      <c r="J3410">
        <f ca="1"/>
        <v>5.9376101152847101</v>
      </c>
      <c r="K3410">
        <f ca="1"/>
        <v>-8.2611516447814604E-3</v>
      </c>
    </row>
    <row r="3411" spans="7:11">
      <c r="G3411" s="20">
        <v>5.9393554445367034</v>
      </c>
      <c r="H3411" s="20">
        <v>5.1573040439661039E-3</v>
      </c>
      <c r="I3411" s="2">
        <f ca="1"/>
        <v>3404</v>
      </c>
      <c r="J3411">
        <f ca="1"/>
        <v>5.9393554445367034</v>
      </c>
      <c r="K3411">
        <f ca="1"/>
        <v>-8.228831675992504E-3</v>
      </c>
    </row>
    <row r="3412" spans="7:11">
      <c r="G3412" s="20">
        <v>5.9411007737886976</v>
      </c>
      <c r="H3412" s="20">
        <v>5.1429694957933671E-3</v>
      </c>
      <c r="I3412" s="2">
        <f ca="1"/>
        <v>3405</v>
      </c>
      <c r="J3412">
        <f ca="1"/>
        <v>5.9411007737886976</v>
      </c>
      <c r="K3412">
        <f ca="1"/>
        <v>-8.1979805250423227E-3</v>
      </c>
    </row>
    <row r="3413" spans="7:11">
      <c r="G3413" s="20">
        <v>5.9428461030406918</v>
      </c>
      <c r="H3413" s="20">
        <v>5.1286876935308333E-3</v>
      </c>
      <c r="I3413" s="2">
        <f ca="1"/>
        <v>3406</v>
      </c>
      <c r="J3413">
        <f ca="1"/>
        <v>5.9428461030406918</v>
      </c>
      <c r="K3413">
        <f ca="1"/>
        <v>-8.1663952171280065E-3</v>
      </c>
    </row>
    <row r="3414" spans="7:11">
      <c r="G3414" s="20">
        <v>5.9445914322926869</v>
      </c>
      <c r="H3414" s="20">
        <v>5.1144633988817615E-3</v>
      </c>
      <c r="I3414" s="2">
        <f ca="1"/>
        <v>3407</v>
      </c>
      <c r="J3414">
        <f ca="1"/>
        <v>5.9445914322926869</v>
      </c>
      <c r="K3414">
        <f ca="1"/>
        <v>-8.1328753514315916E-3</v>
      </c>
    </row>
    <row r="3415" spans="7:11">
      <c r="G3415" s="20">
        <v>5.9463367615446803</v>
      </c>
      <c r="H3415" s="20">
        <v>5.1002986030234806E-3</v>
      </c>
      <c r="I3415" s="2">
        <f ca="1"/>
        <v>3408</v>
      </c>
      <c r="J3415">
        <f ca="1"/>
        <v>5.9463367615446803</v>
      </c>
      <c r="K3415">
        <f ca="1"/>
        <v>-8.1000598233271458E-3</v>
      </c>
    </row>
    <row r="3416" spans="7:11">
      <c r="G3416" s="20">
        <v>5.9480820907966745</v>
      </c>
      <c r="H3416" s="20">
        <v>5.0861888561766566E-3</v>
      </c>
      <c r="I3416" s="2">
        <f ca="1"/>
        <v>3409</v>
      </c>
      <c r="J3416">
        <f ca="1"/>
        <v>5.9480820907966745</v>
      </c>
      <c r="K3416">
        <f ca="1"/>
        <v>-8.0680605814359672E-3</v>
      </c>
    </row>
    <row r="3417" spans="7:11">
      <c r="G3417" s="20">
        <v>5.9498274200486696</v>
      </c>
      <c r="H3417" s="20">
        <v>5.0721357587441901E-3</v>
      </c>
      <c r="I3417" s="2">
        <f ca="1"/>
        <v>3410</v>
      </c>
      <c r="J3417">
        <f ca="1"/>
        <v>5.9498274200486696</v>
      </c>
      <c r="K3417">
        <f ca="1"/>
        <v>-8.0343062380138896E-3</v>
      </c>
    </row>
    <row r="3418" spans="7:11">
      <c r="G3418" s="20">
        <v>5.9515727493006629</v>
      </c>
      <c r="H3418" s="20">
        <v>5.0581438367832861E-3</v>
      </c>
      <c r="I3418" s="2">
        <f ca="1"/>
        <v>3411</v>
      </c>
      <c r="J3418">
        <f ca="1"/>
        <v>5.9515727493006629</v>
      </c>
      <c r="K3418">
        <f ca="1"/>
        <v>-8.0014869494552873E-3</v>
      </c>
    </row>
    <row r="3419" spans="7:11">
      <c r="G3419" s="20">
        <v>5.9533180785526589</v>
      </c>
      <c r="H3419" s="20">
        <v>5.0442053002795143E-3</v>
      </c>
      <c r="I3419" s="2">
        <f ca="1"/>
        <v>3412</v>
      </c>
      <c r="J3419">
        <f ca="1"/>
        <v>5.9533180785526589</v>
      </c>
      <c r="K3419">
        <f ca="1"/>
        <v>-7.9703704853782698E-3</v>
      </c>
    </row>
    <row r="3420" spans="7:11">
      <c r="G3420" s="20">
        <v>5.9550634078046514</v>
      </c>
      <c r="H3420" s="20">
        <v>5.0303219952685619E-3</v>
      </c>
      <c r="I3420" s="2">
        <f ca="1"/>
        <v>3413</v>
      </c>
      <c r="J3420">
        <f ca="1"/>
        <v>5.9550634078046514</v>
      </c>
      <c r="K3420">
        <f ca="1"/>
        <v>-7.9373381656667307E-3</v>
      </c>
    </row>
    <row r="3421" spans="7:11">
      <c r="G3421" s="20">
        <v>5.9568087370566474</v>
      </c>
      <c r="H3421" s="20">
        <v>5.0164987633124977E-3</v>
      </c>
      <c r="I3421" s="2">
        <f ca="1"/>
        <v>3414</v>
      </c>
      <c r="J3421">
        <f ca="1"/>
        <v>5.9568087370566474</v>
      </c>
      <c r="K3421">
        <f ca="1"/>
        <v>-7.9027351806913778E-3</v>
      </c>
    </row>
    <row r="3422" spans="7:11">
      <c r="G3422" s="20">
        <v>5.9585540663086398</v>
      </c>
      <c r="H3422" s="20">
        <v>5.0027362455053129E-3</v>
      </c>
      <c r="I3422" s="2">
        <f ca="1"/>
        <v>3415</v>
      </c>
      <c r="J3422">
        <f ca="1"/>
        <v>5.9585540663086398</v>
      </c>
      <c r="K3422">
        <f ca="1"/>
        <v>-7.8686794575906684E-3</v>
      </c>
    </row>
    <row r="3423" spans="7:11">
      <c r="G3423" s="20">
        <v>5.9602993955606358</v>
      </c>
      <c r="H3423" s="20">
        <v>4.9890318904486997E-3</v>
      </c>
      <c r="I3423" s="2">
        <f ca="1"/>
        <v>3416</v>
      </c>
      <c r="J3423">
        <f ca="1"/>
        <v>5.9602993955606358</v>
      </c>
      <c r="K3423">
        <f ca="1"/>
        <v>-7.835206046887493E-3</v>
      </c>
    </row>
    <row r="3424" spans="7:11">
      <c r="G3424" s="20">
        <v>5.9620447248126283</v>
      </c>
      <c r="H3424" s="20">
        <v>4.9753862168872435E-3</v>
      </c>
      <c r="I3424" s="2">
        <f ca="1"/>
        <v>3417</v>
      </c>
      <c r="J3424">
        <f ca="1"/>
        <v>5.9620447248126283</v>
      </c>
      <c r="K3424">
        <f ca="1"/>
        <v>-7.8004705218886403E-3</v>
      </c>
    </row>
    <row r="3425" spans="7:11">
      <c r="G3425" s="20">
        <v>5.9637900540646243</v>
      </c>
      <c r="H3425" s="20">
        <v>4.961803111686358E-3</v>
      </c>
      <c r="I3425" s="2">
        <f ca="1"/>
        <v>3418</v>
      </c>
      <c r="J3425">
        <f ca="1"/>
        <v>5.9637900540646243</v>
      </c>
      <c r="K3425">
        <f ca="1"/>
        <v>-7.7665937363550199E-3</v>
      </c>
    </row>
    <row r="3426" spans="7:11">
      <c r="G3426" s="20">
        <v>5.9655353833166185</v>
      </c>
      <c r="H3426" s="20">
        <v>4.9482756904143986E-3</v>
      </c>
      <c r="I3426" s="2">
        <f ca="1"/>
        <v>3419</v>
      </c>
      <c r="J3426">
        <f ca="1"/>
        <v>5.9655353833166185</v>
      </c>
      <c r="K3426">
        <f ca="1"/>
        <v>-7.7342253494554879E-3</v>
      </c>
    </row>
    <row r="3427" spans="7:11">
      <c r="G3427" s="20">
        <v>5.9672807125686127</v>
      </c>
      <c r="H3427" s="20">
        <v>4.9348055721985182E-3</v>
      </c>
      <c r="I3427" s="2">
        <f ca="1"/>
        <v>3420</v>
      </c>
      <c r="J3427">
        <f ca="1"/>
        <v>5.9672807125686127</v>
      </c>
      <c r="K3427">
        <f ca="1"/>
        <v>-7.7000850350000564E-3</v>
      </c>
    </row>
    <row r="3428" spans="7:11">
      <c r="G3428" s="20">
        <v>5.9690260418206069</v>
      </c>
      <c r="H3428" s="20">
        <v>4.9213973231055416E-3</v>
      </c>
      <c r="I3428" s="2">
        <f ca="1"/>
        <v>3421</v>
      </c>
      <c r="J3428">
        <f ca="1"/>
        <v>5.9690260418206069</v>
      </c>
      <c r="K3428">
        <f ca="1"/>
        <v>-7.6644670982201207E-3</v>
      </c>
    </row>
    <row r="3429" spans="7:11">
      <c r="G3429" s="20">
        <v>5.9707713710726011</v>
      </c>
      <c r="H3429" s="20">
        <v>4.9080515349435765E-3</v>
      </c>
      <c r="I3429" s="2">
        <f ca="1"/>
        <v>3422</v>
      </c>
      <c r="J3429">
        <f ca="1"/>
        <v>5.9707713710726011</v>
      </c>
      <c r="K3429">
        <f ca="1"/>
        <v>-7.6293389676376326E-3</v>
      </c>
    </row>
    <row r="3430" spans="7:11">
      <c r="G3430" s="20">
        <v>5.9725167003245954</v>
      </c>
      <c r="H3430" s="20">
        <v>4.8947659061583468E-3</v>
      </c>
      <c r="I3430" s="2">
        <f ca="1"/>
        <v>3423</v>
      </c>
      <c r="J3430">
        <f ca="1"/>
        <v>5.9725167003245954</v>
      </c>
      <c r="K3430">
        <f ca="1"/>
        <v>-7.5947378587865044E-3</v>
      </c>
    </row>
    <row r="3431" spans="7:11">
      <c r="G3431" s="20">
        <v>5.9742620295765896</v>
      </c>
      <c r="H3431" s="20">
        <v>4.8815408986512404E-3</v>
      </c>
      <c r="I3431" s="2">
        <f ca="1"/>
        <v>3424</v>
      </c>
      <c r="J3431">
        <f ca="1"/>
        <v>5.9742620295765896</v>
      </c>
      <c r="K3431">
        <f ca="1"/>
        <v>-7.5589893237630193E-3</v>
      </c>
    </row>
    <row r="3432" spans="7:11">
      <c r="G3432" s="20">
        <v>5.9760073588285856</v>
      </c>
      <c r="H3432" s="20">
        <v>4.8683800557937822E-3</v>
      </c>
      <c r="I3432" s="2">
        <f ca="1"/>
        <v>3425</v>
      </c>
      <c r="J3432">
        <f ca="1"/>
        <v>5.9760073588285856</v>
      </c>
      <c r="K3432">
        <f ca="1"/>
        <v>-7.524016414113298E-3</v>
      </c>
    </row>
    <row r="3433" spans="7:11">
      <c r="G3433" s="20">
        <v>5.977752688080578</v>
      </c>
      <c r="H3433" s="20">
        <v>4.8552771267711672E-3</v>
      </c>
      <c r="I3433" s="2">
        <f ca="1"/>
        <v>3426</v>
      </c>
      <c r="J3433">
        <f ca="1"/>
        <v>5.977752688080578</v>
      </c>
      <c r="K3433">
        <f ca="1"/>
        <v>-7.4904093045553366E-3</v>
      </c>
    </row>
    <row r="3434" spans="7:11">
      <c r="G3434" s="20">
        <v>5.9794980173325722</v>
      </c>
      <c r="H3434" s="20">
        <v>4.8422335948564953E-3</v>
      </c>
      <c r="I3434" s="2">
        <f ca="1"/>
        <v>3427</v>
      </c>
      <c r="J3434">
        <f ca="1"/>
        <v>5.9794980173325722</v>
      </c>
      <c r="K3434">
        <f ca="1"/>
        <v>-7.455180354065818E-3</v>
      </c>
    </row>
    <row r="3435" spans="7:11">
      <c r="G3435" s="20">
        <v>5.9812433465845682</v>
      </c>
      <c r="H3435" s="20">
        <v>4.8292536380694666E-3</v>
      </c>
      <c r="I3435" s="2">
        <f ca="1"/>
        <v>3428</v>
      </c>
      <c r="J3435">
        <f ca="1"/>
        <v>5.9812433465845682</v>
      </c>
      <c r="K3435">
        <f ca="1"/>
        <v>-7.418597705549158E-3</v>
      </c>
    </row>
    <row r="3436" spans="7:11">
      <c r="G3436" s="20">
        <v>5.9829886758365625</v>
      </c>
      <c r="H3436" s="20">
        <v>4.8163378036879378E-3</v>
      </c>
      <c r="I3436" s="2">
        <f ca="1"/>
        <v>3429</v>
      </c>
      <c r="J3436">
        <f ca="1"/>
        <v>5.9829886758365625</v>
      </c>
      <c r="K3436">
        <f ca="1"/>
        <v>-7.382453559532251E-3</v>
      </c>
    </row>
    <row r="3437" spans="7:11">
      <c r="G3437" s="20">
        <v>5.9847340050885549</v>
      </c>
      <c r="H3437" s="20">
        <v>4.8034840137715987E-3</v>
      </c>
      <c r="I3437" s="2">
        <f ca="1"/>
        <v>3430</v>
      </c>
      <c r="J3437">
        <f ca="1"/>
        <v>5.9847340050885549</v>
      </c>
      <c r="K3437">
        <f ca="1"/>
        <v>-7.3467811774097129E-3</v>
      </c>
    </row>
    <row r="3438" spans="7:11">
      <c r="G3438" s="20">
        <v>5.9864793343405509</v>
      </c>
      <c r="H3438" s="20">
        <v>4.7906926994940703E-3</v>
      </c>
      <c r="I3438" s="2">
        <f ca="1"/>
        <v>3431</v>
      </c>
      <c r="J3438">
        <f ca="1"/>
        <v>5.9864793343405509</v>
      </c>
      <c r="K3438">
        <f ca="1"/>
        <v>-7.3100605968600329E-3</v>
      </c>
    </row>
    <row r="3439" spans="7:11">
      <c r="G3439" s="20">
        <v>5.9882246635925451</v>
      </c>
      <c r="H3439" s="20">
        <v>4.7779670885844854E-3</v>
      </c>
      <c r="I3439" s="2">
        <f ca="1"/>
        <v>3432</v>
      </c>
      <c r="J3439">
        <f ca="1"/>
        <v>5.9882246635925451</v>
      </c>
      <c r="K3439">
        <f ca="1"/>
        <v>-7.2740364406981804E-3</v>
      </c>
    </row>
    <row r="3440" spans="7:11">
      <c r="G3440" s="20">
        <v>5.9899699928445393</v>
      </c>
      <c r="H3440" s="20">
        <v>4.7653015223340254E-3</v>
      </c>
      <c r="I3440" s="2">
        <f ca="1"/>
        <v>3433</v>
      </c>
      <c r="J3440">
        <f ca="1"/>
        <v>5.9899699928445393</v>
      </c>
      <c r="K3440">
        <f ca="1"/>
        <v>-7.23924332706958E-3</v>
      </c>
    </row>
    <row r="3441" spans="7:11">
      <c r="G3441" s="20">
        <v>5.9917153220965327</v>
      </c>
      <c r="H3441" s="20">
        <v>4.7526973623024148E-3</v>
      </c>
      <c r="I3441" s="2">
        <f ca="1"/>
        <v>3434</v>
      </c>
      <c r="J3441">
        <f ca="1"/>
        <v>5.9917153220965327</v>
      </c>
      <c r="K3441">
        <f ca="1"/>
        <v>-7.2029713764770967E-3</v>
      </c>
    </row>
    <row r="3442" spans="7:11">
      <c r="G3442" s="20">
        <v>5.9934606513485278</v>
      </c>
      <c r="H3442" s="20">
        <v>4.7401584090447403E-3</v>
      </c>
      <c r="I3442" s="2">
        <f ca="1"/>
        <v>3435</v>
      </c>
      <c r="J3442">
        <f ca="1"/>
        <v>5.9934606513485278</v>
      </c>
      <c r="K3442">
        <f ca="1"/>
        <v>-7.1654669274274886E-3</v>
      </c>
    </row>
    <row r="3443" spans="7:11">
      <c r="G3443" s="20">
        <v>5.995205980600522</v>
      </c>
      <c r="H3443" s="20">
        <v>4.7276851642371357E-3</v>
      </c>
      <c r="I3443" s="2">
        <f ca="1"/>
        <v>3436</v>
      </c>
      <c r="J3443">
        <f ca="1"/>
        <v>5.995205980600522</v>
      </c>
      <c r="K3443">
        <f ca="1"/>
        <v>-7.1283520670629395E-3</v>
      </c>
    </row>
    <row r="3444" spans="7:11">
      <c r="G3444" s="20">
        <v>5.9969513098525162</v>
      </c>
      <c r="H3444" s="20">
        <v>4.7152757662824235E-3</v>
      </c>
      <c r="I3444" s="2">
        <f ca="1"/>
        <v>3437</v>
      </c>
      <c r="J3444">
        <f ca="1"/>
        <v>5.9969513098525162</v>
      </c>
      <c r="K3444">
        <f ca="1"/>
        <v>-7.0921719382058329E-3</v>
      </c>
    </row>
    <row r="3445" spans="7:11">
      <c r="G3445" s="20">
        <v>5.9986966391045105</v>
      </c>
      <c r="H3445" s="20">
        <v>4.7029288139492894E-3</v>
      </c>
      <c r="I3445" s="2">
        <f ca="1"/>
        <v>3438</v>
      </c>
      <c r="J3445">
        <f ca="1"/>
        <v>5.9986966391045105</v>
      </c>
      <c r="K3445">
        <f ca="1"/>
        <v>-7.0554842480933938E-3</v>
      </c>
    </row>
    <row r="3446" spans="7:11">
      <c r="G3446" s="20">
        <v>6.0004419683565047</v>
      </c>
      <c r="H3446" s="20">
        <v>4.6906474801920598E-3</v>
      </c>
      <c r="I3446" s="2">
        <f ca="1"/>
        <v>3439</v>
      </c>
      <c r="J3446">
        <f ca="1"/>
        <v>6.0004419683565047</v>
      </c>
      <c r="K3446">
        <f ca="1"/>
        <v>-7.0175045028507089E-3</v>
      </c>
    </row>
    <row r="3447" spans="7:11">
      <c r="G3447" s="20">
        <v>6.0021872976084989</v>
      </c>
      <c r="H3447" s="20">
        <v>4.6784331021796364E-3</v>
      </c>
      <c r="I3447" s="2">
        <f ca="1"/>
        <v>3440</v>
      </c>
      <c r="J3447">
        <f ca="1"/>
        <v>6.0021872976084989</v>
      </c>
      <c r="K3447">
        <f ca="1"/>
        <v>-6.9799558590205868E-3</v>
      </c>
    </row>
    <row r="3448" spans="7:11">
      <c r="G3448" s="20">
        <v>6.0039326268604931</v>
      </c>
      <c r="H3448" s="20">
        <v>4.6662828379153056E-3</v>
      </c>
      <c r="I3448" s="2">
        <f ca="1"/>
        <v>3441</v>
      </c>
      <c r="J3448">
        <f ca="1"/>
        <v>6.0039326268604931</v>
      </c>
      <c r="K3448">
        <f ca="1"/>
        <v>-6.9429090955497362E-3</v>
      </c>
    </row>
    <row r="3449" spans="7:11">
      <c r="G3449" s="20">
        <v>6.0056779561124873</v>
      </c>
      <c r="H3449" s="20">
        <v>4.654197777502837E-3</v>
      </c>
      <c r="I3449" s="2">
        <f ca="1"/>
        <v>3442</v>
      </c>
      <c r="J3449">
        <f ca="1"/>
        <v>6.0056779561124873</v>
      </c>
      <c r="K3449">
        <f ca="1"/>
        <v>-6.9047006125674253E-3</v>
      </c>
    </row>
    <row r="3450" spans="7:11">
      <c r="G3450" s="20">
        <v>6.0074232853644833</v>
      </c>
      <c r="H3450" s="20">
        <v>4.6421808860045407E-3</v>
      </c>
      <c r="I3450" s="2">
        <f ca="1"/>
        <v>3443</v>
      </c>
      <c r="J3450">
        <f ca="1"/>
        <v>6.0074232853644833</v>
      </c>
      <c r="K3450">
        <f ca="1"/>
        <v>-6.867065640778886E-3</v>
      </c>
    </row>
    <row r="3451" spans="7:11">
      <c r="G3451" s="20">
        <v>6.0091686146164758</v>
      </c>
      <c r="H3451" s="20">
        <v>4.6302271964264053E-3</v>
      </c>
      <c r="I3451" s="2">
        <f ca="1"/>
        <v>3444</v>
      </c>
      <c r="J3451">
        <f ca="1"/>
        <v>6.0091686146164758</v>
      </c>
      <c r="K3451">
        <f ca="1"/>
        <v>-6.830495324124994E-3</v>
      </c>
    </row>
    <row r="3452" spans="7:11">
      <c r="G3452" s="20">
        <v>6.01091394386847</v>
      </c>
      <c r="H3452" s="20">
        <v>4.6183379594149426E-3</v>
      </c>
      <c r="I3452" s="2">
        <f ca="1"/>
        <v>3445</v>
      </c>
      <c r="J3452">
        <f ca="1"/>
        <v>6.01091394386847</v>
      </c>
      <c r="K3452">
        <f ca="1"/>
        <v>-6.7926642095804254E-3</v>
      </c>
    </row>
    <row r="3453" spans="7:11">
      <c r="G3453" s="20">
        <v>6.0126592731204642</v>
      </c>
      <c r="H3453" s="20">
        <v>4.6065163253384955E-3</v>
      </c>
      <c r="I3453" s="2">
        <f ca="1"/>
        <v>3446</v>
      </c>
      <c r="J3453">
        <f ca="1"/>
        <v>6.0126592731204642</v>
      </c>
      <c r="K3453">
        <f ca="1"/>
        <v>-6.7538068864889398E-3</v>
      </c>
    </row>
    <row r="3454" spans="7:11">
      <c r="G3454" s="20">
        <v>6.0144046023724602</v>
      </c>
      <c r="H3454" s="20">
        <v>4.5947627259723123E-3</v>
      </c>
      <c r="I3454" s="2">
        <f ca="1"/>
        <v>3447</v>
      </c>
      <c r="J3454">
        <f ca="1"/>
        <v>6.0144046023724602</v>
      </c>
      <c r="K3454">
        <f ca="1"/>
        <v>-6.7152697502737644E-3</v>
      </c>
    </row>
    <row r="3455" spans="7:11">
      <c r="G3455" s="20">
        <v>6.0161499316244536</v>
      </c>
      <c r="H3455" s="20">
        <v>4.58307561187812E-3</v>
      </c>
      <c r="I3455" s="2">
        <f ca="1"/>
        <v>3448</v>
      </c>
      <c r="J3455">
        <f ca="1"/>
        <v>6.0161499316244536</v>
      </c>
      <c r="K3455">
        <f ca="1"/>
        <v>-6.6770712306080558E-3</v>
      </c>
    </row>
    <row r="3456" spans="7:11">
      <c r="G3456" s="20">
        <v>6.0178952608764478</v>
      </c>
      <c r="H3456" s="20">
        <v>4.5714553504994596E-3</v>
      </c>
      <c r="I3456" s="2">
        <f ca="1"/>
        <v>3449</v>
      </c>
      <c r="J3456">
        <f ca="1"/>
        <v>6.0178952608764478</v>
      </c>
      <c r="K3456">
        <f ca="1"/>
        <v>-6.6380565544009902E-3</v>
      </c>
    </row>
    <row r="3457" spans="7:11">
      <c r="G3457" s="20">
        <v>6.0196405901284429</v>
      </c>
      <c r="H3457" s="20">
        <v>4.5599044233165381E-3</v>
      </c>
      <c r="I3457" s="2">
        <f ca="1"/>
        <v>3450</v>
      </c>
      <c r="J3457">
        <f ca="1"/>
        <v>6.0196405901284429</v>
      </c>
      <c r="K3457">
        <f ca="1"/>
        <v>-6.5995521247857796E-3</v>
      </c>
    </row>
    <row r="3458" spans="7:11">
      <c r="G3458" s="20">
        <v>6.0213859193804371</v>
      </c>
      <c r="H3458" s="20">
        <v>4.5484185677525553E-3</v>
      </c>
      <c r="I3458" s="2">
        <f ca="1"/>
        <v>3451</v>
      </c>
      <c r="J3458">
        <f ca="1"/>
        <v>6.0213859193804371</v>
      </c>
      <c r="K3458">
        <f ca="1"/>
        <v>-6.5619610539662324E-3</v>
      </c>
    </row>
    <row r="3459" spans="7:11">
      <c r="G3459" s="20">
        <v>6.0231312486324304</v>
      </c>
      <c r="H3459" s="20">
        <v>4.5369988581606758E-3</v>
      </c>
      <c r="I3459" s="2">
        <f ca="1"/>
        <v>3452</v>
      </c>
      <c r="J3459">
        <f ca="1"/>
        <v>6.0231312486324304</v>
      </c>
      <c r="K3459">
        <f ca="1"/>
        <v>-6.5232326532451796E-3</v>
      </c>
    </row>
    <row r="3460" spans="7:11">
      <c r="G3460" s="20">
        <v>6.0248765778844255</v>
      </c>
      <c r="H3460" s="20">
        <v>4.5256481902180099E-3</v>
      </c>
      <c r="I3460" s="2">
        <f ca="1"/>
        <v>3453</v>
      </c>
      <c r="J3460">
        <f ca="1"/>
        <v>6.0248765778844255</v>
      </c>
      <c r="K3460">
        <f ca="1"/>
        <v>-6.4835631966908697E-3</v>
      </c>
    </row>
    <row r="3461" spans="7:11">
      <c r="G3461" s="20">
        <v>6.0266219071364198</v>
      </c>
      <c r="H3461" s="20">
        <v>4.5143669531519945E-3</v>
      </c>
      <c r="I3461" s="2">
        <f ca="1"/>
        <v>3454</v>
      </c>
      <c r="J3461">
        <f ca="1"/>
        <v>6.0266219071364198</v>
      </c>
      <c r="K3461">
        <f ca="1"/>
        <v>-6.4441691577404809E-3</v>
      </c>
    </row>
    <row r="3462" spans="7:11">
      <c r="G3462" s="20">
        <v>6.028367236388414</v>
      </c>
      <c r="H3462" s="20">
        <v>4.5031537963464031E-3</v>
      </c>
      <c r="I3462" s="2">
        <f ca="1"/>
        <v>3455</v>
      </c>
      <c r="J3462">
        <f ca="1"/>
        <v>6.028367236388414</v>
      </c>
      <c r="K3462">
        <f ca="1"/>
        <v>-6.405069803184716E-3</v>
      </c>
    </row>
    <row r="3463" spans="7:11">
      <c r="G3463" s="20">
        <v>6.0301125656404082</v>
      </c>
      <c r="H3463" s="20">
        <v>4.4920090417748682E-3</v>
      </c>
      <c r="I3463" s="2">
        <f ca="1"/>
        <v>3456</v>
      </c>
      <c r="J3463">
        <f ca="1"/>
        <v>6.0301125656404082</v>
      </c>
      <c r="K3463">
        <f ca="1"/>
        <v>-6.3652482295912909E-3</v>
      </c>
    </row>
    <row r="3464" spans="7:11">
      <c r="G3464" s="20">
        <v>6.0318578948924024</v>
      </c>
      <c r="H3464" s="20">
        <v>4.4809348884837829E-3</v>
      </c>
      <c r="I3464" s="2">
        <f ca="1"/>
        <v>3457</v>
      </c>
      <c r="J3464">
        <f ca="1"/>
        <v>6.0318578948924024</v>
      </c>
      <c r="K3464">
        <f ca="1"/>
        <v>-6.3258709821955566E-3</v>
      </c>
    </row>
    <row r="3465" spans="7:11">
      <c r="G3465" s="20">
        <v>6.0336032241443966</v>
      </c>
      <c r="H3465" s="20">
        <v>4.4699275864357336E-3</v>
      </c>
      <c r="I3465" s="2">
        <f ca="1"/>
        <v>3458</v>
      </c>
      <c r="J3465">
        <f ca="1"/>
        <v>6.0336032241443966</v>
      </c>
      <c r="K3465">
        <f ca="1"/>
        <v>-6.2872928437286276E-3</v>
      </c>
    </row>
    <row r="3466" spans="7:11">
      <c r="G3466" s="20">
        <v>6.03534855339639</v>
      </c>
      <c r="H3466" s="20">
        <v>4.4589880962517614E-3</v>
      </c>
      <c r="I3466" s="2">
        <f ca="1"/>
        <v>3459</v>
      </c>
      <c r="J3466">
        <f ca="1"/>
        <v>6.03534855339639</v>
      </c>
      <c r="K3466">
        <f ca="1"/>
        <v>-6.2477020826079543E-3</v>
      </c>
    </row>
    <row r="3467" spans="7:11">
      <c r="G3467" s="20">
        <v>6.0370938826483869</v>
      </c>
      <c r="H3467" s="20">
        <v>4.4481189920306807E-3</v>
      </c>
      <c r="I3467" s="2">
        <f ca="1"/>
        <v>3460</v>
      </c>
      <c r="J3467">
        <f ca="1"/>
        <v>6.0370938826483869</v>
      </c>
      <c r="K3467">
        <f ca="1"/>
        <v>-6.2072735115541421E-3</v>
      </c>
    </row>
    <row r="3468" spans="7:11">
      <c r="G3468" s="20">
        <v>6.0388392119003802</v>
      </c>
      <c r="H3468" s="20">
        <v>4.4373206241820617E-3</v>
      </c>
      <c r="I3468" s="2">
        <f ca="1"/>
        <v>3461</v>
      </c>
      <c r="J3468">
        <f ca="1"/>
        <v>6.0388392119003802</v>
      </c>
      <c r="K3468">
        <f ca="1"/>
        <v>-6.1670806870313842E-3</v>
      </c>
    </row>
    <row r="3469" spans="7:11">
      <c r="G3469" s="20">
        <v>6.0405845411523753</v>
      </c>
      <c r="H3469" s="20">
        <v>4.4265918193857117E-3</v>
      </c>
      <c r="I3469" s="2">
        <f ca="1"/>
        <v>3462</v>
      </c>
      <c r="J3469">
        <f ca="1"/>
        <v>6.0405845411523753</v>
      </c>
      <c r="K3469">
        <f ca="1"/>
        <v>-6.1274779764955174E-3</v>
      </c>
    </row>
    <row r="3470" spans="7:11">
      <c r="G3470" s="20">
        <v>6.0423298704043686</v>
      </c>
      <c r="H3470" s="20">
        <v>4.4159316910754058E-3</v>
      </c>
      <c r="I3470" s="2">
        <f ca="1"/>
        <v>3463</v>
      </c>
      <c r="J3470">
        <f ca="1"/>
        <v>6.0423298704043686</v>
      </c>
      <c r="K3470">
        <f ca="1"/>
        <v>-6.0875227894006383E-3</v>
      </c>
    </row>
    <row r="3471" spans="7:11">
      <c r="G3471" s="20">
        <v>6.0440751996563638</v>
      </c>
      <c r="H3471" s="20">
        <v>4.405342356192667E-3</v>
      </c>
      <c r="I3471" s="2">
        <f ca="1"/>
        <v>3464</v>
      </c>
      <c r="J3471">
        <f ca="1"/>
        <v>6.0440751996563638</v>
      </c>
      <c r="K3471">
        <f ca="1"/>
        <v>-6.0467035217149452E-3</v>
      </c>
    </row>
    <row r="3472" spans="7:11">
      <c r="G3472" s="20">
        <v>6.0458205289083571</v>
      </c>
      <c r="H3472" s="20">
        <v>4.3948247140062346E-3</v>
      </c>
      <c r="I3472" s="2">
        <f ca="1"/>
        <v>3465</v>
      </c>
      <c r="J3472">
        <f ca="1"/>
        <v>6.0458205289083571</v>
      </c>
      <c r="K3472">
        <f ca="1"/>
        <v>-6.0061430031841815E-3</v>
      </c>
    </row>
    <row r="3473" spans="7:11">
      <c r="G3473" s="20">
        <v>6.0475658581603513</v>
      </c>
      <c r="H3473" s="20">
        <v>4.3843769620424368E-3</v>
      </c>
      <c r="I3473" s="2">
        <f ca="1"/>
        <v>3466</v>
      </c>
      <c r="J3473">
        <f ca="1"/>
        <v>6.0475658581603513</v>
      </c>
      <c r="K3473">
        <f ca="1"/>
        <v>-5.9658854893212768E-3</v>
      </c>
    </row>
    <row r="3474" spans="7:11">
      <c r="G3474" s="20">
        <v>6.0493111874123455</v>
      </c>
      <c r="H3474" s="20">
        <v>4.3739998450891141E-3</v>
      </c>
      <c r="I3474" s="2">
        <f ca="1"/>
        <v>3467</v>
      </c>
      <c r="J3474">
        <f ca="1"/>
        <v>6.0493111874123455</v>
      </c>
      <c r="K3474">
        <f ca="1"/>
        <v>-5.9248594540776299E-3</v>
      </c>
    </row>
    <row r="3475" spans="7:11">
      <c r="G3475" s="20">
        <v>6.0510565166643406</v>
      </c>
      <c r="H3475" s="20">
        <v>4.3636953010041191E-3</v>
      </c>
      <c r="I3475" s="2">
        <f ca="1"/>
        <v>3468</v>
      </c>
      <c r="J3475">
        <f ca="1"/>
        <v>6.0510565166643406</v>
      </c>
      <c r="K3475">
        <f ca="1"/>
        <v>-5.8841786453151463E-3</v>
      </c>
    </row>
    <row r="3476" spans="7:11">
      <c r="G3476" s="20">
        <v>6.0528018459163349</v>
      </c>
      <c r="H3476" s="20">
        <v>4.3534601868618523E-3</v>
      </c>
      <c r="I3476" s="2">
        <f ca="1"/>
        <v>3469</v>
      </c>
      <c r="J3476">
        <f ca="1"/>
        <v>6.0528018459163349</v>
      </c>
      <c r="K3476">
        <f ca="1"/>
        <v>-5.8441550166321334E-3</v>
      </c>
    </row>
    <row r="3477" spans="7:11">
      <c r="G3477" s="20">
        <v>6.0545471751683282</v>
      </c>
      <c r="H3477" s="20">
        <v>4.3432953515966906E-3</v>
      </c>
      <c r="I3477" s="2">
        <f ca="1"/>
        <v>3470</v>
      </c>
      <c r="J3477">
        <f ca="1"/>
        <v>6.0545471751683282</v>
      </c>
      <c r="K3477">
        <f ca="1"/>
        <v>-5.8033032097699055E-3</v>
      </c>
    </row>
    <row r="3478" spans="7:11">
      <c r="G3478" s="20">
        <v>6.0562925044203233</v>
      </c>
      <c r="H3478" s="20">
        <v>4.3332028371614456E-3</v>
      </c>
      <c r="I3478" s="2">
        <f ca="1"/>
        <v>3471</v>
      </c>
      <c r="J3478">
        <f ca="1"/>
        <v>6.0562925044203233</v>
      </c>
      <c r="K3478">
        <f ca="1"/>
        <v>-5.7617834191128715E-3</v>
      </c>
    </row>
    <row r="3479" spans="7:11">
      <c r="G3479" s="20">
        <v>6.0580378336723175</v>
      </c>
      <c r="H3479" s="20">
        <v>4.3231829333066196E-3</v>
      </c>
      <c r="I3479" s="2">
        <f ca="1"/>
        <v>3472</v>
      </c>
      <c r="J3479">
        <f ca="1"/>
        <v>6.0580378336723175</v>
      </c>
      <c r="K3479">
        <f ca="1"/>
        <v>-5.7204440416444638E-3</v>
      </c>
    </row>
    <row r="3480" spans="7:11">
      <c r="G3480" s="20">
        <v>6.0597831629243126</v>
      </c>
      <c r="H3480" s="20">
        <v>4.3132347205208843E-3</v>
      </c>
      <c r="I3480" s="2">
        <f ca="1"/>
        <v>3473</v>
      </c>
      <c r="J3480">
        <f ca="1"/>
        <v>6.0597831629243126</v>
      </c>
      <c r="K3480">
        <f ca="1"/>
        <v>-5.6792935535709081E-3</v>
      </c>
    </row>
    <row r="3481" spans="7:11">
      <c r="G3481" s="20">
        <v>6.0615284921763051</v>
      </c>
      <c r="H3481" s="20">
        <v>4.3033584589672056E-3</v>
      </c>
      <c r="I3481" s="2">
        <f ca="1"/>
        <v>3474</v>
      </c>
      <c r="J3481">
        <f ca="1"/>
        <v>6.0615284921763051</v>
      </c>
      <c r="K3481">
        <f ca="1"/>
        <v>-5.6376188292268327E-3</v>
      </c>
    </row>
    <row r="3482" spans="7:11">
      <c r="G3482" s="20">
        <v>6.0632738214283011</v>
      </c>
      <c r="H3482" s="20">
        <v>4.2935557184123983E-3</v>
      </c>
      <c r="I3482" s="2">
        <f ca="1"/>
        <v>3475</v>
      </c>
      <c r="J3482">
        <f ca="1"/>
        <v>6.0632738214283011</v>
      </c>
      <c r="K3482">
        <f ca="1"/>
        <v>-5.5962382853664465E-3</v>
      </c>
    </row>
    <row r="3483" spans="7:11">
      <c r="G3483" s="20">
        <v>6.0650191506802953</v>
      </c>
      <c r="H3483" s="20">
        <v>4.2838239022060355E-3</v>
      </c>
      <c r="I3483" s="2">
        <f ca="1"/>
        <v>3476</v>
      </c>
      <c r="J3483">
        <f ca="1"/>
        <v>6.0650191506802953</v>
      </c>
      <c r="K3483">
        <f ca="1"/>
        <v>-5.5553978731252406E-3</v>
      </c>
    </row>
    <row r="3484" spans="7:11">
      <c r="G3484" s="20">
        <v>6.0667644799322895</v>
      </c>
      <c r="H3484" s="20">
        <v>4.2741637215835343E-3</v>
      </c>
      <c r="I3484" s="2">
        <f ca="1"/>
        <v>3477</v>
      </c>
      <c r="J3484">
        <f ca="1"/>
        <v>6.0667644799322895</v>
      </c>
      <c r="K3484">
        <f ca="1"/>
        <v>-5.5138333230455383E-3</v>
      </c>
    </row>
    <row r="3485" spans="7:11">
      <c r="G3485" s="20">
        <v>6.0685098091842846</v>
      </c>
      <c r="H3485" s="20">
        <v>4.2645769930273669E-3</v>
      </c>
      <c r="I3485" s="2">
        <f ca="1"/>
        <v>3478</v>
      </c>
      <c r="J3485">
        <f ca="1"/>
        <v>6.0685098091842846</v>
      </c>
      <c r="K3485">
        <f ca="1"/>
        <v>-5.4716758078610442E-3</v>
      </c>
    </row>
    <row r="3486" spans="7:11">
      <c r="G3486" s="20">
        <v>6.070255138436278</v>
      </c>
      <c r="H3486" s="20">
        <v>4.2550639698937564E-3</v>
      </c>
      <c r="I3486" s="2">
        <f ca="1"/>
        <v>3479</v>
      </c>
      <c r="J3486">
        <f ca="1"/>
        <v>6.070255138436278</v>
      </c>
      <c r="K3486">
        <f ca="1"/>
        <v>-5.4296644021805032E-3</v>
      </c>
    </row>
    <row r="3487" spans="7:11">
      <c r="G3487" s="20">
        <v>6.0720004676882722</v>
      </c>
      <c r="H3487" s="20">
        <v>4.245623888808097E-3</v>
      </c>
      <c r="I3487" s="2">
        <f ca="1"/>
        <v>3480</v>
      </c>
      <c r="J3487">
        <f ca="1"/>
        <v>6.0720004676882722</v>
      </c>
      <c r="K3487">
        <f ca="1"/>
        <v>-5.3878078185716416E-3</v>
      </c>
    </row>
    <row r="3488" spans="7:11">
      <c r="G3488" s="20">
        <v>6.0737457969402664</v>
      </c>
      <c r="H3488" s="20">
        <v>4.2362569727140038E-3</v>
      </c>
      <c r="I3488" s="2">
        <f ca="1"/>
        <v>3481</v>
      </c>
      <c r="J3488">
        <f ca="1"/>
        <v>6.0737457969402664</v>
      </c>
      <c r="K3488">
        <f ca="1"/>
        <v>-5.3455034306312734E-3</v>
      </c>
    </row>
    <row r="3489" spans="7:11">
      <c r="G3489" s="20">
        <v>6.0754911261922615</v>
      </c>
      <c r="H3489" s="20">
        <v>4.2269645617998598E-3</v>
      </c>
      <c r="I3489" s="2">
        <f ca="1"/>
        <v>3482</v>
      </c>
      <c r="J3489">
        <f ca="1"/>
        <v>6.0754911261922615</v>
      </c>
      <c r="K3489">
        <f ca="1"/>
        <v>-5.3034420113965098E-3</v>
      </c>
    </row>
    <row r="3490" spans="7:11">
      <c r="G3490" s="20">
        <v>6.0772364554442548</v>
      </c>
      <c r="H3490" s="20">
        <v>4.217744467756513E-3</v>
      </c>
      <c r="I3490" s="2">
        <f ca="1"/>
        <v>3483</v>
      </c>
      <c r="J3490">
        <f ca="1"/>
        <v>6.0772364554442548</v>
      </c>
      <c r="K3490">
        <f ca="1"/>
        <v>-5.2618308208452168E-3</v>
      </c>
    </row>
    <row r="3491" spans="7:11">
      <c r="G3491" s="20">
        <v>6.0789817846962491</v>
      </c>
      <c r="H3491" s="20">
        <v>4.2085973072985327E-3</v>
      </c>
      <c r="I3491" s="2">
        <f ca="1"/>
        <v>3484</v>
      </c>
      <c r="J3491">
        <f ca="1"/>
        <v>6.0789817846962491</v>
      </c>
      <c r="K3491">
        <f ca="1"/>
        <v>-5.2195977272516845E-3</v>
      </c>
    </row>
    <row r="3492" spans="7:11">
      <c r="G3492" s="20">
        <v>6.0807271139482442</v>
      </c>
      <c r="H3492" s="20">
        <v>4.1995246345624786E-3</v>
      </c>
      <c r="I3492" s="2">
        <f ca="1"/>
        <v>3485</v>
      </c>
      <c r="J3492">
        <f ca="1"/>
        <v>6.0807271139482442</v>
      </c>
      <c r="K3492">
        <f ca="1"/>
        <v>-5.1768563715239814E-3</v>
      </c>
    </row>
    <row r="3493" spans="7:11">
      <c r="G3493" s="20">
        <v>6.0824724432002393</v>
      </c>
      <c r="H3493" s="20">
        <v>4.1905266695813365E-3</v>
      </c>
      <c r="I3493" s="2">
        <f ca="1"/>
        <v>3486</v>
      </c>
      <c r="J3493">
        <f ca="1"/>
        <v>6.0824724432002393</v>
      </c>
      <c r="K3493">
        <f ca="1"/>
        <v>-5.134231317418237E-3</v>
      </c>
    </row>
    <row r="3494" spans="7:11">
      <c r="G3494" s="20">
        <v>6.0842177724522335</v>
      </c>
      <c r="H3494" s="20">
        <v>4.1816027863528843E-3</v>
      </c>
      <c r="I3494" s="2">
        <f ca="1"/>
        <v>3487</v>
      </c>
      <c r="J3494">
        <f ca="1"/>
        <v>6.0842177724522335</v>
      </c>
      <c r="K3494">
        <f ca="1"/>
        <v>-5.0919224369572356E-3</v>
      </c>
    </row>
    <row r="3495" spans="7:11">
      <c r="G3495" s="20">
        <v>6.0859631017042277</v>
      </c>
      <c r="H3495" s="20">
        <v>4.1727525072251222E-3</v>
      </c>
      <c r="I3495" s="2">
        <f ca="1"/>
        <v>3488</v>
      </c>
      <c r="J3495">
        <f ca="1"/>
        <v>6.0859631017042277</v>
      </c>
      <c r="K3495">
        <f ca="1"/>
        <v>-5.0493933573365415E-3</v>
      </c>
    </row>
    <row r="3496" spans="7:11">
      <c r="G3496" s="20">
        <v>6.0877084309562219</v>
      </c>
      <c r="H3496" s="20">
        <v>4.1639770784901147E-3</v>
      </c>
      <c r="I3496" s="2">
        <f ca="1"/>
        <v>3489</v>
      </c>
      <c r="J3496">
        <f ca="1"/>
        <v>6.0877084309562219</v>
      </c>
      <c r="K3496">
        <f ca="1"/>
        <v>-5.0063540311249682E-3</v>
      </c>
    </row>
    <row r="3497" spans="7:11">
      <c r="G3497" s="20">
        <v>6.0894537602082144</v>
      </c>
      <c r="H3497" s="20">
        <v>4.1552770349524079E-3</v>
      </c>
      <c r="I3497" s="2">
        <f ca="1"/>
        <v>3490</v>
      </c>
      <c r="J3497">
        <f ca="1"/>
        <v>6.0894537602082144</v>
      </c>
      <c r="K3497">
        <f ca="1"/>
        <v>-4.9634405578600589E-3</v>
      </c>
    </row>
    <row r="3498" spans="7:11">
      <c r="G3498" s="20">
        <v>6.0911990894602104</v>
      </c>
      <c r="H3498" s="20">
        <v>4.1466514024977794E-3</v>
      </c>
      <c r="I3498" s="2">
        <f ca="1"/>
        <v>3491</v>
      </c>
      <c r="J3498">
        <f ca="1"/>
        <v>6.0911990894602104</v>
      </c>
      <c r="K3498">
        <f ca="1"/>
        <v>-4.9206759204694179E-3</v>
      </c>
    </row>
    <row r="3499" spans="7:11">
      <c r="G3499" s="20">
        <v>6.0929444187122028</v>
      </c>
      <c r="H3499" s="20">
        <v>4.1381006357052502E-3</v>
      </c>
      <c r="I3499" s="2">
        <f ca="1"/>
        <v>3492</v>
      </c>
      <c r="J3499">
        <f ca="1"/>
        <v>6.0929444187122028</v>
      </c>
      <c r="K3499">
        <f ca="1"/>
        <v>-4.8774657849189954E-3</v>
      </c>
    </row>
    <row r="3500" spans="7:11">
      <c r="G3500" s="20">
        <v>6.0946897479641997</v>
      </c>
      <c r="H3500" s="20">
        <v>4.1296258350777349E-3</v>
      </c>
      <c r="I3500" s="2">
        <f ca="1"/>
        <v>3493</v>
      </c>
      <c r="J3500">
        <f ca="1"/>
        <v>6.0946897479641997</v>
      </c>
      <c r="K3500">
        <f ca="1"/>
        <v>-4.8344245579621846E-3</v>
      </c>
    </row>
    <row r="3501" spans="7:11">
      <c r="G3501" s="20">
        <v>6.096435077216193</v>
      </c>
      <c r="H3501" s="20">
        <v>4.1212253105101003E-3</v>
      </c>
      <c r="I3501" s="2">
        <f ca="1"/>
        <v>3494</v>
      </c>
      <c r="J3501">
        <f ca="1"/>
        <v>6.096435077216193</v>
      </c>
      <c r="K3501">
        <f ca="1"/>
        <v>-4.7917207230693554E-3</v>
      </c>
    </row>
    <row r="3502" spans="7:11">
      <c r="G3502" s="20">
        <v>6.0981804064681873</v>
      </c>
      <c r="H3502" s="20">
        <v>4.1128995743870194E-3</v>
      </c>
      <c r="I3502" s="2">
        <f ca="1"/>
        <v>3495</v>
      </c>
      <c r="J3502">
        <f ca="1"/>
        <v>6.0981804064681873</v>
      </c>
      <c r="K3502">
        <f ca="1"/>
        <v>-4.7485427426074865E-3</v>
      </c>
    </row>
    <row r="3503" spans="7:11">
      <c r="G3503" s="20">
        <v>6.0999257357201815</v>
      </c>
      <c r="H3503" s="20">
        <v>4.1046497694040649E-3</v>
      </c>
      <c r="I3503" s="2">
        <f ca="1"/>
        <v>3496</v>
      </c>
      <c r="J3503">
        <f ca="1"/>
        <v>6.0999257357201815</v>
      </c>
      <c r="K3503">
        <f ca="1"/>
        <v>-4.7049888168038912E-3</v>
      </c>
    </row>
    <row r="3504" spans="7:11">
      <c r="G3504" s="20">
        <v>6.1016710649721766</v>
      </c>
      <c r="H3504" s="20">
        <v>4.0964760651624682E-3</v>
      </c>
      <c r="I3504" s="2">
        <f ca="1"/>
        <v>3497</v>
      </c>
      <c r="J3504">
        <f ca="1"/>
        <v>6.1016710649721766</v>
      </c>
      <c r="K3504">
        <f ca="1"/>
        <v>-4.6615108026135006E-3</v>
      </c>
    </row>
    <row r="3505" spans="7:11">
      <c r="G3505" s="20">
        <v>6.1034163942241699</v>
      </c>
      <c r="H3505" s="20">
        <v>4.0883780270794881E-3</v>
      </c>
      <c r="I3505" s="2">
        <f ca="1"/>
        <v>3498</v>
      </c>
      <c r="J3505">
        <f ca="1"/>
        <v>6.1034163942241699</v>
      </c>
      <c r="K3505">
        <f ca="1"/>
        <v>-4.6181100935884642E-3</v>
      </c>
    </row>
    <row r="3506" spans="7:11">
      <c r="G3506" s="20">
        <v>6.1051617234761641</v>
      </c>
      <c r="H3506" s="20">
        <v>4.0803558198919329E-3</v>
      </c>
      <c r="I3506" s="2">
        <f ca="1"/>
        <v>3499</v>
      </c>
      <c r="J3506">
        <f ca="1"/>
        <v>6.1051617234761641</v>
      </c>
      <c r="K3506">
        <f ca="1"/>
        <v>-4.5744217499961064E-3</v>
      </c>
    </row>
    <row r="3507" spans="7:11">
      <c r="G3507" s="20">
        <v>6.1069070527281601</v>
      </c>
      <c r="H3507" s="20">
        <v>4.0724102828970264E-3</v>
      </c>
      <c r="I3507" s="2">
        <f ca="1"/>
        <v>3500</v>
      </c>
      <c r="J3507">
        <f ca="1"/>
        <v>6.1069070527281601</v>
      </c>
      <c r="K3507">
        <f ca="1"/>
        <v>-4.5308646185321178E-3</v>
      </c>
    </row>
    <row r="3508" spans="7:11">
      <c r="G3508" s="20">
        <v>6.1086523819801526</v>
      </c>
      <c r="H3508" s="20">
        <v>4.0645401187808334E-3</v>
      </c>
      <c r="I3508" s="2">
        <f ca="1"/>
        <v>3501</v>
      </c>
      <c r="J3508">
        <f ca="1"/>
        <v>6.1086523819801526</v>
      </c>
      <c r="K3508">
        <f ca="1"/>
        <v>-4.4875614384009667E-3</v>
      </c>
    </row>
    <row r="3509" spans="7:11">
      <c r="G3509" s="20">
        <v>6.1103977112321468</v>
      </c>
      <c r="H3509" s="20">
        <v>4.0567457383999094E-3</v>
      </c>
      <c r="I3509" s="2">
        <f ca="1"/>
        <v>3502</v>
      </c>
      <c r="J3509">
        <f ca="1"/>
        <v>6.1103977112321468</v>
      </c>
      <c r="K3509">
        <f ca="1"/>
        <v>-4.4438664881601289E-3</v>
      </c>
    </row>
    <row r="3510" spans="7:11">
      <c r="G3510" s="20">
        <v>6.1121430404841428</v>
      </c>
      <c r="H3510" s="20">
        <v>4.0490280984333401E-3</v>
      </c>
      <c r="I3510" s="2">
        <f ca="1"/>
        <v>3503</v>
      </c>
      <c r="J3510">
        <f ca="1"/>
        <v>6.1121430404841428</v>
      </c>
      <c r="K3510">
        <f ca="1"/>
        <v>-4.3998574472154097E-3</v>
      </c>
    </row>
    <row r="3511" spans="7:11">
      <c r="G3511" s="20">
        <v>6.113888369736137</v>
      </c>
      <c r="H3511" s="20">
        <v>4.0413873385854423E-3</v>
      </c>
      <c r="I3511" s="2">
        <f ca="1"/>
        <v>3504</v>
      </c>
      <c r="J3511">
        <f ca="1"/>
        <v>6.113888369736137</v>
      </c>
      <c r="K3511">
        <f ca="1"/>
        <v>-4.3559008753638944E-3</v>
      </c>
    </row>
    <row r="3512" spans="7:11">
      <c r="G3512" s="20">
        <v>6.1156336989881295</v>
      </c>
      <c r="H3512" s="20">
        <v>4.0338231360002282E-3</v>
      </c>
      <c r="I3512" s="2">
        <f ca="1"/>
        <v>3505</v>
      </c>
      <c r="J3512">
        <f ca="1"/>
        <v>6.1156336989881295</v>
      </c>
      <c r="K3512">
        <f ca="1"/>
        <v>-4.3119979576994654E-3</v>
      </c>
    </row>
    <row r="3513" spans="7:11">
      <c r="G3513" s="20">
        <v>6.1173790282401255</v>
      </c>
      <c r="H3513" s="20">
        <v>4.0263356262452178E-3</v>
      </c>
      <c r="I3513" s="2">
        <f ca="1"/>
        <v>3506</v>
      </c>
      <c r="J3513">
        <f ca="1"/>
        <v>6.1173790282401255</v>
      </c>
      <c r="K3513">
        <f ca="1"/>
        <v>-4.2678655390433716E-3</v>
      </c>
    </row>
    <row r="3514" spans="7:11">
      <c r="G3514" s="20">
        <v>6.1191243574921197</v>
      </c>
      <c r="H3514" s="20">
        <v>4.0189254748624796E-3</v>
      </c>
      <c r="I3514" s="2">
        <f ca="1"/>
        <v>3507</v>
      </c>
      <c r="J3514">
        <f ca="1"/>
        <v>6.1191243574921197</v>
      </c>
      <c r="K3514">
        <f ca="1"/>
        <v>-4.2238283480338151E-3</v>
      </c>
    </row>
    <row r="3515" spans="7:11">
      <c r="G3515" s="20">
        <v>6.1208696867441139</v>
      </c>
      <c r="H3515" s="20">
        <v>4.0115916839027661E-3</v>
      </c>
      <c r="I3515" s="2">
        <f ca="1"/>
        <v>3508</v>
      </c>
      <c r="J3515">
        <f ca="1"/>
        <v>6.1208696867441139</v>
      </c>
      <c r="K3515">
        <f ca="1"/>
        <v>-4.1799806603034133E-3</v>
      </c>
    </row>
    <row r="3516" spans="7:11">
      <c r="G3516" s="20">
        <v>6.1226150159961072</v>
      </c>
      <c r="H3516" s="20">
        <v>4.004334589824088E-3</v>
      </c>
      <c r="I3516" s="2">
        <f ca="1"/>
        <v>3509</v>
      </c>
      <c r="J3516">
        <f ca="1"/>
        <v>6.1226150159961072</v>
      </c>
      <c r="K3516">
        <f ca="1"/>
        <v>-4.1358195449951677E-3</v>
      </c>
    </row>
    <row r="3517" spans="7:11">
      <c r="G3517" s="20">
        <v>6.1243603452481024</v>
      </c>
      <c r="H3517" s="20">
        <v>3.9971549502370671E-3</v>
      </c>
      <c r="I3517" s="2">
        <f ca="1"/>
        <v>3510</v>
      </c>
      <c r="J3517">
        <f ca="1"/>
        <v>6.1243603452481024</v>
      </c>
      <c r="K3517">
        <f ca="1"/>
        <v>-4.0914091300907106E-3</v>
      </c>
    </row>
    <row r="3518" spans="7:11">
      <c r="G3518" s="20">
        <v>6.1261056745000966</v>
      </c>
      <c r="H3518" s="20">
        <v>3.9900528777508373E-3</v>
      </c>
      <c r="I3518" s="2">
        <f ca="1"/>
        <v>3511</v>
      </c>
      <c r="J3518">
        <f ca="1"/>
        <v>6.1261056745000966</v>
      </c>
      <c r="K3518">
        <f ca="1"/>
        <v>-4.0470314726692037E-3</v>
      </c>
    </row>
    <row r="3519" spans="7:11">
      <c r="G3519" s="20">
        <v>6.1278510037520908</v>
      </c>
      <c r="H3519" s="20">
        <v>3.9830281454110855E-3</v>
      </c>
      <c r="I3519" s="2">
        <f ca="1"/>
        <v>3512</v>
      </c>
      <c r="J3519">
        <f ca="1"/>
        <v>6.1278510037520908</v>
      </c>
      <c r="K3519">
        <f ca="1"/>
        <v>-4.0027703712865017E-3</v>
      </c>
    </row>
    <row r="3520" spans="7:11">
      <c r="G3520" s="20">
        <v>6.129596333004085</v>
      </c>
      <c r="H3520" s="20">
        <v>3.9760805733147931E-3</v>
      </c>
      <c r="I3520" s="2">
        <f ca="1"/>
        <v>3513</v>
      </c>
      <c r="J3520">
        <f ca="1"/>
        <v>6.129596333004085</v>
      </c>
      <c r="K3520">
        <f ca="1"/>
        <v>-3.9583962773509576E-3</v>
      </c>
    </row>
    <row r="3521" spans="7:11">
      <c r="G3521" s="20">
        <v>6.1313416622560792</v>
      </c>
      <c r="H3521" s="20">
        <v>3.9692107357833942E-3</v>
      </c>
      <c r="I3521" s="2">
        <f ca="1"/>
        <v>3514</v>
      </c>
      <c r="J3521">
        <f ca="1"/>
        <v>6.1313416622560792</v>
      </c>
      <c r="K3521">
        <f ca="1"/>
        <v>-3.9137859789330955E-3</v>
      </c>
    </row>
    <row r="3522" spans="7:11">
      <c r="G3522" s="20">
        <v>6.1330869915080735</v>
      </c>
      <c r="H3522" s="20">
        <v>3.9624188830046396E-3</v>
      </c>
      <c r="I3522" s="2">
        <f ca="1"/>
        <v>3515</v>
      </c>
      <c r="J3522">
        <f ca="1"/>
        <v>6.1330869915080735</v>
      </c>
      <c r="K3522">
        <f ca="1"/>
        <v>-3.8692093456943527E-3</v>
      </c>
    </row>
    <row r="3523" spans="7:11">
      <c r="G3523" s="20">
        <v>6.1348323207600677</v>
      </c>
      <c r="H3523" s="20">
        <v>3.9557046472771347E-3</v>
      </c>
      <c r="I3523" s="2">
        <f ca="1"/>
        <v>3516</v>
      </c>
      <c r="J3523">
        <f ca="1"/>
        <v>6.1348323207600677</v>
      </c>
      <c r="K3523">
        <f ca="1"/>
        <v>-3.8246739428618409E-3</v>
      </c>
    </row>
    <row r="3524" spans="7:11">
      <c r="G3524" s="20">
        <v>6.1365776500120619</v>
      </c>
      <c r="H3524" s="20">
        <v>3.9490682523810059E-3</v>
      </c>
      <c r="I3524" s="2">
        <f ca="1"/>
        <v>3517</v>
      </c>
      <c r="J3524">
        <f ca="1"/>
        <v>6.1365776500120619</v>
      </c>
      <c r="K3524">
        <f ca="1"/>
        <v>-3.7799410972827966E-3</v>
      </c>
    </row>
    <row r="3525" spans="7:11">
      <c r="G3525" s="20">
        <v>6.1383229792640579</v>
      </c>
      <c r="H3525" s="20">
        <v>3.9425101637413223E-3</v>
      </c>
      <c r="I3525" s="2">
        <f ca="1"/>
        <v>3518</v>
      </c>
      <c r="J3525">
        <f ca="1"/>
        <v>6.1383229792640579</v>
      </c>
      <c r="K3525">
        <f ca="1"/>
        <v>-3.7352547986150703E-3</v>
      </c>
    </row>
    <row r="3526" spans="7:11">
      <c r="G3526" s="20">
        <v>6.1400683085160521</v>
      </c>
      <c r="H3526" s="20">
        <v>3.9360297534536499E-3</v>
      </c>
      <c r="I3526" s="2">
        <f ca="1"/>
        <v>3519</v>
      </c>
      <c r="J3526">
        <f ca="1"/>
        <v>6.1400683085160521</v>
      </c>
      <c r="K3526">
        <f ca="1"/>
        <v>-3.6906777221971444E-3</v>
      </c>
    </row>
    <row r="3527" spans="7:11">
      <c r="G3527" s="20">
        <v>6.1418136377680446</v>
      </c>
      <c r="H3527" s="20">
        <v>3.9296272681648607E-3</v>
      </c>
      <c r="I3527" s="2">
        <f ca="1"/>
        <v>3520</v>
      </c>
      <c r="J3527">
        <f ca="1"/>
        <v>6.1418136377680446</v>
      </c>
      <c r="K3527">
        <f ca="1"/>
        <v>-3.6458964864110365E-3</v>
      </c>
    </row>
    <row r="3528" spans="7:11">
      <c r="G3528" s="20">
        <v>6.1435589670200397</v>
      </c>
      <c r="H3528" s="20">
        <v>3.9233031738787009E-3</v>
      </c>
      <c r="I3528" s="2">
        <f ca="1"/>
        <v>3521</v>
      </c>
      <c r="J3528">
        <f ca="1"/>
        <v>6.1435589670200397</v>
      </c>
      <c r="K3528">
        <f ca="1"/>
        <v>-3.6009608503938442E-3</v>
      </c>
    </row>
    <row r="3529" spans="7:11">
      <c r="G3529" s="20">
        <v>6.1453042962720348</v>
      </c>
      <c r="H3529" s="20">
        <v>3.9170575435498976E-3</v>
      </c>
      <c r="I3529" s="2">
        <f ca="1"/>
        <v>3522</v>
      </c>
      <c r="J3529">
        <f ca="1"/>
        <v>6.1453042962720348</v>
      </c>
      <c r="K3529">
        <f ca="1"/>
        <v>-3.5560330258148447E-3</v>
      </c>
    </row>
    <row r="3530" spans="7:11">
      <c r="G3530" s="20">
        <v>6.1470496255240281</v>
      </c>
      <c r="H3530" s="20">
        <v>3.9108902769566765E-3</v>
      </c>
      <c r="I3530" s="2">
        <f ca="1"/>
        <v>3523</v>
      </c>
      <c r="J3530">
        <f ca="1"/>
        <v>6.1470496255240281</v>
      </c>
      <c r="K3530">
        <f ca="1"/>
        <v>-3.5111099892085034E-3</v>
      </c>
    </row>
    <row r="3531" spans="7:11">
      <c r="G3531" s="20">
        <v>6.1487949547760223</v>
      </c>
      <c r="H3531" s="20">
        <v>3.9048014576076313E-3</v>
      </c>
      <c r="I3531" s="2">
        <f ca="1"/>
        <v>3524</v>
      </c>
      <c r="J3531">
        <f ca="1"/>
        <v>6.1487949547760223</v>
      </c>
      <c r="K3531">
        <f ca="1"/>
        <v>-3.4660770754320162E-3</v>
      </c>
    </row>
    <row r="3532" spans="7:11">
      <c r="G3532" s="20">
        <v>6.1505402840280174</v>
      </c>
      <c r="H3532" s="20">
        <v>3.8987913855378373E-3</v>
      </c>
      <c r="I3532" s="2">
        <f ca="1"/>
        <v>3525</v>
      </c>
      <c r="J3532">
        <f ca="1"/>
        <v>6.1505402840280174</v>
      </c>
      <c r="K3532">
        <f ca="1"/>
        <v>-3.4210670001397162E-3</v>
      </c>
    </row>
    <row r="3533" spans="7:11">
      <c r="G3533" s="20">
        <v>6.1522856132800117</v>
      </c>
      <c r="H3533" s="20">
        <v>3.8928596809908764E-3</v>
      </c>
      <c r="I3533" s="2">
        <f ca="1"/>
        <v>3526</v>
      </c>
      <c r="J3533">
        <f ca="1"/>
        <v>6.1522856132800117</v>
      </c>
      <c r="K3533">
        <f ca="1"/>
        <v>-3.3761147941573449E-3</v>
      </c>
    </row>
    <row r="3534" spans="7:11">
      <c r="G3534" s="20">
        <v>6.154030942532005</v>
      </c>
      <c r="H3534" s="20">
        <v>3.8870065217211738E-3</v>
      </c>
      <c r="I3534" s="2">
        <f ca="1"/>
        <v>3527</v>
      </c>
      <c r="J3534">
        <f ca="1"/>
        <v>6.154030942532005</v>
      </c>
      <c r="K3534">
        <f ca="1"/>
        <v>-3.331017860733392E-3</v>
      </c>
    </row>
    <row r="3535" spans="7:11">
      <c r="G3535" s="20">
        <v>6.1557762717840019</v>
      </c>
      <c r="H3535" s="20">
        <v>3.881232235168364E-3</v>
      </c>
      <c r="I3535" s="2">
        <f ca="1"/>
        <v>3528</v>
      </c>
      <c r="J3535">
        <f ca="1"/>
        <v>6.1557762717840019</v>
      </c>
      <c r="K3535">
        <f ca="1"/>
        <v>-3.2858127342188887E-3</v>
      </c>
    </row>
    <row r="3536" spans="7:11">
      <c r="G3536" s="20">
        <v>6.1575216010359943</v>
      </c>
      <c r="H3536" s="20">
        <v>3.8755368715579562E-3</v>
      </c>
      <c r="I3536" s="2">
        <f ca="1"/>
        <v>3529</v>
      </c>
      <c r="J3536">
        <f ca="1"/>
        <v>6.1575216010359943</v>
      </c>
      <c r="K3536">
        <f ca="1"/>
        <v>-3.2406025521820436E-3</v>
      </c>
    </row>
    <row r="3537" spans="7:11">
      <c r="G3537" s="20">
        <v>6.1592669302879886</v>
      </c>
      <c r="H3537" s="20">
        <v>3.8699203983115489E-3</v>
      </c>
      <c r="I3537" s="2">
        <f ca="1"/>
        <v>3530</v>
      </c>
      <c r="J3537">
        <f ca="1"/>
        <v>6.1592669302879886</v>
      </c>
      <c r="K3537">
        <f ca="1"/>
        <v>-3.1953840613628847E-3</v>
      </c>
    </row>
    <row r="3538" spans="7:11">
      <c r="G3538" s="20">
        <v>6.1610122595399828</v>
      </c>
      <c r="H3538" s="20">
        <v>3.8643828770106507E-3</v>
      </c>
      <c r="I3538" s="2">
        <f ca="1"/>
        <v>3531</v>
      </c>
      <c r="J3538">
        <f ca="1"/>
        <v>6.1610122595399828</v>
      </c>
      <c r="K3538">
        <f ca="1"/>
        <v>-3.1500956270718613E-3</v>
      </c>
    </row>
    <row r="3539" spans="7:11">
      <c r="G3539" s="20">
        <v>6.162757588791977</v>
      </c>
      <c r="H3539" s="20">
        <v>3.8589244902225337E-3</v>
      </c>
      <c r="I3539" s="2">
        <f ca="1"/>
        <v>3532</v>
      </c>
      <c r="J3539">
        <f ca="1"/>
        <v>6.162757588791977</v>
      </c>
      <c r="K3539">
        <f ca="1"/>
        <v>-3.104809500593427E-3</v>
      </c>
    </row>
    <row r="3540" spans="7:11">
      <c r="G3540" s="20">
        <v>6.1645029180439712</v>
      </c>
      <c r="H3540" s="20">
        <v>3.8535450473241402E-3</v>
      </c>
      <c r="I3540" s="2">
        <f ca="1"/>
        <v>3533</v>
      </c>
      <c r="J3540">
        <f ca="1"/>
        <v>6.1645029180439712</v>
      </c>
      <c r="K3540">
        <f ca="1"/>
        <v>-3.0595423618668834E-3</v>
      </c>
    </row>
    <row r="3541" spans="7:11">
      <c r="G3541" s="20">
        <v>6.1662482472959663</v>
      </c>
      <c r="H3541" s="20">
        <v>3.8482446726587675E-3</v>
      </c>
      <c r="I3541" s="2">
        <f ca="1"/>
        <v>3534</v>
      </c>
      <c r="J3541">
        <f ca="1"/>
        <v>6.1662482472959663</v>
      </c>
      <c r="K3541">
        <f ca="1"/>
        <v>-3.0141841892789246E-3</v>
      </c>
    </row>
    <row r="3542" spans="7:11">
      <c r="G3542" s="20">
        <v>6.1679935765479614</v>
      </c>
      <c r="H3542" s="20">
        <v>3.8430235596512408E-3</v>
      </c>
      <c r="I3542" s="2">
        <f ca="1"/>
        <v>3535</v>
      </c>
      <c r="J3542">
        <f ca="1"/>
        <v>6.1679935765479614</v>
      </c>
      <c r="K3542">
        <f ca="1"/>
        <v>-2.968762088961244E-3</v>
      </c>
    </row>
    <row r="3543" spans="7:11">
      <c r="G3543" s="20">
        <v>6.1697389057999548</v>
      </c>
      <c r="H3543" s="20">
        <v>3.8378817380266164E-3</v>
      </c>
      <c r="I3543" s="2">
        <f ca="1"/>
        <v>3536</v>
      </c>
      <c r="J3543">
        <f ca="1"/>
        <v>6.1697389057999548</v>
      </c>
      <c r="K3543">
        <f ca="1"/>
        <v>-2.9233252570501122E-3</v>
      </c>
    </row>
    <row r="3544" spans="7:11">
      <c r="G3544" s="20">
        <v>6.1714842350519499</v>
      </c>
      <c r="H3544" s="20">
        <v>3.8328192294827946E-3</v>
      </c>
      <c r="I3544" s="2">
        <f ca="1"/>
        <v>3537</v>
      </c>
      <c r="J3544">
        <f ca="1"/>
        <v>6.1714842350519499</v>
      </c>
      <c r="K3544">
        <f ca="1"/>
        <v>-2.8778808779677282E-3</v>
      </c>
    </row>
    <row r="3545" spans="7:11">
      <c r="G3545" s="20">
        <v>6.1732295643039432</v>
      </c>
      <c r="H3545" s="20">
        <v>3.8278360386664726E-3</v>
      </c>
      <c r="I3545" s="2">
        <f ca="1"/>
        <v>3538</v>
      </c>
      <c r="J3545">
        <f ca="1"/>
        <v>6.1732295643039432</v>
      </c>
      <c r="K3545">
        <f ca="1"/>
        <v>-2.8324041665253675E-3</v>
      </c>
    </row>
    <row r="3546" spans="7:11">
      <c r="G3546" s="20">
        <v>6.1749748935559383</v>
      </c>
      <c r="H3546" s="20">
        <v>3.8229322737921806E-3</v>
      </c>
      <c r="I3546" s="2">
        <f ca="1"/>
        <v>3539</v>
      </c>
      <c r="J3546">
        <f ca="1"/>
        <v>6.1749748935559383</v>
      </c>
      <c r="K3546">
        <f ca="1"/>
        <v>-2.7868826579072153E-3</v>
      </c>
    </row>
    <row r="3547" spans="7:11">
      <c r="G3547" s="20">
        <v>6.1767202228079316</v>
      </c>
      <c r="H3547" s="20">
        <v>3.8181079830170309E-3</v>
      </c>
      <c r="I3547" s="2">
        <f ca="1"/>
        <v>3540</v>
      </c>
      <c r="J3547">
        <f ca="1"/>
        <v>6.1767202228079316</v>
      </c>
      <c r="K3547">
        <f ca="1"/>
        <v>-2.7413437077389497E-3</v>
      </c>
    </row>
    <row r="3548" spans="7:11">
      <c r="G3548" s="20">
        <v>6.1784655520599268</v>
      </c>
      <c r="H3548" s="20">
        <v>3.8133631790664064E-3</v>
      </c>
      <c r="I3548" s="2">
        <f ca="1"/>
        <v>3541</v>
      </c>
      <c r="J3548">
        <f ca="1"/>
        <v>6.1784655520599268</v>
      </c>
      <c r="K3548">
        <f ca="1"/>
        <v>-2.6957851378788234E-3</v>
      </c>
    </row>
    <row r="3549" spans="7:11">
      <c r="G3549" s="20">
        <v>6.1802108813119201</v>
      </c>
      <c r="H3549" s="20">
        <v>3.8086979177005685E-3</v>
      </c>
      <c r="I3549" s="2">
        <f ca="1"/>
        <v>3542</v>
      </c>
      <c r="J3549">
        <f ca="1"/>
        <v>6.1802108813119201</v>
      </c>
      <c r="K3549">
        <f ca="1"/>
        <v>-2.6501996604962742E-3</v>
      </c>
    </row>
    <row r="3550" spans="7:11">
      <c r="G3550" s="20">
        <v>6.1819562105639152</v>
      </c>
      <c r="H3550" s="20">
        <v>3.8041122370842278E-3</v>
      </c>
      <c r="I3550" s="2">
        <f ca="1"/>
        <v>3543</v>
      </c>
      <c r="J3550">
        <f ca="1"/>
        <v>6.1819562105639152</v>
      </c>
      <c r="K3550">
        <f ca="1"/>
        <v>-2.6045925576270034E-3</v>
      </c>
    </row>
    <row r="3551" spans="7:11">
      <c r="G3551" s="20">
        <v>6.1837015398159094</v>
      </c>
      <c r="H3551" s="20">
        <v>3.7996061745398605E-3</v>
      </c>
      <c r="I3551" s="2">
        <f ca="1"/>
        <v>3544</v>
      </c>
      <c r="J3551">
        <f ca="1"/>
        <v>6.1837015398159094</v>
      </c>
      <c r="K3551">
        <f ca="1"/>
        <v>-2.5589590347322084E-3</v>
      </c>
    </row>
    <row r="3552" spans="7:11">
      <c r="G3552" s="20">
        <v>6.1854468690679028</v>
      </c>
      <c r="H3552" s="20">
        <v>3.795179784968284E-3</v>
      </c>
      <c r="I3552" s="2">
        <f ca="1"/>
        <v>3545</v>
      </c>
      <c r="J3552">
        <f ca="1"/>
        <v>6.1854468690679028</v>
      </c>
      <c r="K3552">
        <f ca="1"/>
        <v>-2.5133048843235866E-3</v>
      </c>
    </row>
    <row r="3553" spans="7:11">
      <c r="G3553" s="20">
        <v>6.1871921983198979</v>
      </c>
      <c r="H3553" s="20">
        <v>3.7908330854722807E-3</v>
      </c>
      <c r="I3553" s="2">
        <f ca="1"/>
        <v>3546</v>
      </c>
      <c r="J3553">
        <f ca="1"/>
        <v>6.1871921983198979</v>
      </c>
      <c r="K3553">
        <f ca="1"/>
        <v>-2.4676454863491208E-3</v>
      </c>
    </row>
    <row r="3554" spans="7:11">
      <c r="G3554" s="20">
        <v>6.188937527571893</v>
      </c>
      <c r="H3554" s="20">
        <v>3.7865660772665264E-3</v>
      </c>
      <c r="I3554" s="2">
        <f ca="1"/>
        <v>3547</v>
      </c>
      <c r="J3554">
        <f ca="1"/>
        <v>6.188937527571893</v>
      </c>
      <c r="K3554">
        <f ca="1"/>
        <v>-2.4219617791937384E-3</v>
      </c>
    </row>
    <row r="3555" spans="7:11">
      <c r="G3555" s="20">
        <v>6.1906828568238872</v>
      </c>
      <c r="H3555" s="20">
        <v>3.7823788439914009E-3</v>
      </c>
      <c r="I3555" s="2">
        <f ca="1"/>
        <v>3548</v>
      </c>
      <c r="J3555">
        <f ca="1"/>
        <v>6.1906828568238872</v>
      </c>
      <c r="K3555">
        <f ca="1"/>
        <v>-2.3762490766511919E-3</v>
      </c>
    </row>
    <row r="3556" spans="7:11">
      <c r="G3556" s="20">
        <v>6.1924281860758796</v>
      </c>
      <c r="H3556" s="20">
        <v>3.7782714032195235E-3</v>
      </c>
      <c r="I3556" s="2">
        <f ca="1"/>
        <v>3549</v>
      </c>
      <c r="J3556">
        <f ca="1"/>
        <v>6.1924281860758796</v>
      </c>
      <c r="K3556">
        <f ca="1"/>
        <v>-2.3305442003186314E-3</v>
      </c>
    </row>
    <row r="3557" spans="7:11">
      <c r="G3557" s="20">
        <v>6.1941735153278765</v>
      </c>
      <c r="H3557" s="20">
        <v>3.7742437100596357E-3</v>
      </c>
      <c r="I3557" s="2">
        <f ca="1"/>
        <v>3550</v>
      </c>
      <c r="J3557">
        <f ca="1"/>
        <v>6.1941735153278765</v>
      </c>
      <c r="K3557">
        <f ca="1"/>
        <v>-2.284808204623668E-3</v>
      </c>
    </row>
    <row r="3558" spans="7:11">
      <c r="G3558" s="20">
        <v>6.1959188445798699</v>
      </c>
      <c r="H3558" s="20">
        <v>3.7702959180300672E-3</v>
      </c>
      <c r="I3558" s="2">
        <f ca="1"/>
        <v>3551</v>
      </c>
      <c r="J3558">
        <f ca="1"/>
        <v>6.1959188445798699</v>
      </c>
      <c r="K3558">
        <f ca="1"/>
        <v>-2.2390240173315885E-3</v>
      </c>
    </row>
    <row r="3559" spans="7:11">
      <c r="G3559" s="20">
        <v>6.1976641738318641</v>
      </c>
      <c r="H3559" s="20">
        <v>3.7664280418329048E-3</v>
      </c>
      <c r="I3559" s="2">
        <f ca="1"/>
        <v>3552</v>
      </c>
      <c r="J3559">
        <f ca="1"/>
        <v>6.1976641738318641</v>
      </c>
      <c r="K3559">
        <f ca="1"/>
        <v>-2.1932550507709164E-3</v>
      </c>
    </row>
    <row r="3560" spans="7:11">
      <c r="G3560" s="20">
        <v>6.1994095030838592</v>
      </c>
      <c r="H3560" s="20">
        <v>3.7626400136356762E-3</v>
      </c>
      <c r="I3560" s="2">
        <f ca="1"/>
        <v>3553</v>
      </c>
      <c r="J3560">
        <f ca="1"/>
        <v>6.1994095030838592</v>
      </c>
      <c r="K3560">
        <f ca="1"/>
        <v>-2.1475096317803604E-3</v>
      </c>
    </row>
    <row r="3561" spans="7:11">
      <c r="G3561" s="20">
        <v>6.2011548323358525</v>
      </c>
      <c r="H3561" s="20">
        <v>3.7589318190743336E-3</v>
      </c>
      <c r="I3561" s="2">
        <f ca="1"/>
        <v>3554</v>
      </c>
      <c r="J3561">
        <f ca="1"/>
        <v>6.2011548323358525</v>
      </c>
      <c r="K3561">
        <f ca="1"/>
        <v>-2.1017372051417575E-3</v>
      </c>
    </row>
    <row r="3562" spans="7:11">
      <c r="G3562" s="20">
        <v>6.2029001615878467</v>
      </c>
      <c r="H3562" s="20">
        <v>3.7553035667874011E-3</v>
      </c>
      <c r="I3562" s="2">
        <f ca="1"/>
        <v>3555</v>
      </c>
      <c r="J3562">
        <f ca="1"/>
        <v>6.2029001615878467</v>
      </c>
      <c r="K3562">
        <f ca="1"/>
        <v>-2.0559330830076804E-3</v>
      </c>
    </row>
    <row r="3563" spans="7:11">
      <c r="G3563" s="20">
        <v>6.204645490839841</v>
      </c>
      <c r="H3563" s="20">
        <v>3.7517552587745017E-3</v>
      </c>
      <c r="I3563" s="2">
        <f ca="1"/>
        <v>3556</v>
      </c>
      <c r="J3563">
        <f ca="1"/>
        <v>6.204645490839841</v>
      </c>
      <c r="K3563">
        <f ca="1"/>
        <v>-2.0101590149661317E-3</v>
      </c>
    </row>
    <row r="3564" spans="7:11">
      <c r="G3564" s="20">
        <v>6.2063908200918361</v>
      </c>
      <c r="H3564" s="20">
        <v>3.7482867881274387E-3</v>
      </c>
      <c r="I3564" s="2">
        <f ca="1"/>
        <v>3557</v>
      </c>
      <c r="J3564">
        <f ca="1"/>
        <v>6.2063908200918361</v>
      </c>
      <c r="K3564">
        <f ca="1"/>
        <v>-1.9643482648463765E-3</v>
      </c>
    </row>
    <row r="3565" spans="7:11">
      <c r="G3565" s="20">
        <v>6.2081361493438294</v>
      </c>
      <c r="H3565" s="20">
        <v>3.7448983897990207E-3</v>
      </c>
      <c r="I3565" s="2">
        <f ca="1"/>
        <v>3558</v>
      </c>
      <c r="J3565">
        <f ca="1"/>
        <v>6.2081361493438294</v>
      </c>
      <c r="K3565">
        <f ca="1"/>
        <v>-1.9184754286516636E-3</v>
      </c>
    </row>
    <row r="3566" spans="7:11">
      <c r="G3566" s="20">
        <v>6.2098814785958236</v>
      </c>
      <c r="H3566" s="20">
        <v>3.7415900455577246E-3</v>
      </c>
      <c r="I3566" s="2">
        <f ca="1"/>
        <v>3559</v>
      </c>
      <c r="J3566">
        <f ca="1"/>
        <v>6.2098814785958236</v>
      </c>
      <c r="K3566">
        <f ca="1"/>
        <v>-1.8726470597101366E-3</v>
      </c>
    </row>
    <row r="3567" spans="7:11">
      <c r="G3567" s="20">
        <v>6.2116268078478196</v>
      </c>
      <c r="H3567" s="20">
        <v>3.7383616184150713E-3</v>
      </c>
      <c r="I3567" s="2">
        <f ca="1"/>
        <v>3560</v>
      </c>
      <c r="J3567">
        <f ca="1"/>
        <v>6.2116268078478196</v>
      </c>
      <c r="K3567">
        <f ca="1"/>
        <v>-1.8268659566140133E-3</v>
      </c>
    </row>
    <row r="3568" spans="7:11">
      <c r="G3568" s="20">
        <v>6.2133721370998138</v>
      </c>
      <c r="H3568" s="20">
        <v>3.7352130803706197E-3</v>
      </c>
      <c r="I3568" s="2">
        <f ca="1"/>
        <v>3561</v>
      </c>
      <c r="J3568">
        <f ca="1"/>
        <v>6.2133721370998138</v>
      </c>
      <c r="K3568">
        <f ca="1"/>
        <v>-1.7810578770571053E-3</v>
      </c>
    </row>
    <row r="3569" spans="7:11">
      <c r="G3569" s="20">
        <v>6.2151174663518081</v>
      </c>
      <c r="H3569" s="20">
        <v>3.7321445535904263E-3</v>
      </c>
      <c r="I3569" s="2">
        <f ca="1"/>
        <v>3562</v>
      </c>
      <c r="J3569">
        <f ca="1"/>
        <v>6.2151174663518081</v>
      </c>
      <c r="K3569">
        <f ca="1"/>
        <v>-1.7351924288181914E-3</v>
      </c>
    </row>
    <row r="3570" spans="7:11">
      <c r="G3570" s="20">
        <v>6.2168627956038023</v>
      </c>
      <c r="H3570" s="20">
        <v>3.7291561161629091E-3</v>
      </c>
      <c r="I3570" s="2">
        <f ca="1"/>
        <v>3563</v>
      </c>
      <c r="J3570">
        <f ca="1"/>
        <v>6.2168627956038023</v>
      </c>
      <c r="K3570">
        <f ca="1"/>
        <v>-1.6893481743768494E-3</v>
      </c>
    </row>
    <row r="3571" spans="7:11">
      <c r="G3571" s="20">
        <v>6.2186081248557965</v>
      </c>
      <c r="H3571" s="20">
        <v>3.7262476160193404E-3</v>
      </c>
      <c r="I3571" s="2">
        <f ca="1"/>
        <v>3564</v>
      </c>
      <c r="J3571">
        <f ca="1"/>
        <v>6.2186081248557965</v>
      </c>
      <c r="K3571">
        <f ca="1"/>
        <v>-1.6435677541045452E-3</v>
      </c>
    </row>
    <row r="3572" spans="7:11">
      <c r="G3572" s="20">
        <v>6.2203534541077907</v>
      </c>
      <c r="H3572" s="20">
        <v>3.7234189824051629E-3</v>
      </c>
      <c r="I3572" s="2">
        <f ca="1"/>
        <v>3565</v>
      </c>
      <c r="J3572">
        <f ca="1"/>
        <v>6.2203534541077907</v>
      </c>
      <c r="K3572">
        <f ca="1"/>
        <v>-1.5977586568776713E-3</v>
      </c>
    </row>
    <row r="3573" spans="7:11">
      <c r="G3573" s="20">
        <v>6.2220987833597849</v>
      </c>
      <c r="H3573" s="20">
        <v>3.7206703861763892E-3</v>
      </c>
      <c r="I3573" s="2">
        <f ca="1"/>
        <v>3566</v>
      </c>
      <c r="J3573">
        <f ca="1"/>
        <v>6.2220987833597849</v>
      </c>
      <c r="K3573">
        <f ca="1"/>
        <v>-1.5519146453641141E-3</v>
      </c>
    </row>
    <row r="3574" spans="7:11">
      <c r="G3574" s="20">
        <v>6.2238441126117792</v>
      </c>
      <c r="H3574" s="20">
        <v>3.7180017783508585E-3</v>
      </c>
      <c r="I3574" s="2">
        <f ca="1"/>
        <v>3567</v>
      </c>
      <c r="J3574">
        <f ca="1"/>
        <v>6.2238441126117792</v>
      </c>
      <c r="K3574">
        <f ca="1"/>
        <v>-1.5061369760837472E-3</v>
      </c>
    </row>
    <row r="3575" spans="7:11">
      <c r="G3575" s="20">
        <v>6.2255894418637743</v>
      </c>
      <c r="H3575" s="20">
        <v>3.7154129763326497E-3</v>
      </c>
      <c r="I3575" s="2">
        <f ca="1"/>
        <v>3568</v>
      </c>
      <c r="J3575">
        <f ca="1"/>
        <v>6.2255894418637743</v>
      </c>
      <c r="K3575">
        <f ca="1"/>
        <v>-1.4603222389958184E-3</v>
      </c>
    </row>
    <row r="3576" spans="7:11">
      <c r="G3576" s="20">
        <v>6.2273347711157676</v>
      </c>
      <c r="H3576" s="20">
        <v>3.7129042921087443E-3</v>
      </c>
      <c r="I3576" s="2">
        <f ca="1"/>
        <v>3569</v>
      </c>
      <c r="J3576">
        <f ca="1"/>
        <v>6.2273347711157676</v>
      </c>
      <c r="K3576">
        <f ca="1"/>
        <v>-1.4144358989768412E-3</v>
      </c>
    </row>
    <row r="3577" spans="7:11">
      <c r="G3577" s="20">
        <v>6.2290801003677618</v>
      </c>
      <c r="H3577" s="20">
        <v>3.7104756636335409E-3</v>
      </c>
      <c r="I3577" s="2">
        <f ca="1"/>
        <v>3570</v>
      </c>
      <c r="J3577">
        <f ca="1"/>
        <v>6.2290801003677618</v>
      </c>
      <c r="K3577">
        <f ca="1"/>
        <v>-1.3686263241014841E-3</v>
      </c>
    </row>
    <row r="3578" spans="7:11">
      <c r="G3578" s="20">
        <v>6.2308254296197561</v>
      </c>
      <c r="H3578" s="20">
        <v>3.708126884991737E-3</v>
      </c>
      <c r="I3578" s="2">
        <f ca="1"/>
        <v>3571</v>
      </c>
      <c r="J3578">
        <f ca="1"/>
        <v>6.2308254296197561</v>
      </c>
      <c r="K3578">
        <f ca="1"/>
        <v>-1.3228887543009183E-3</v>
      </c>
    </row>
    <row r="3579" spans="7:11">
      <c r="G3579" s="20">
        <v>6.2325707588717512</v>
      </c>
      <c r="H3579" s="20">
        <v>3.7058579107535085E-3</v>
      </c>
      <c r="I3579" s="2">
        <f ca="1"/>
        <v>3572</v>
      </c>
      <c r="J3579">
        <f ca="1"/>
        <v>6.2325707588717512</v>
      </c>
      <c r="K3579">
        <f ca="1"/>
        <v>-1.2771294178526322E-3</v>
      </c>
    </row>
    <row r="3580" spans="7:11">
      <c r="G3580" s="20">
        <v>6.2343160881237445</v>
      </c>
      <c r="H3580" s="20">
        <v>3.7036688623286159E-3</v>
      </c>
      <c r="I3580" s="2">
        <f ca="1"/>
        <v>3573</v>
      </c>
      <c r="J3580">
        <f ca="1"/>
        <v>6.2343160881237445</v>
      </c>
      <c r="K3580">
        <f ca="1"/>
        <v>-1.2313445296814193E-3</v>
      </c>
    </row>
    <row r="3581" spans="7:11">
      <c r="G3581" s="20">
        <v>6.2360614173757387</v>
      </c>
      <c r="H3581" s="20">
        <v>3.7015597074996375E-3</v>
      </c>
      <c r="I3581" s="2">
        <f ca="1"/>
        <v>3574</v>
      </c>
      <c r="J3581">
        <f ca="1"/>
        <v>6.2360614173757387</v>
      </c>
      <c r="K3581">
        <f ca="1"/>
        <v>-1.1856256800839373E-3</v>
      </c>
    </row>
    <row r="3582" spans="7:11">
      <c r="G3582" s="20">
        <v>6.2378067466277347</v>
      </c>
      <c r="H3582" s="20">
        <v>3.6995302479658817E-3</v>
      </c>
      <c r="I3582" s="2">
        <f ca="1"/>
        <v>3575</v>
      </c>
      <c r="J3582">
        <f ca="1"/>
        <v>6.2378067466277347</v>
      </c>
      <c r="K3582">
        <f ca="1"/>
        <v>-1.1398742092395E-3</v>
      </c>
    </row>
    <row r="3583" spans="7:11">
      <c r="G3583" s="20">
        <v>6.2395520758797289</v>
      </c>
      <c r="H3583" s="20">
        <v>3.6975807958976765E-3</v>
      </c>
      <c r="I3583" s="2">
        <f ca="1"/>
        <v>3576</v>
      </c>
      <c r="J3583">
        <f ca="1"/>
        <v>6.2395520758797289</v>
      </c>
      <c r="K3583">
        <f ca="1"/>
        <v>-1.0940557510905778E-3</v>
      </c>
    </row>
    <row r="3584" spans="7:11">
      <c r="G3584" s="20">
        <v>6.2412974051317214</v>
      </c>
      <c r="H3584" s="20">
        <v>3.6957112729545018E-3</v>
      </c>
      <c r="I3584" s="2">
        <f ca="1"/>
        <v>3577</v>
      </c>
      <c r="J3584">
        <f ca="1"/>
        <v>6.2412974051317214</v>
      </c>
      <c r="K3584">
        <f ca="1"/>
        <v>-1.0483265146937878E-3</v>
      </c>
    </row>
    <row r="3585" spans="7:11">
      <c r="G3585" s="20">
        <v>6.2430427343837174</v>
      </c>
      <c r="H3585" s="20">
        <v>3.6939214460342041E-3</v>
      </c>
      <c r="I3585" s="2">
        <f ca="1"/>
        <v>3578</v>
      </c>
      <c r="J3585">
        <f ca="1"/>
        <v>6.2430427343837174</v>
      </c>
      <c r="K3585">
        <f ca="1"/>
        <v>-1.002679519161726E-3</v>
      </c>
    </row>
    <row r="3586" spans="7:11">
      <c r="G3586" s="20">
        <v>6.2447880636357116</v>
      </c>
      <c r="H3586" s="20">
        <v>3.6922112611641631E-3</v>
      </c>
      <c r="I3586" s="2">
        <f ca="1"/>
        <v>3579</v>
      </c>
      <c r="J3586">
        <f ca="1"/>
        <v>6.2447880636357116</v>
      </c>
      <c r="K3586">
        <f ca="1"/>
        <v>-9.5701749658349015E-4</v>
      </c>
    </row>
    <row r="3587" spans="7:11">
      <c r="G3587" s="20">
        <v>6.246533392887704</v>
      </c>
      <c r="H3587" s="20">
        <v>3.6905808247712909E-3</v>
      </c>
      <c r="I3587" s="2">
        <f ca="1"/>
        <v>3580</v>
      </c>
      <c r="J3587">
        <f ca="1"/>
        <v>6.246533392887704</v>
      </c>
      <c r="K3587">
        <f ca="1"/>
        <v>-9.1133713953169037E-4</v>
      </c>
    </row>
    <row r="3588" spans="7:11">
      <c r="G3588" s="20">
        <v>6.2482787221397</v>
      </c>
      <c r="H3588" s="20">
        <v>3.6890300944280563E-3</v>
      </c>
      <c r="I3588" s="2">
        <f ca="1"/>
        <v>3581</v>
      </c>
      <c r="J3588">
        <f ca="1"/>
        <v>6.2482787221397</v>
      </c>
      <c r="K3588">
        <f ca="1"/>
        <v>-8.6572836735559903E-4</v>
      </c>
    </row>
    <row r="3589" spans="7:11">
      <c r="G3589" s="20">
        <v>6.2500240513916943</v>
      </c>
      <c r="H3589" s="20">
        <v>3.6875588626836355E-3</v>
      </c>
      <c r="I3589" s="2">
        <f ca="1"/>
        <v>3582</v>
      </c>
      <c r="J3589">
        <f ca="1"/>
        <v>6.2500240513916943</v>
      </c>
      <c r="K3589">
        <f ca="1"/>
        <v>-8.2009556011243968E-4</v>
      </c>
    </row>
    <row r="3590" spans="7:11">
      <c r="G3590" s="20">
        <v>6.2517693806436885</v>
      </c>
      <c r="H3590" s="20">
        <v>3.6861674208870667E-3</v>
      </c>
      <c r="I3590" s="2">
        <f ca="1"/>
        <v>3583</v>
      </c>
      <c r="J3590">
        <f ca="1"/>
        <v>6.2517693806436885</v>
      </c>
      <c r="K3590">
        <f ca="1"/>
        <v>-7.7440554504451357E-4</v>
      </c>
    </row>
    <row r="3591" spans="7:11">
      <c r="G3591" s="20">
        <v>6.2535147098956818</v>
      </c>
      <c r="H3591" s="20">
        <v>3.6848556773822908E-3</v>
      </c>
      <c r="I3591" s="2">
        <f ca="1"/>
        <v>3584</v>
      </c>
      <c r="J3591">
        <f ca="1"/>
        <v>6.2535147098956818</v>
      </c>
      <c r="K3591">
        <f ca="1"/>
        <v>-7.2881041785302463E-4</v>
      </c>
    </row>
    <row r="3592" spans="7:11">
      <c r="G3592" s="20">
        <v>6.2552600391476769</v>
      </c>
      <c r="H3592" s="20">
        <v>3.6836233926041927E-3</v>
      </c>
      <c r="I3592" s="2">
        <f ca="1"/>
        <v>3585</v>
      </c>
      <c r="J3592">
        <f ca="1"/>
        <v>6.2552600391476769</v>
      </c>
      <c r="K3592">
        <f ca="1"/>
        <v>-6.8330133465698245E-4</v>
      </c>
    </row>
    <row r="3593" spans="7:11">
      <c r="G3593" s="20">
        <v>6.2570053683996711</v>
      </c>
      <c r="H3593" s="20">
        <v>3.6824705057676831E-3</v>
      </c>
      <c r="I3593" s="2">
        <f ca="1"/>
        <v>3586</v>
      </c>
      <c r="J3593">
        <f ca="1"/>
        <v>6.2570053683996711</v>
      </c>
      <c r="K3593">
        <f ca="1"/>
        <v>-6.3778634240950428E-4</v>
      </c>
    </row>
    <row r="3594" spans="7:11">
      <c r="G3594" s="20">
        <v>6.2587506976516654</v>
      </c>
      <c r="H3594" s="20">
        <v>3.6813970982843332E-3</v>
      </c>
      <c r="I3594" s="2">
        <f ca="1"/>
        <v>3587</v>
      </c>
      <c r="J3594">
        <f ca="1"/>
        <v>6.2587506976516654</v>
      </c>
      <c r="K3594">
        <f ca="1"/>
        <v>-5.9223501606139558E-4</v>
      </c>
    </row>
    <row r="3595" spans="7:11">
      <c r="G3595" s="20">
        <v>6.2604960269036596</v>
      </c>
      <c r="H3595" s="20">
        <v>3.6804032155725087E-3</v>
      </c>
      <c r="I3595" s="2">
        <f ca="1"/>
        <v>3588</v>
      </c>
      <c r="J3595">
        <f ca="1"/>
        <v>6.2604960269036596</v>
      </c>
      <c r="K3595">
        <f ca="1"/>
        <v>-5.4673160555501104E-4</v>
      </c>
    </row>
    <row r="3596" spans="7:11">
      <c r="G3596" s="20">
        <v>6.2622413561556538</v>
      </c>
      <c r="H3596" s="20">
        <v>3.6794886449560034E-3</v>
      </c>
      <c r="I3596" s="2">
        <f ca="1"/>
        <v>3589</v>
      </c>
      <c r="J3596">
        <f ca="1"/>
        <v>6.2622413561556538</v>
      </c>
      <c r="K3596">
        <f ca="1"/>
        <v>-5.0132030074618314E-4</v>
      </c>
    </row>
    <row r="3597" spans="7:11">
      <c r="G3597" s="20">
        <v>6.263986685407648</v>
      </c>
      <c r="H3597" s="20">
        <v>3.678653277601487E-3</v>
      </c>
      <c r="I3597" s="2">
        <f ca="1"/>
        <v>3590</v>
      </c>
      <c r="J3597">
        <f ca="1"/>
        <v>6.263986685407648</v>
      </c>
      <c r="K3597">
        <f ca="1"/>
        <v>-4.5590675378048449E-4</v>
      </c>
    </row>
    <row r="3598" spans="7:11">
      <c r="G3598" s="20">
        <v>6.2657320146596422</v>
      </c>
      <c r="H3598" s="20">
        <v>3.6778972301688938E-3</v>
      </c>
      <c r="I3598" s="2">
        <f ca="1"/>
        <v>3591</v>
      </c>
      <c r="J3598">
        <f ca="1"/>
        <v>6.2657320146596422</v>
      </c>
      <c r="K3598">
        <f ca="1"/>
        <v>-4.1048601582788945E-4</v>
      </c>
    </row>
    <row r="3599" spans="7:11">
      <c r="G3599" s="20">
        <v>6.2674773439116365</v>
      </c>
      <c r="H3599" s="20">
        <v>3.677220411099569E-3</v>
      </c>
      <c r="I3599" s="2">
        <f ca="1"/>
        <v>3592</v>
      </c>
      <c r="J3599">
        <f ca="1"/>
        <v>6.2674773439116365</v>
      </c>
      <c r="K3599">
        <f ca="1"/>
        <v>-3.6515003008650909E-4</v>
      </c>
    </row>
    <row r="3600" spans="7:11">
      <c r="G3600" s="20">
        <v>6.2692226731636325</v>
      </c>
      <c r="H3600" s="20">
        <v>3.67662261611114E-3</v>
      </c>
      <c r="I3600" s="2">
        <f ca="1"/>
        <v>3593</v>
      </c>
      <c r="J3600">
        <f ca="1"/>
        <v>6.2692226731636325</v>
      </c>
      <c r="K3600">
        <f ca="1"/>
        <v>-3.1981128350510023E-4</v>
      </c>
    </row>
    <row r="3601" spans="7:11">
      <c r="G3601" s="20">
        <v>6.2709680024156267</v>
      </c>
      <c r="H3601" s="20">
        <v>3.6761040591231299E-3</v>
      </c>
      <c r="I3601" s="2">
        <f ca="1"/>
        <v>3594</v>
      </c>
      <c r="J3601">
        <f ca="1"/>
        <v>6.2709680024156267</v>
      </c>
      <c r="K3601">
        <f ca="1"/>
        <v>-2.7444159811520618E-4</v>
      </c>
    </row>
    <row r="3602" spans="7:11">
      <c r="G3602" s="20">
        <v>6.2727133316676191</v>
      </c>
      <c r="H3602" s="20">
        <v>3.6756646342128315E-3</v>
      </c>
      <c r="I3602" s="2">
        <f ca="1"/>
        <v>3595</v>
      </c>
      <c r="J3602">
        <f ca="1"/>
        <v>6.2727133316676191</v>
      </c>
      <c r="K3602">
        <f ca="1"/>
        <v>-2.2916290062754131E-4</v>
      </c>
    </row>
    <row r="3603" spans="7:11">
      <c r="G3603" s="20">
        <v>6.2744586609196151</v>
      </c>
      <c r="H3603" s="20">
        <v>3.6753041296952557E-3</v>
      </c>
      <c r="I3603" s="2">
        <f ca="1"/>
        <v>3596</v>
      </c>
      <c r="J3603">
        <f ca="1"/>
        <v>6.2744586609196151</v>
      </c>
      <c r="K3603">
        <f ca="1"/>
        <v>-1.8396417230261627E-4</v>
      </c>
    </row>
    <row r="3604" spans="7:11">
      <c r="G3604" s="20">
        <v>6.2762039901716093</v>
      </c>
      <c r="H3604" s="20">
        <v>3.6750224781103538E-3</v>
      </c>
      <c r="I3604" s="2">
        <f ca="1"/>
        <v>3597</v>
      </c>
      <c r="J3604">
        <f ca="1"/>
        <v>6.2762039901716093</v>
      </c>
      <c r="K3604">
        <f ca="1"/>
        <v>-1.3877857520289111E-4</v>
      </c>
    </row>
    <row r="3605" spans="7:11">
      <c r="G3605" s="20">
        <v>6.2779493194236036</v>
      </c>
      <c r="H3605" s="20">
        <v>3.6748197010815524E-3</v>
      </c>
      <c r="I3605" s="2">
        <f ca="1"/>
        <v>3598</v>
      </c>
      <c r="J3605">
        <f ca="1"/>
        <v>6.2779493194236036</v>
      </c>
      <c r="K3605">
        <f ca="1"/>
        <v>-9.360556930707179E-5</v>
      </c>
    </row>
    <row r="3606" spans="7:11">
      <c r="G3606" s="20">
        <v>6.2796946486755969</v>
      </c>
      <c r="H3606" s="20">
        <v>3.6746957330338315E-3</v>
      </c>
      <c r="I3606" s="2">
        <f ca="1"/>
        <v>3599</v>
      </c>
      <c r="J3606">
        <f ca="1"/>
        <v>6.2796946486755969</v>
      </c>
      <c r="K3606">
        <f ca="1"/>
        <v>-4.8499682028612437E-5</v>
      </c>
    </row>
    <row r="3607" spans="7:11">
      <c r="G3607" s="20">
        <v>6.281439977927592</v>
      </c>
      <c r="H3607" s="20">
        <v>3.6746504052540385E-3</v>
      </c>
      <c r="I3607" s="2">
        <f ca="1"/>
        <v>3600</v>
      </c>
      <c r="J3607">
        <f ca="1"/>
        <v>6.281439977927592</v>
      </c>
      <c r="K3607">
        <f ca="1"/>
        <v>-3.4087741952656083E-6</v>
      </c>
    </row>
    <row r="3608" spans="7:11">
      <c r="G3608" s="20">
        <v>6.2831853071795862</v>
      </c>
      <c r="H3608" s="20">
        <v>3.6746838341671986E-3</v>
      </c>
      <c r="I3608" s="2">
        <f ca="1"/>
        <v>3601</v>
      </c>
      <c r="J3608">
        <f ca="1"/>
        <v>6.2831853071795862</v>
      </c>
      <c r="K3608">
        <f ca="1"/>
        <v>1.9153356377874528E-5</v>
      </c>
    </row>
  </sheetData>
  <mergeCells count="4">
    <mergeCell ref="G6:H6"/>
    <mergeCell ref="C6:D6"/>
    <mergeCell ref="E6:F6"/>
    <mergeCell ref="I6:K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C7CC-683E-4521-B547-00BABAD13388}">
  <sheetPr codeName="Sheet2"/>
  <dimension ref="B1:L28"/>
  <sheetViews>
    <sheetView zoomScaleNormal="100" workbookViewId="0">
      <selection activeCell="F12" sqref="F12"/>
    </sheetView>
  </sheetViews>
  <sheetFormatPr defaultRowHeight="14.4"/>
  <cols>
    <col min="1" max="1" width="2.109375" customWidth="1"/>
    <col min="2" max="2" width="1.88671875" customWidth="1"/>
    <col min="3" max="3" width="3.44140625" customWidth="1"/>
    <col min="4" max="4" width="14.5546875" customWidth="1"/>
    <col min="5" max="5" width="6.44140625" style="7" customWidth="1"/>
    <col min="6" max="7" width="7.5546875" bestFit="1" customWidth="1"/>
    <col min="8" max="8" width="2.44140625" customWidth="1"/>
    <col min="9" max="9" width="4.44140625" bestFit="1" customWidth="1"/>
    <col min="10" max="10" width="5.5546875" style="67" bestFit="1" customWidth="1"/>
    <col min="11" max="11" width="6.109375" style="67" bestFit="1" customWidth="1"/>
    <col min="12" max="12" width="1.109375" style="2" customWidth="1"/>
  </cols>
  <sheetData>
    <row r="1" spans="2:12" ht="12.9" customHeight="1"/>
    <row r="2" spans="2:12" ht="23.4">
      <c r="B2" s="3" t="s">
        <v>47</v>
      </c>
      <c r="C2" s="3"/>
      <c r="D2" s="3"/>
      <c r="E2" s="14"/>
      <c r="F2" s="3"/>
    </row>
    <row r="3" spans="2:12" ht="14.4" customHeight="1"/>
    <row r="4" spans="2:12" ht="14.4" customHeight="1">
      <c r="C4" s="20" t="s">
        <v>35</v>
      </c>
      <c r="D4" s="20"/>
      <c r="E4" s="21"/>
    </row>
    <row r="5" spans="2:12" ht="14.4" customHeight="1"/>
    <row r="6" spans="2:12">
      <c r="C6" s="1" t="s">
        <v>48</v>
      </c>
      <c r="H6" s="1" t="s">
        <v>49</v>
      </c>
      <c r="I6" s="1"/>
      <c r="J6" s="68"/>
      <c r="K6" s="68"/>
      <c r="L6" s="46"/>
    </row>
    <row r="7" spans="2:12" ht="15.6">
      <c r="D7" t="s">
        <v>50</v>
      </c>
      <c r="E7" s="7" t="s">
        <v>51</v>
      </c>
      <c r="F7" s="22">
        <v>0</v>
      </c>
      <c r="G7" t="s">
        <v>52</v>
      </c>
      <c r="H7" s="1" t="s">
        <v>53</v>
      </c>
      <c r="I7" s="1"/>
      <c r="J7" s="68"/>
      <c r="K7" s="68"/>
      <c r="L7" s="46"/>
    </row>
    <row r="8" spans="2:12" ht="15.6">
      <c r="D8" t="s">
        <v>54</v>
      </c>
      <c r="E8" s="7" t="s">
        <v>55</v>
      </c>
      <c r="F8" s="22">
        <v>3</v>
      </c>
      <c r="G8" t="s">
        <v>52</v>
      </c>
      <c r="J8" s="67" t="s">
        <v>56</v>
      </c>
      <c r="K8" s="67" t="s">
        <v>65</v>
      </c>
    </row>
    <row r="9" spans="2:12">
      <c r="D9" t="s">
        <v>57</v>
      </c>
      <c r="E9" s="7" t="s">
        <v>58</v>
      </c>
      <c r="F9" s="23">
        <v>7.3749999999999996E-2</v>
      </c>
      <c r="G9" t="s">
        <v>59</v>
      </c>
      <c r="I9" s="7" t="s">
        <v>60</v>
      </c>
      <c r="J9" s="69" cm="1">
        <f t="array" ref="J9">pA/2 + pB/2 - p_6 - 3*p_8 - 6*p_10 - 10*p_12 - 15*p_14 - 21*p_16 - 28*p_18</f>
        <v>1.5</v>
      </c>
      <c r="K9" s="69" cm="1">
        <f t="array" ref="K9">pA/2 + pB/2 + p_8 + 4*p_10 + 10*p_12 + 20*p_14 + 35*p_16 + 56*p_18</f>
        <v>1.5</v>
      </c>
      <c r="L9" s="45"/>
    </row>
    <row r="10" spans="2:12" ht="15.6">
      <c r="D10" t="s">
        <v>61</v>
      </c>
      <c r="E10" s="7" t="s">
        <v>62</v>
      </c>
      <c r="F10" s="23">
        <v>2.5000000000000001E-4</v>
      </c>
      <c r="G10" t="s">
        <v>59</v>
      </c>
      <c r="I10" s="7" t="s">
        <v>63</v>
      </c>
      <c r="J10" s="69" cm="1">
        <f t="array" ref="J10" xml:space="preserve"> (15*pB)/16 - (15*pA)/16 - p_7 - 3*p_9 - 6*p_11 - 10*p_13 - 15*p_15 - 21*p_17 - 28*p_19</f>
        <v>2.8125</v>
      </c>
      <c r="K10" s="69" cm="1">
        <f t="array" ref="K10">(35*pB)/32 - (35*pA)/32 + p_9 + 4*p_11 + 10*p_13 + 20*p_15 + 35*p_17 + 56*p_19</f>
        <v>3.28125</v>
      </c>
      <c r="L10" s="45"/>
    </row>
    <row r="11" spans="2:12" ht="15.6">
      <c r="D11" t="s">
        <v>64</v>
      </c>
      <c r="E11" s="7" t="s">
        <v>65</v>
      </c>
      <c r="F11" s="20">
        <v>0</v>
      </c>
      <c r="G11" t="s">
        <v>66</v>
      </c>
      <c r="I11" s="7" t="s">
        <v>67</v>
      </c>
      <c r="J11" s="69" cm="1">
        <f t="array" ref="J11">3*p_6 + 8*p_8 + 15*p_10 + 24*p_12 + 35*p_14 + 48*p_16 + 63*p_18</f>
        <v>0</v>
      </c>
      <c r="K11" s="69" cm="1">
        <f t="array" ref="K11">- 4*p_8 - 15*p_10 - 36*p_12 - 70*p_14 - 120*p_16 - 189*p_18</f>
        <v>0</v>
      </c>
      <c r="L11" s="45"/>
    </row>
    <row r="12" spans="2:12">
      <c r="I12" s="7" t="s">
        <v>68</v>
      </c>
      <c r="J12" s="69" cm="1">
        <f t="array" ref="J12">(5*pA)/8 - (5*pB)/8 + 3*p_7 + 8*p_9 + 15*p_11 + 24*p_13 + 35*p_15 + 48*p_17 + 63*p_19</f>
        <v>-1.875</v>
      </c>
      <c r="K12" s="69" cm="1">
        <f t="array" ref="K12">(35*pA)/32 - (35*pB)/32 - 4*p_9 - 15*p_11 - 36*p_13 - 70*p_15 - 120*p_17 - 189*p_19</f>
        <v>-3.28125</v>
      </c>
      <c r="L12" s="45"/>
    </row>
    <row r="13" spans="2:12">
      <c r="C13" s="1" t="s">
        <v>69</v>
      </c>
      <c r="I13" s="7" t="s">
        <v>70</v>
      </c>
      <c r="J13" s="69" cm="1">
        <f t="array" ref="J13">- 3*p_6 - 6*p_8 - 10*p_10 - 15*p_12 - 21*p_14 - 28*p_16 - 36*p_18</f>
        <v>0</v>
      </c>
      <c r="K13" s="69" cm="1">
        <f t="array" ref="K13">6*p_8 + 20*p_10 + 45*p_12 + 84*p_14 + 140*p_16 + 216*p_18</f>
        <v>0</v>
      </c>
      <c r="L13" s="45"/>
    </row>
    <row r="14" spans="2:12">
      <c r="D14" t="s">
        <v>71</v>
      </c>
      <c r="E14" s="7" t="s">
        <v>72</v>
      </c>
      <c r="F14">
        <f>ROUNDUP(F9/F10,0)+1</f>
        <v>296</v>
      </c>
      <c r="I14" s="7" t="s">
        <v>73</v>
      </c>
      <c r="J14" s="69" cm="1">
        <f t="array" ref="J14">(3*pB)/16 - (3*pA)/16 - 3*p_7 - 6*p_9 - 10*p_11 - 15*p_13 - 21*p_15 - 28*p_17 - 36*p_19</f>
        <v>0.5625</v>
      </c>
      <c r="K14" s="69" cm="1">
        <f t="array" ref="K14">(21*pB)/32 - (21*pA)/32 + 6*p_9 + 20*p_11 + 45*p_13 + 84*p_15 + 140*p_17 + 216*p_19</f>
        <v>1.96875</v>
      </c>
      <c r="L14" s="45"/>
    </row>
    <row r="15" spans="2:12" ht="15.6">
      <c r="D15" t="s">
        <v>74</v>
      </c>
      <c r="E15" s="7" t="s">
        <v>75</v>
      </c>
      <c r="F15" s="5" cm="1">
        <f t="array" aca="1" ref="F15" ca="1">SQRT(SUM(optipoly.Tm^2)/n)</f>
        <v>22.279166918559902</v>
      </c>
      <c r="G15" t="s">
        <v>76</v>
      </c>
      <c r="I15" s="7" t="s">
        <v>77</v>
      </c>
      <c r="J15" s="70">
        <v>0</v>
      </c>
      <c r="K15" s="69" cm="1">
        <f t="array" ref="K15">- 4*p_8 - 10*p_10 - 20*p_12 - 35*p_14 - 56*p_16 - 84*p_18</f>
        <v>0</v>
      </c>
      <c r="L15" s="45"/>
    </row>
    <row r="16" spans="2:12" ht="15.6">
      <c r="D16" t="s">
        <v>78</v>
      </c>
      <c r="E16" s="7" t="s">
        <v>79</v>
      </c>
      <c r="F16" s="5" cm="1">
        <f t="array" aca="1" ref="F16" ca="1">MAX(ABS(optipoly.Tm))</f>
        <v>37.523322793809541</v>
      </c>
      <c r="G16" t="s">
        <v>76</v>
      </c>
      <c r="I16" s="7" t="s">
        <v>80</v>
      </c>
      <c r="J16" s="70">
        <v>0</v>
      </c>
      <c r="K16" s="69" cm="1">
        <f t="array" ref="K16">(5*pA)/32 - (5*pB)/32 - 4*p_9 - 10*p_11 - 20*p_13 - 35*p_15 - 56*p_17 - 84*p_19</f>
        <v>-0.46875</v>
      </c>
      <c r="L16" s="45"/>
    </row>
    <row r="17" spans="3:12" ht="16.8">
      <c r="D17" t="s">
        <v>81</v>
      </c>
      <c r="E17" s="7" t="s">
        <v>82</v>
      </c>
      <c r="F17" s="15" cm="1">
        <f t="array" aca="1" ref="F17" ca="1">MAX(ABS(optipoly.qd3))</f>
        <v>448731.36980898731</v>
      </c>
      <c r="G17" t="s">
        <v>83</v>
      </c>
      <c r="I17" s="7" t="s">
        <v>84</v>
      </c>
      <c r="J17" s="70">
        <v>0</v>
      </c>
      <c r="K17" s="69">
        <v>0</v>
      </c>
      <c r="L17" s="45"/>
    </row>
    <row r="18" spans="3:12" ht="15.6">
      <c r="D18" t="s">
        <v>85</v>
      </c>
      <c r="E18" s="7" t="s">
        <v>86</v>
      </c>
      <c r="F18" s="16" cm="1">
        <f t="array" aca="1" ref="F18" ca="1">MAX(ABS(optipoly.Tmd1))</f>
        <v>6248.9522281501995</v>
      </c>
      <c r="G18" t="s">
        <v>87</v>
      </c>
      <c r="I18" s="7" t="s">
        <v>88</v>
      </c>
      <c r="J18" s="70">
        <v>0</v>
      </c>
      <c r="K18" s="69">
        <v>0</v>
      </c>
      <c r="L18" s="45"/>
    </row>
    <row r="19" spans="3:12" ht="16.5" customHeight="1">
      <c r="D19" t="s">
        <v>89</v>
      </c>
      <c r="F19">
        <f ca="1">IF(MIN(optipoly.qd1)&gt;-0.01,1,0)</f>
        <v>1</v>
      </c>
      <c r="G19" t="s">
        <v>66</v>
      </c>
      <c r="I19" s="7" t="s">
        <v>90</v>
      </c>
      <c r="J19" s="70">
        <v>0</v>
      </c>
      <c r="K19" s="69">
        <v>0</v>
      </c>
      <c r="L19" s="45"/>
    </row>
    <row r="20" spans="3:12" ht="16.5" customHeight="1">
      <c r="D20" t="s">
        <v>57</v>
      </c>
      <c r="E20" s="7" t="s">
        <v>58</v>
      </c>
      <c r="F20">
        <f>tAB</f>
        <v>7.3749999999999996E-2</v>
      </c>
      <c r="G20" t="s">
        <v>59</v>
      </c>
      <c r="I20" s="7" t="s">
        <v>91</v>
      </c>
      <c r="J20" s="70">
        <v>0</v>
      </c>
      <c r="K20" s="69">
        <v>0</v>
      </c>
      <c r="L20" s="45"/>
    </row>
    <row r="21" spans="3:12" ht="16.5" customHeight="1">
      <c r="I21" s="7" t="s">
        <v>92</v>
      </c>
      <c r="J21" s="70">
        <v>0</v>
      </c>
      <c r="K21" s="69">
        <v>0</v>
      </c>
      <c r="L21" s="45"/>
    </row>
    <row r="22" spans="3:12" ht="16.5" customHeight="1">
      <c r="C22" s="1" t="s">
        <v>93</v>
      </c>
      <c r="E22" s="47" t="s">
        <v>94</v>
      </c>
      <c r="F22" s="47" t="s">
        <v>95</v>
      </c>
      <c r="G22" s="47" t="s">
        <v>96</v>
      </c>
      <c r="I22" s="7" t="s">
        <v>97</v>
      </c>
      <c r="J22" s="70">
        <v>0</v>
      </c>
      <c r="K22" s="69">
        <v>0</v>
      </c>
      <c r="L22" s="45"/>
    </row>
    <row r="23" spans="3:12" ht="16.5" customHeight="1">
      <c r="C23" s="1"/>
      <c r="D23" t="s">
        <v>98</v>
      </c>
      <c r="E23" s="45" cm="1">
        <f t="array" aca="1" ref="E23" ca="1">MAX(ABS(refpoly.Tm))</f>
        <v>37.523322793809541</v>
      </c>
      <c r="F23" s="45" cm="1">
        <f t="array" aca="1" ref="F23" ca="1">SQRT(SUM(refpoly.Tm^2)/n)</f>
        <v>22.279166918559902</v>
      </c>
      <c r="G23" s="49" cm="1">
        <f t="array" aca="1" ref="G23" ca="1">MAX(ABS(refpoly.qd3))</f>
        <v>448731.36980898731</v>
      </c>
      <c r="I23" s="7" t="s">
        <v>142</v>
      </c>
      <c r="J23" s="69">
        <v>0</v>
      </c>
      <c r="K23" s="69">
        <v>0</v>
      </c>
    </row>
    <row r="24" spans="3:12" ht="16.5" customHeight="1">
      <c r="C24" s="1"/>
      <c r="D24" t="s">
        <v>99</v>
      </c>
      <c r="E24" s="45" cm="1">
        <f t="array" aca="1" ref="E24" ca="1">MAX(ABS(optipoly.Tm))</f>
        <v>37.523322793809541</v>
      </c>
      <c r="F24" s="45" cm="1">
        <f t="array" aca="1" ref="F24" ca="1">SQRT(SUM(optipoly.Tm^2)/n)</f>
        <v>22.279166918559902</v>
      </c>
      <c r="G24" s="49" cm="1">
        <f t="array" aca="1" ref="G24" ca="1">MAX(ABS(optipoly.qd3))</f>
        <v>448731.36980898731</v>
      </c>
      <c r="I24" s="7" t="s">
        <v>143</v>
      </c>
      <c r="J24" s="69">
        <v>0</v>
      </c>
      <c r="K24" s="69">
        <v>0</v>
      </c>
    </row>
    <row r="25" spans="3:12" ht="16.5" customHeight="1">
      <c r="C25" s="1"/>
      <c r="D25" t="s">
        <v>100</v>
      </c>
      <c r="E25" s="48">
        <f ca="1">(E24-E23)/E23</f>
        <v>0</v>
      </c>
      <c r="F25" s="48">
        <f ca="1">(F24-F23)/F23</f>
        <v>0</v>
      </c>
      <c r="G25" s="48">
        <f ca="1">(G24-G23)/G23</f>
        <v>0</v>
      </c>
      <c r="I25" s="7" t="s">
        <v>144</v>
      </c>
      <c r="J25" s="69">
        <v>0</v>
      </c>
      <c r="K25" s="69">
        <v>0</v>
      </c>
    </row>
    <row r="26" spans="3:12" ht="16.5" customHeight="1">
      <c r="C26" s="1"/>
      <c r="I26" s="7" t="s">
        <v>145</v>
      </c>
      <c r="J26" s="69">
        <v>0</v>
      </c>
      <c r="K26" s="69">
        <v>0</v>
      </c>
    </row>
    <row r="27" spans="3:12" ht="16.5" customHeight="1">
      <c r="I27" s="7" t="s">
        <v>146</v>
      </c>
      <c r="J27" s="69">
        <v>0</v>
      </c>
      <c r="K27" s="69">
        <v>0</v>
      </c>
    </row>
    <row r="28" spans="3:12" ht="16.5" customHeight="1">
      <c r="I28" s="7" t="s">
        <v>147</v>
      </c>
      <c r="J28" s="69">
        <v>0</v>
      </c>
      <c r="K28" s="69">
        <v>0</v>
      </c>
    </row>
  </sheetData>
  <phoneticPr fontId="16" type="noConversion"/>
  <conditionalFormatting sqref="J9:J14">
    <cfRule type="expression" dxfId="7" priority="3">
      <formula>IF(isj0,0,1)</formula>
    </cfRule>
    <cfRule type="expression" dxfId="6" priority="4">
      <formula>IF(isj0,1,0)</formula>
    </cfRule>
  </conditionalFormatting>
  <conditionalFormatting sqref="K9:K16">
    <cfRule type="expression" dxfId="5" priority="1">
      <formula>IF(isj0,0,1)</formula>
    </cfRule>
    <cfRule type="expression" dxfId="4" priority="2">
      <formula>IF(isj0,1,0)</formula>
    </cfRule>
  </conditionalFormatting>
  <conditionalFormatting sqref="J15:J28">
    <cfRule type="expression" dxfId="3" priority="7">
      <formula>IF(isj0,0,1)</formula>
    </cfRule>
    <cfRule type="expression" dxfId="2" priority="8">
      <formula>IF(isj0,1,0)</formula>
    </cfRule>
  </conditionalFormatting>
  <conditionalFormatting sqref="K17:K28">
    <cfRule type="expression" dxfId="1" priority="5">
      <formula>IF(isj0,0,1)</formula>
    </cfRule>
    <cfRule type="expression" dxfId="0" priority="6">
      <formula>IF(isj0,1,0)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0A13-397B-4B33-AD0D-626A22E95E98}">
  <dimension ref="B1:I14"/>
  <sheetViews>
    <sheetView workbookViewId="0">
      <selection activeCell="R15" sqref="R15"/>
    </sheetView>
  </sheetViews>
  <sheetFormatPr defaultRowHeight="14.4"/>
  <cols>
    <col min="1" max="1" width="2.109375" customWidth="1"/>
    <col min="2" max="2" width="2.5546875" customWidth="1"/>
    <col min="3" max="3" width="3.109375" style="1" customWidth="1"/>
    <col min="4" max="4" width="11" style="53" customWidth="1"/>
    <col min="5" max="6" width="7.5546875" style="2" customWidth="1"/>
    <col min="7" max="7" width="9" customWidth="1"/>
  </cols>
  <sheetData>
    <row r="1" spans="2:9" ht="8.4" customHeight="1"/>
    <row r="2" spans="2:9" ht="23.4">
      <c r="B2" s="3" t="s">
        <v>101</v>
      </c>
    </row>
    <row r="3" spans="2:9">
      <c r="I3" s="44"/>
    </row>
    <row r="4" spans="2:9">
      <c r="C4" s="1" t="s">
        <v>102</v>
      </c>
      <c r="I4" s="44"/>
    </row>
    <row r="5" spans="2:9" s="1" customFormat="1">
      <c r="D5" s="46"/>
      <c r="E5" s="47" t="s">
        <v>103</v>
      </c>
      <c r="F5" s="47" t="s">
        <v>104</v>
      </c>
      <c r="G5" s="47" t="s">
        <v>105</v>
      </c>
    </row>
    <row r="6" spans="2:9" s="50" customFormat="1" ht="28.8">
      <c r="C6" s="8"/>
      <c r="D6" s="56" t="s">
        <v>106</v>
      </c>
      <c r="E6" s="59" cm="1">
        <f t="array" aca="1" ref="E6" ca="1">MAX(ABS(refpoly.Tm))</f>
        <v>37.523322793809541</v>
      </c>
      <c r="F6" s="59" cm="1">
        <f t="array" aca="1" ref="F6" ca="1">SQRT(SUM(refpoly.Tm^2)/n)</f>
        <v>22.279166918559902</v>
      </c>
      <c r="G6" s="60" cm="1">
        <f t="array" aca="1" ref="G6" ca="1">MAX(ABS(refpoly.qd3))</f>
        <v>448731.36980898731</v>
      </c>
    </row>
    <row r="7" spans="2:9" s="50" customFormat="1" ht="28.8">
      <c r="C7" s="8"/>
      <c r="D7" s="57" t="s">
        <v>107</v>
      </c>
      <c r="E7" s="61" cm="1">
        <f t="array" aca="1" ref="E7" ca="1">MAX(ABS(optipoly.Tm))</f>
        <v>37.523322793809541</v>
      </c>
      <c r="F7" s="61" cm="1">
        <f t="array" aca="1" ref="F7" ca="1">SQRT(SUM(optipoly.Tm^2)/n)</f>
        <v>22.279166918559902</v>
      </c>
      <c r="G7" s="62" cm="1">
        <f t="array" aca="1" ref="G7" ca="1">MAX(ABS(optipoly.qd3))</f>
        <v>448731.36980898731</v>
      </c>
    </row>
    <row r="8" spans="2:9" s="32" customFormat="1" ht="29.1" customHeight="1">
      <c r="C8" s="51"/>
      <c r="D8" s="54" t="s">
        <v>100</v>
      </c>
      <c r="E8" s="52">
        <f ca="1">(E7-E6)/E6</f>
        <v>0</v>
      </c>
      <c r="F8" s="52">
        <f ca="1">(F7-F6)/F6</f>
        <v>0</v>
      </c>
      <c r="G8" s="52">
        <f ca="1">(G7-G6)/G6</f>
        <v>0</v>
      </c>
    </row>
    <row r="9" spans="2:9" s="32" customFormat="1">
      <c r="C9" s="51"/>
      <c r="D9" s="55"/>
      <c r="E9" s="50"/>
      <c r="F9" s="50"/>
    </row>
    <row r="10" spans="2:9" s="32" customFormat="1">
      <c r="C10" s="51" t="s">
        <v>108</v>
      </c>
      <c r="D10" s="55"/>
      <c r="E10" s="50"/>
      <c r="F10" s="50"/>
    </row>
    <row r="11" spans="2:9" s="32" customFormat="1">
      <c r="C11" s="51"/>
      <c r="D11" s="54"/>
      <c r="E11" s="8" t="s">
        <v>103</v>
      </c>
      <c r="F11" s="8" t="s">
        <v>104</v>
      </c>
      <c r="G11" s="8" t="s">
        <v>105</v>
      </c>
    </row>
    <row r="12" spans="2:9" s="32" customFormat="1" ht="29.1" customHeight="1">
      <c r="C12" s="51"/>
      <c r="D12" s="58" t="s">
        <v>109</v>
      </c>
      <c r="E12" s="63" cm="1">
        <f t="array" aca="1" ref="E12" ca="1">MAX(ABS(trap.Tm))</f>
        <v>38.174444145143994</v>
      </c>
      <c r="F12" s="63" cm="1">
        <f t="array" aca="1" ref="F12" ca="1">SQRT(SUM(trap.Tm^2)/n)</f>
        <v>17.058415047408143</v>
      </c>
      <c r="G12" s="64" cm="1">
        <f t="array" aca="1" ref="G12" ca="1">MAX(ABS(trap.qd3))</f>
        <v>4964090.7785119181</v>
      </c>
    </row>
    <row r="13" spans="2:9" s="32" customFormat="1" ht="29.1" customHeight="1">
      <c r="C13" s="51"/>
      <c r="D13" s="57" t="s">
        <v>107</v>
      </c>
      <c r="E13" s="61" cm="1">
        <f t="array" aca="1" ref="E13" ca="1">MAX(ABS(optipoly.Tm))</f>
        <v>37.523322793809541</v>
      </c>
      <c r="F13" s="61" cm="1">
        <f t="array" aca="1" ref="F13" ca="1">SQRT(SUM(optipoly.Tm^2)/n)</f>
        <v>22.279166918559902</v>
      </c>
      <c r="G13" s="62" cm="1">
        <f t="array" aca="1" ref="G13" ca="1">MAX(ABS(optipoly.qd3))</f>
        <v>448731.36980898731</v>
      </c>
    </row>
    <row r="14" spans="2:9" s="32" customFormat="1" ht="29.1" customHeight="1">
      <c r="C14" s="51"/>
      <c r="D14" s="54" t="s">
        <v>100</v>
      </c>
      <c r="E14" s="52">
        <f ca="1">(E13-E12)/E12</f>
        <v>-1.7056472357758725E-2</v>
      </c>
      <c r="F14" s="52">
        <f ca="1">(F13-F12)/F12</f>
        <v>0.30605140375834622</v>
      </c>
      <c r="G14" s="52">
        <f ca="1">(G13-G12)/G12</f>
        <v>-0.90960451977401113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FC02-7448-4928-9E84-6C07E2CEF173}">
  <dimension ref="A1:T298"/>
  <sheetViews>
    <sheetView zoomScaleNormal="100" workbookViewId="0">
      <selection activeCell="L3" sqref="L3"/>
    </sheetView>
  </sheetViews>
  <sheetFormatPr defaultColWidth="8.88671875" defaultRowHeight="14.4"/>
  <cols>
    <col min="1" max="1" width="7" style="43" bestFit="1" customWidth="1"/>
    <col min="2" max="2" width="7.5546875" style="4" bestFit="1" customWidth="1"/>
    <col min="3" max="3" width="7.109375" style="5" customWidth="1"/>
    <col min="4" max="4" width="8.109375" style="6" bestFit="1" customWidth="1"/>
    <col min="5" max="5" width="8.5546875" style="6" bestFit="1" customWidth="1"/>
    <col min="6" max="6" width="12.109375" style="6" customWidth="1"/>
    <col min="7" max="7" width="9.44140625" style="42" bestFit="1" customWidth="1"/>
    <col min="8" max="8" width="8.109375" style="6" bestFit="1" customWidth="1"/>
    <col min="9" max="9" width="7.88671875" style="5" customWidth="1"/>
    <col min="10" max="10" width="8.109375" style="6" bestFit="1" customWidth="1"/>
    <col min="11" max="11" width="8.5546875" style="6" bestFit="1" customWidth="1"/>
    <col min="12" max="12" width="11.109375" style="6" bestFit="1" customWidth="1"/>
    <col min="13" max="13" width="9.109375" style="42" bestFit="1" customWidth="1"/>
    <col min="14" max="14" width="7.88671875" style="6" bestFit="1" customWidth="1"/>
    <col min="15" max="15" width="7.5546875" style="5" customWidth="1"/>
    <col min="16" max="16" width="7.88671875" style="6" bestFit="1" customWidth="1"/>
    <col min="17" max="17" width="8.5546875" style="6" bestFit="1" customWidth="1"/>
    <col min="18" max="18" width="11.109375" style="6" bestFit="1" customWidth="1"/>
    <col min="19" max="19" width="9.109375" style="42" bestFit="1" customWidth="1"/>
    <col min="20" max="20" width="8.109375" style="6" bestFit="1" customWidth="1"/>
    <col min="21" max="16384" width="8.88671875" style="5"/>
  </cols>
  <sheetData>
    <row r="1" spans="1:20" s="38" customFormat="1">
      <c r="A1" s="80" t="s">
        <v>110</v>
      </c>
      <c r="B1" s="80"/>
      <c r="D1" s="80" t="s">
        <v>111</v>
      </c>
      <c r="E1" s="80"/>
      <c r="F1" s="80"/>
      <c r="G1" s="80"/>
      <c r="H1" s="80"/>
      <c r="J1" s="80" t="s">
        <v>112</v>
      </c>
      <c r="K1" s="80"/>
      <c r="L1" s="80"/>
      <c r="M1" s="80"/>
      <c r="N1" s="80"/>
      <c r="P1" s="80" t="s">
        <v>113</v>
      </c>
      <c r="Q1" s="80"/>
      <c r="R1" s="80"/>
      <c r="S1" s="80"/>
      <c r="T1" s="80"/>
    </row>
    <row r="2" spans="1:20" ht="44.4">
      <c r="A2" s="40" t="s">
        <v>114</v>
      </c>
      <c r="B2" s="9" t="s">
        <v>115</v>
      </c>
      <c r="C2" s="10"/>
      <c r="D2" s="39" t="s">
        <v>116</v>
      </c>
      <c r="E2" s="39" t="s">
        <v>117</v>
      </c>
      <c r="F2" s="39" t="s">
        <v>118</v>
      </c>
      <c r="G2" s="41" t="s">
        <v>119</v>
      </c>
      <c r="H2" s="39" t="s">
        <v>120</v>
      </c>
      <c r="J2" s="39" t="s">
        <v>116</v>
      </c>
      <c r="K2" s="39" t="s">
        <v>117</v>
      </c>
      <c r="L2" s="39" t="s">
        <v>118</v>
      </c>
      <c r="M2" s="41" t="s">
        <v>119</v>
      </c>
      <c r="N2" s="39" t="s">
        <v>120</v>
      </c>
      <c r="P2" s="39" t="s">
        <v>116</v>
      </c>
      <c r="Q2" s="39" t="s">
        <v>117</v>
      </c>
      <c r="R2" s="39" t="s">
        <v>118</v>
      </c>
      <c r="S2" s="41" t="s">
        <v>119</v>
      </c>
      <c r="T2" s="39" t="s">
        <v>120</v>
      </c>
    </row>
    <row r="3" spans="1:20">
      <c r="A3" s="43" cm="1">
        <f t="array" aca="1" ref="A3:A298" ca="1">time_i</f>
        <v>1</v>
      </c>
      <c r="B3" s="4" cm="1">
        <f t="array" aca="1" ref="B3:B298" ca="1">time_t</f>
        <v>0</v>
      </c>
      <c r="D3" s="6" cm="1">
        <f t="array" aca="1" ref="D3:D298" ca="1">trap.q</f>
        <v>0</v>
      </c>
      <c r="E3" s="6" cm="1">
        <f t="array" aca="1" ref="E3:E298" ca="1">trap.qd1</f>
        <v>0</v>
      </c>
      <c r="F3" s="6" cm="1">
        <f t="array" aca="1" ref="F3:F298" ca="1">trap.qd2</f>
        <v>2482.0453892559613</v>
      </c>
      <c r="G3" s="42" cm="1">
        <f t="array" aca="1" ref="G3:G298" ca="1">trap.qd3</f>
        <v>0</v>
      </c>
      <c r="H3" s="6" cm="1">
        <f t="array" aca="1" ref="H3:H298" ca="1">trap.Tm</f>
        <v>9.1618698159514356</v>
      </c>
      <c r="J3" s="6" cm="1">
        <f t="array" aca="1" ref="J3:J298" ca="1">refpoly.q</f>
        <v>0</v>
      </c>
      <c r="K3" s="6" cm="1">
        <f t="array" aca="1" ref="K3:K298" ca="1">refpoly.qd1</f>
        <v>0</v>
      </c>
      <c r="L3" s="6" cm="1">
        <f t="array" aca="1" ref="L3:L298" ca="1">refpoly.qd2</f>
        <v>0</v>
      </c>
      <c r="M3" s="42" cm="1">
        <f t="array" aca="1" ref="M3:M298" ca="1">refpoly.qd3</f>
        <v>448731.36980898731</v>
      </c>
      <c r="N3" s="6" cm="1">
        <f t="array" aca="1" ref="N3:N298" ca="1">refpoly.Tm</f>
        <v>0.1025359665978</v>
      </c>
      <c r="P3" s="6" cm="1">
        <f t="array" aca="1" ref="P3:P298" ca="1">optipoly.q</f>
        <v>0</v>
      </c>
      <c r="Q3" s="6" cm="1">
        <f t="array" aca="1" ref="Q3:Q298" ca="1">optipoly.qd1</f>
        <v>0</v>
      </c>
      <c r="R3" s="6" cm="1">
        <f t="array" aca="1" ref="R3:R298" ca="1">optipoly.qd2</f>
        <v>0</v>
      </c>
      <c r="S3" s="42" cm="1">
        <f t="array" aca="1" ref="S3:S298" ca="1">optipoly.qd3</f>
        <v>448731.36980898731</v>
      </c>
      <c r="T3" s="6" cm="1">
        <f t="array" aca="1" ref="T3:T298" ca="1">optipoly.Tm</f>
        <v>0.1025359665978</v>
      </c>
    </row>
    <row r="4" spans="1:20">
      <c r="A4" s="43">
        <f ca="1"/>
        <v>2</v>
      </c>
      <c r="B4" s="4">
        <f ca="1"/>
        <v>2.5000000000000001E-4</v>
      </c>
      <c r="D4" s="6">
        <f ca="1"/>
        <v>7.756391841424887E-5</v>
      </c>
      <c r="E4" s="6">
        <f ca="1"/>
        <v>0.6205113473139906</v>
      </c>
      <c r="F4" s="6">
        <f ca="1"/>
        <v>2482.0453892559613</v>
      </c>
      <c r="G4" s="42">
        <f ca="1"/>
        <v>0</v>
      </c>
      <c r="H4" s="6">
        <f ca="1"/>
        <v>9.1619892627024697</v>
      </c>
      <c r="J4" s="6">
        <f ca="1"/>
        <v>1.1626374443185483E-6</v>
      </c>
      <c r="K4" s="6">
        <f ca="1"/>
        <v>1.392794623700459E-2</v>
      </c>
      <c r="L4" s="6">
        <f ca="1"/>
        <v>111.04457816169487</v>
      </c>
      <c r="M4" s="42">
        <f ca="1"/>
        <v>439635.56818482128</v>
      </c>
      <c r="N4" s="6">
        <f ca="1"/>
        <v>0.5078442107162191</v>
      </c>
      <c r="P4" s="6">
        <f ca="1"/>
        <v>1.1626374445405929E-6</v>
      </c>
      <c r="Q4" s="6">
        <f ca="1"/>
        <v>1.392794623700459E-2</v>
      </c>
      <c r="R4" s="6">
        <f ca="1"/>
        <v>111.04457816169487</v>
      </c>
      <c r="S4" s="42">
        <f ca="1"/>
        <v>439635.56818482117</v>
      </c>
      <c r="T4" s="6">
        <f ca="1"/>
        <v>0.50784421071621944</v>
      </c>
    </row>
    <row r="5" spans="1:20">
      <c r="A5" s="43">
        <f ca="1"/>
        <v>3</v>
      </c>
      <c r="B5" s="4">
        <f ca="1"/>
        <v>5.0000000000000001E-4</v>
      </c>
      <c r="D5" s="6">
        <f ca="1"/>
        <v>3.1025567365699548E-4</v>
      </c>
      <c r="E5" s="6">
        <f ca="1"/>
        <v>1.2410226946279812</v>
      </c>
      <c r="F5" s="6">
        <f ca="1"/>
        <v>2482.0453892559613</v>
      </c>
      <c r="G5" s="42">
        <f ca="1"/>
        <v>0</v>
      </c>
      <c r="H5" s="6">
        <f ca="1"/>
        <v>9.1623499120843768</v>
      </c>
      <c r="J5" s="6">
        <f ca="1"/>
        <v>9.2537578164630929E-6</v>
      </c>
      <c r="K5" s="6">
        <f ca="1"/>
        <v>5.53334377574363E-2</v>
      </c>
      <c r="L5" s="6">
        <f ca="1"/>
        <v>219.822940442538</v>
      </c>
      <c r="M5" s="42">
        <f ca="1"/>
        <v>430601.64276218013</v>
      </c>
      <c r="N5" s="6">
        <f ca="1"/>
        <v>0.90488953093696556</v>
      </c>
      <c r="P5" s="6">
        <f ca="1"/>
        <v>9.2537578164630929E-6</v>
      </c>
      <c r="Q5" s="6">
        <f ca="1"/>
        <v>5.5333437757448346E-2</v>
      </c>
      <c r="R5" s="6">
        <f ca="1"/>
        <v>219.822940442538</v>
      </c>
      <c r="S5" s="42">
        <f ca="1"/>
        <v>430601.64276218013</v>
      </c>
      <c r="T5" s="6">
        <f ca="1"/>
        <v>0.90488953093696556</v>
      </c>
    </row>
    <row r="6" spans="1:20">
      <c r="A6" s="43">
        <f ca="1"/>
        <v>4</v>
      </c>
      <c r="B6" s="4">
        <f ca="1"/>
        <v>7.5000000000000002E-4</v>
      </c>
      <c r="D6" s="6">
        <f ca="1"/>
        <v>6.980752657282398E-4</v>
      </c>
      <c r="E6" s="6">
        <f ca="1"/>
        <v>1.8615340419419719</v>
      </c>
      <c r="F6" s="6">
        <f ca="1"/>
        <v>2482.0453892559613</v>
      </c>
      <c r="G6" s="42">
        <f ca="1"/>
        <v>0</v>
      </c>
      <c r="H6" s="6">
        <f ca="1"/>
        <v>9.1629586914835794</v>
      </c>
      <c r="J6" s="6">
        <f ca="1"/>
        <v>3.1072089326400487E-5</v>
      </c>
      <c r="K6" s="6">
        <f ca="1"/>
        <v>0.12365185422240671</v>
      </c>
      <c r="L6" s="6">
        <f ca="1"/>
        <v>326.35055589291062</v>
      </c>
      <c r="M6" s="42">
        <f ca="1"/>
        <v>421629.59354106389</v>
      </c>
      <c r="N6" s="6">
        <f ca="1"/>
        <v>1.2937371753842355</v>
      </c>
      <c r="P6" s="6">
        <f ca="1"/>
        <v>3.1072089326178443E-5</v>
      </c>
      <c r="Q6" s="6">
        <f ca="1"/>
        <v>0.12365185422240671</v>
      </c>
      <c r="R6" s="6">
        <f ca="1"/>
        <v>326.35055589291187</v>
      </c>
      <c r="S6" s="42">
        <f ca="1"/>
        <v>421629.59354106389</v>
      </c>
      <c r="T6" s="6">
        <f ca="1"/>
        <v>1.2937371753842399</v>
      </c>
    </row>
    <row r="7" spans="1:20">
      <c r="A7" s="43">
        <f ca="1"/>
        <v>5</v>
      </c>
      <c r="B7" s="4">
        <f ca="1"/>
        <v>1E-3</v>
      </c>
      <c r="D7" s="6">
        <f ca="1"/>
        <v>1.2410226946279819E-3</v>
      </c>
      <c r="E7" s="6">
        <f ca="1"/>
        <v>2.4820453892559624</v>
      </c>
      <c r="F7" s="6">
        <f ca="1"/>
        <v>2482.0453892559613</v>
      </c>
      <c r="G7" s="42">
        <f ca="1"/>
        <v>0</v>
      </c>
      <c r="H7" s="6">
        <f ca="1"/>
        <v>9.163827146544115</v>
      </c>
      <c r="J7" s="6">
        <f ca="1"/>
        <v>7.3275688507346004E-5</v>
      </c>
      <c r="K7" s="6">
        <f ca="1"/>
        <v>0.21832244255555716</v>
      </c>
      <c r="L7" s="6">
        <f ca="1"/>
        <v>430.64289356319779</v>
      </c>
      <c r="M7" s="42">
        <f ca="1"/>
        <v>412719.42052147258</v>
      </c>
      <c r="N7" s="6">
        <f ca="1"/>
        <v>1.6744525360710889</v>
      </c>
      <c r="P7" s="6">
        <f ca="1"/>
        <v>7.3275688507568049E-5</v>
      </c>
      <c r="Q7" s="6">
        <f ca="1"/>
        <v>0.21832244255555716</v>
      </c>
      <c r="R7" s="6">
        <f ca="1"/>
        <v>430.64289356319779</v>
      </c>
      <c r="S7" s="42">
        <f ca="1"/>
        <v>412719.42052147258</v>
      </c>
      <c r="T7" s="6">
        <f ca="1"/>
        <v>1.6744525360710891</v>
      </c>
    </row>
    <row r="8" spans="1:20">
      <c r="A8" s="43">
        <f ca="1"/>
        <v>6</v>
      </c>
      <c r="B8" s="4">
        <f ca="1"/>
        <v>1.25E-3</v>
      </c>
      <c r="D8" s="6">
        <f ca="1"/>
        <v>1.9390979603562217E-3</v>
      </c>
      <c r="E8" s="6">
        <f ca="1"/>
        <v>3.1025567365699533</v>
      </c>
      <c r="F8" s="6">
        <f ca="1"/>
        <v>2482.0453892559613</v>
      </c>
      <c r="G8" s="42">
        <f ca="1"/>
        <v>0</v>
      </c>
      <c r="H8" s="6">
        <f ca="1"/>
        <v>9.1650050816827431</v>
      </c>
      <c r="J8" s="6">
        <f ca="1"/>
        <v>1.4238290703283418E-4</v>
      </c>
      <c r="K8" s="6">
        <f ca="1"/>
        <v>0.33878831694319134</v>
      </c>
      <c r="L8" s="6">
        <f ca="1"/>
        <v>532.71542250377433</v>
      </c>
      <c r="M8" s="42">
        <f ca="1"/>
        <v>403871.12370340631</v>
      </c>
      <c r="N8" s="6">
        <f ca="1"/>
        <v>2.047101147938736</v>
      </c>
      <c r="P8" s="6">
        <f ca="1"/>
        <v>1.4238290703283418E-4</v>
      </c>
      <c r="Q8" s="6">
        <f ca="1"/>
        <v>0.33878831694320338</v>
      </c>
      <c r="R8" s="6">
        <f ca="1"/>
        <v>532.71542250377433</v>
      </c>
      <c r="S8" s="42">
        <f ca="1"/>
        <v>403871.12370340625</v>
      </c>
      <c r="T8" s="6">
        <f ca="1"/>
        <v>2.047101147938736</v>
      </c>
    </row>
    <row r="9" spans="1:20">
      <c r="A9" s="43">
        <f ca="1"/>
        <v>7</v>
      </c>
      <c r="B9" s="4">
        <f ca="1"/>
        <v>1.5E-3</v>
      </c>
      <c r="D9" s="6">
        <f ca="1"/>
        <v>2.7923010629129592E-3</v>
      </c>
      <c r="E9" s="6">
        <f ca="1"/>
        <v>3.7230680838839438</v>
      </c>
      <c r="F9" s="6">
        <f ca="1"/>
        <v>2482.0453892559613</v>
      </c>
      <c r="G9" s="42">
        <f ca="1"/>
        <v>0</v>
      </c>
      <c r="H9" s="6">
        <f ca="1"/>
        <v>9.1666226682844236</v>
      </c>
      <c r="J9" s="6">
        <f ca="1"/>
        <v>2.4477335852846061E-4</v>
      </c>
      <c r="K9" s="6">
        <f ca="1"/>
        <v>0.48449645883417874</v>
      </c>
      <c r="L9" s="6">
        <f ca="1"/>
        <v>632.58361176502672</v>
      </c>
      <c r="M9" s="42">
        <f ca="1"/>
        <v>395084.70308686484</v>
      </c>
      <c r="N9" s="6">
        <f ca="1"/>
        <v>2.4117487061595893</v>
      </c>
      <c r="P9" s="6">
        <f ca="1"/>
        <v>2.4477335852868265E-4</v>
      </c>
      <c r="Q9" s="6">
        <f ca="1"/>
        <v>0.48449645883417874</v>
      </c>
      <c r="R9" s="6">
        <f ca="1"/>
        <v>632.58361176502672</v>
      </c>
      <c r="S9" s="42">
        <f ca="1"/>
        <v>395084.70308686479</v>
      </c>
      <c r="T9" s="6">
        <f ca="1"/>
        <v>2.4117487061595897</v>
      </c>
    </row>
    <row r="10" spans="1:20">
      <c r="A10" s="43">
        <f ca="1"/>
        <v>8</v>
      </c>
      <c r="B10" s="4">
        <f ca="1"/>
        <v>1.75E-3</v>
      </c>
      <c r="D10" s="6">
        <f ca="1"/>
        <v>3.8006320022981946E-3</v>
      </c>
      <c r="E10" s="6">
        <f ca="1"/>
        <v>4.3435794311979343</v>
      </c>
      <c r="F10" s="6">
        <f ca="1"/>
        <v>2482.0453892559613</v>
      </c>
      <c r="G10" s="42">
        <f ca="1"/>
        <v>0</v>
      </c>
      <c r="H10" s="6">
        <f ca="1"/>
        <v>9.168688882235891</v>
      </c>
      <c r="J10" s="6">
        <f ca="1"/>
        <v>3.8668888539206137E-4</v>
      </c>
      <c r="K10" s="6">
        <f ca="1"/>
        <v>0.65489771693996701</v>
      </c>
      <c r="L10" s="6">
        <f ca="1"/>
        <v>730.26293039733343</v>
      </c>
      <c r="M10" s="42">
        <f ca="1"/>
        <v>386360.15867184848</v>
      </c>
      <c r="N10" s="6">
        <f ca="1"/>
        <v>2.7684611057313955</v>
      </c>
      <c r="P10" s="6">
        <f ca="1"/>
        <v>3.8668888539206137E-4</v>
      </c>
      <c r="Q10" s="6">
        <f ca="1"/>
        <v>0.65489771693995491</v>
      </c>
      <c r="R10" s="6">
        <f ca="1"/>
        <v>730.26293039733469</v>
      </c>
      <c r="S10" s="42">
        <f ca="1"/>
        <v>386360.15867184848</v>
      </c>
      <c r="T10" s="6">
        <f ca="1"/>
        <v>2.7684611057313999</v>
      </c>
    </row>
    <row r="11" spans="1:20">
      <c r="A11" s="43">
        <f ca="1"/>
        <v>9</v>
      </c>
      <c r="B11" s="4">
        <f ca="1"/>
        <v>2E-3</v>
      </c>
      <c r="D11" s="6">
        <f ca="1"/>
        <v>4.9640907785119277E-3</v>
      </c>
      <c r="E11" s="6">
        <f ca="1"/>
        <v>4.9640907785119248</v>
      </c>
      <c r="F11" s="6">
        <f ca="1"/>
        <v>2482.0453892559613</v>
      </c>
      <c r="G11" s="42">
        <f ca="1"/>
        <v>0</v>
      </c>
      <c r="H11" s="6">
        <f ca="1"/>
        <v>9.1713241271797763</v>
      </c>
      <c r="J11" s="6">
        <f ca="1"/>
        <v>5.7423452560545485E-4</v>
      </c>
      <c r="K11" s="6">
        <f ca="1"/>
        <v>0.84944680723461763</v>
      </c>
      <c r="L11" s="6">
        <f ca="1"/>
        <v>825.76884745107964</v>
      </c>
      <c r="M11" s="42">
        <f ca="1"/>
        <v>377697.49045835692</v>
      </c>
      <c r="N11" s="6">
        <f ca="1"/>
        <v>3.1173045065626446</v>
      </c>
      <c r="P11" s="6">
        <f ca="1"/>
        <v>5.7423452560545485E-4</v>
      </c>
      <c r="Q11" s="6">
        <f ca="1"/>
        <v>0.84944680723462973</v>
      </c>
      <c r="R11" s="6">
        <f ca="1"/>
        <v>825.76884745107839</v>
      </c>
      <c r="S11" s="42">
        <f ca="1"/>
        <v>377697.49045835692</v>
      </c>
      <c r="T11" s="6">
        <f ca="1"/>
        <v>3.1173045065626401</v>
      </c>
    </row>
    <row r="12" spans="1:20">
      <c r="A12" s="43">
        <f ca="1"/>
        <v>10</v>
      </c>
      <c r="B12" s="4">
        <f ca="1"/>
        <v>2.2500000000000003E-3</v>
      </c>
      <c r="D12" s="6">
        <f ca="1"/>
        <v>6.2826773915541584E-3</v>
      </c>
      <c r="E12" s="6">
        <f ca="1"/>
        <v>5.5846021258259162</v>
      </c>
      <c r="F12" s="6">
        <f ca="1"/>
        <v>2482.0453892559613</v>
      </c>
      <c r="G12" s="42">
        <f ca="1"/>
        <v>0</v>
      </c>
      <c r="H12" s="6">
        <f ca="1"/>
        <v>9.1746360377287584</v>
      </c>
      <c r="J12" s="6">
        <f ca="1"/>
        <v>8.1337947955217871E-4</v>
      </c>
      <c r="K12" s="6">
        <f ca="1"/>
        <v>1.0676023129548184</v>
      </c>
      <c r="L12" s="6">
        <f ca="1"/>
        <v>919.11683197664036</v>
      </c>
      <c r="M12" s="42">
        <f ca="1"/>
        <v>369096.69844639028</v>
      </c>
      <c r="N12" s="6">
        <f ca="1"/>
        <v>3.4583454264854794</v>
      </c>
      <c r="P12" s="6">
        <f ca="1"/>
        <v>8.1337947955240075E-4</v>
      </c>
      <c r="Q12" s="6">
        <f ca="1"/>
        <v>1.0676023129548184</v>
      </c>
      <c r="R12" s="6">
        <f ca="1"/>
        <v>919.11683197664036</v>
      </c>
      <c r="S12" s="42">
        <f ca="1"/>
        <v>369096.69844639028</v>
      </c>
      <c r="T12" s="6">
        <f ca="1"/>
        <v>3.4583454264854794</v>
      </c>
    </row>
    <row r="13" spans="1:20">
      <c r="A13" s="43">
        <f ca="1"/>
        <v>11</v>
      </c>
      <c r="B13" s="4">
        <f ca="1"/>
        <v>2.5000000000000001E-3</v>
      </c>
      <c r="D13" s="6">
        <f ca="1"/>
        <v>7.7563918414248869E-3</v>
      </c>
      <c r="E13" s="6">
        <f ca="1"/>
        <v>6.2051134731399067</v>
      </c>
      <c r="F13" s="6">
        <f ca="1"/>
        <v>2482.0453892559613</v>
      </c>
      <c r="G13" s="42">
        <f ca="1"/>
        <v>0</v>
      </c>
      <c r="H13" s="6">
        <f ca="1"/>
        <v>9.1787198757984392</v>
      </c>
      <c r="J13" s="6">
        <f ca="1"/>
        <v>1.1099580768341166E-3</v>
      </c>
      <c r="K13" s="6">
        <f ca="1"/>
        <v>1.3088266845997991</v>
      </c>
      <c r="L13" s="6">
        <f ca="1"/>
        <v>1010.3223530244003</v>
      </c>
      <c r="M13" s="42">
        <f ca="1"/>
        <v>360557.78263594874</v>
      </c>
      <c r="N13" s="6">
        <f ca="1"/>
        <v>3.7916508639305873</v>
      </c>
      <c r="P13" s="6">
        <f ca="1"/>
        <v>1.1099580768338946E-3</v>
      </c>
      <c r="Q13" s="6">
        <f ca="1"/>
        <v>1.3088266845997871</v>
      </c>
      <c r="R13" s="6">
        <f ca="1"/>
        <v>1010.3223530244017</v>
      </c>
      <c r="S13" s="42">
        <f ca="1"/>
        <v>360557.78263594868</v>
      </c>
      <c r="T13" s="6">
        <f ca="1"/>
        <v>3.7916508639305921</v>
      </c>
    </row>
    <row r="14" spans="1:20">
      <c r="A14" s="43">
        <f ca="1"/>
        <v>12</v>
      </c>
      <c r="B14" s="4">
        <f ca="1"/>
        <v>2.7499999999999998E-3</v>
      </c>
      <c r="D14" s="6">
        <f ca="1"/>
        <v>9.385234128124113E-3</v>
      </c>
      <c r="E14" s="6">
        <f ca="1"/>
        <v>6.8256248204538963</v>
      </c>
      <c r="F14" s="6">
        <f ca="1"/>
        <v>2482.0453892559613</v>
      </c>
      <c r="G14" s="42">
        <f ca="1"/>
        <v>0</v>
      </c>
      <c r="H14" s="6">
        <f ca="1"/>
        <v>9.1837142937212182</v>
      </c>
      <c r="J14" s="6">
        <f ca="1"/>
        <v>1.4696707430839062E-3</v>
      </c>
      <c r="K14" s="6">
        <f ca="1"/>
        <v>1.5725862399314035</v>
      </c>
      <c r="L14" s="6">
        <f ca="1"/>
        <v>1099.4008796447411</v>
      </c>
      <c r="M14" s="42">
        <f ca="1"/>
        <v>352080.74302703206</v>
      </c>
      <c r="N14" s="6">
        <f ca="1"/>
        <v>4.1172884513544359</v>
      </c>
      <c r="P14" s="6">
        <f ca="1"/>
        <v>1.4696707430839062E-3</v>
      </c>
      <c r="Q14" s="6">
        <f ca="1"/>
        <v>1.5725862399313912</v>
      </c>
      <c r="R14" s="6">
        <f ca="1"/>
        <v>1099.4008796447422</v>
      </c>
      <c r="S14" s="42">
        <f ca="1"/>
        <v>352080.74302703206</v>
      </c>
      <c r="T14" s="6">
        <f ca="1"/>
        <v>4.1172884513544394</v>
      </c>
    </row>
    <row r="15" spans="1:20">
      <c r="A15" s="43">
        <f ca="1"/>
        <v>13</v>
      </c>
      <c r="B15" s="4">
        <f ca="1"/>
        <v>3.0000000000000001E-3</v>
      </c>
      <c r="D15" s="6">
        <f ca="1"/>
        <v>1.1169204251651837E-2</v>
      </c>
      <c r="E15" s="6">
        <f ca="1"/>
        <v>7.4461361677678877</v>
      </c>
      <c r="F15" s="6">
        <f ca="1"/>
        <v>2482.0453892559613</v>
      </c>
      <c r="G15" s="42">
        <f ca="1"/>
        <v>0</v>
      </c>
      <c r="H15" s="6">
        <f ca="1"/>
        <v>9.1897667660367404</v>
      </c>
      <c r="J15" s="6">
        <f ca="1"/>
        <v>1.8980849667833422E-3</v>
      </c>
      <c r="K15" s="6">
        <f ca="1"/>
        <v>1.8583511639740649</v>
      </c>
      <c r="L15" s="6">
        <f ca="1"/>
        <v>1186.3678808880447</v>
      </c>
      <c r="M15" s="42">
        <f ca="1"/>
        <v>343665.57961964025</v>
      </c>
      <c r="N15" s="6">
        <f ca="1"/>
        <v>4.43533818769445</v>
      </c>
      <c r="P15" s="6">
        <f ca="1"/>
        <v>1.8980849667833422E-3</v>
      </c>
      <c r="Q15" s="6">
        <f ca="1"/>
        <v>1.8583511639740768</v>
      </c>
      <c r="R15" s="6">
        <f ca="1"/>
        <v>1186.3678808880447</v>
      </c>
      <c r="S15" s="42">
        <f ca="1"/>
        <v>343665.57961964025</v>
      </c>
      <c r="T15" s="6">
        <f ca="1"/>
        <v>4.43533818769445</v>
      </c>
    </row>
    <row r="16" spans="1:20">
      <c r="A16" s="43">
        <f ca="1"/>
        <v>14</v>
      </c>
      <c r="B16" s="4">
        <f ca="1"/>
        <v>3.2500000000000003E-3</v>
      </c>
      <c r="D16" s="6">
        <f ca="1"/>
        <v>1.3108302212008059E-2</v>
      </c>
      <c r="E16" s="6">
        <f ca="1"/>
        <v>8.066647515081879</v>
      </c>
      <c r="F16" s="6">
        <f ca="1"/>
        <v>2482.0453892559613</v>
      </c>
      <c r="G16" s="42">
        <f ca="1"/>
        <v>0</v>
      </c>
      <c r="H16" s="6">
        <f ca="1"/>
        <v>9.1970334562664462</v>
      </c>
      <c r="J16" s="6">
        <f ca="1"/>
        <v>2.4006362660782266E-3</v>
      </c>
      <c r="K16" s="6">
        <f ca="1"/>
        <v>2.1655955090148673</v>
      </c>
      <c r="L16" s="6">
        <f ca="1"/>
        <v>1271.2388258046892</v>
      </c>
      <c r="M16" s="42">
        <f ca="1"/>
        <v>335312.29241377348</v>
      </c>
      <c r="N16" s="6">
        <f ca="1"/>
        <v>4.7458921712126818</v>
      </c>
      <c r="P16" s="6">
        <f ca="1"/>
        <v>2.4006362660782266E-3</v>
      </c>
      <c r="Q16" s="6">
        <f ca="1"/>
        <v>2.1655955090148673</v>
      </c>
      <c r="R16" s="6">
        <f ca="1"/>
        <v>1271.2388258046892</v>
      </c>
      <c r="S16" s="42">
        <f ca="1"/>
        <v>335312.29241377336</v>
      </c>
      <c r="T16" s="6">
        <f ca="1"/>
        <v>4.7458921712126818</v>
      </c>
    </row>
    <row r="17" spans="1:20">
      <c r="A17" s="43">
        <f ca="1"/>
        <v>15</v>
      </c>
      <c r="B17" s="4">
        <f ca="1"/>
        <v>3.5000000000000001E-3</v>
      </c>
      <c r="D17" s="6">
        <f ca="1"/>
        <v>1.5202528009192778E-2</v>
      </c>
      <c r="E17" s="6">
        <f ca="1"/>
        <v>8.6871588623958687</v>
      </c>
      <c r="F17" s="6">
        <f ca="1"/>
        <v>2482.0453892559613</v>
      </c>
      <c r="G17" s="42">
        <f ca="1"/>
        <v>0</v>
      </c>
      <c r="H17" s="6">
        <f ca="1"/>
        <v>9.2056792908639746</v>
      </c>
      <c r="J17" s="6">
        <f ca="1"/>
        <v>2.9826291555941076E-3</v>
      </c>
      <c r="K17" s="6">
        <f ca="1"/>
        <v>2.4937971946034008</v>
      </c>
      <c r="L17" s="6">
        <f ca="1"/>
        <v>1354.0291834450593</v>
      </c>
      <c r="M17" s="42">
        <f ca="1"/>
        <v>327020.88140943152</v>
      </c>
      <c r="N17" s="6">
        <f ca="1"/>
        <v>5.049008938349675</v>
      </c>
      <c r="P17" s="6">
        <f ca="1"/>
        <v>2.9826291555941076E-3</v>
      </c>
      <c r="Q17" s="6">
        <f ca="1"/>
        <v>2.4937971946034008</v>
      </c>
      <c r="R17" s="6">
        <f ca="1"/>
        <v>1354.0291834450579</v>
      </c>
      <c r="S17" s="42">
        <f ca="1"/>
        <v>327020.88140943152</v>
      </c>
      <c r="T17" s="6">
        <f ca="1"/>
        <v>5.0490089383496697</v>
      </c>
    </row>
    <row r="18" spans="1:20">
      <c r="A18" s="43">
        <f ca="1"/>
        <v>16</v>
      </c>
      <c r="B18" s="4">
        <f ca="1"/>
        <v>3.7499999999999999E-3</v>
      </c>
      <c r="D18" s="6">
        <f ca="1"/>
        <v>1.745188164320596E-2</v>
      </c>
      <c r="E18" s="6">
        <f ca="1"/>
        <v>9.3076702097098494</v>
      </c>
      <c r="F18" s="6">
        <f ca="1"/>
        <v>2482.0453892559613</v>
      </c>
      <c r="G18" s="42">
        <f ca="1"/>
        <v>0</v>
      </c>
      <c r="H18" s="6">
        <f ca="1"/>
        <v>9.2158780143471386</v>
      </c>
      <c r="J18" s="6">
        <f ca="1"/>
        <v>3.6492381132509077E-3</v>
      </c>
      <c r="K18" s="6">
        <f ca="1"/>
        <v>2.8424380075518934</v>
      </c>
      <c r="L18" s="6">
        <f ca="1"/>
        <v>1434.7544228595314</v>
      </c>
      <c r="M18" s="42">
        <f ca="1"/>
        <v>318791.34660661477</v>
      </c>
      <c r="N18" s="6">
        <f ca="1"/>
        <v>5.3447784575353889</v>
      </c>
      <c r="P18" s="6">
        <f ca="1"/>
        <v>3.6492381132509077E-3</v>
      </c>
      <c r="Q18" s="6">
        <f ca="1"/>
        <v>2.8424380075519053</v>
      </c>
      <c r="R18" s="6">
        <f ca="1"/>
        <v>1434.7544228595314</v>
      </c>
      <c r="S18" s="42">
        <f ca="1"/>
        <v>318791.34660661477</v>
      </c>
      <c r="T18" s="6">
        <f ca="1"/>
        <v>5.3447784575353889</v>
      </c>
    </row>
    <row r="19" spans="1:20">
      <c r="A19" s="43">
        <f ca="1"/>
        <v>17</v>
      </c>
      <c r="B19" s="4">
        <f ca="1"/>
        <v>4.0000000000000001E-3</v>
      </c>
      <c r="D19" s="6">
        <f ca="1"/>
        <v>1.9856363114047711E-2</v>
      </c>
      <c r="E19" s="6">
        <f ca="1"/>
        <v>9.9281815570238496</v>
      </c>
      <c r="F19" s="6">
        <f ca="1"/>
        <v>2482.0453892559613</v>
      </c>
      <c r="G19" s="42">
        <f ca="1"/>
        <v>0</v>
      </c>
      <c r="H19" s="6">
        <f ca="1"/>
        <v>9.2278658322446141</v>
      </c>
      <c r="J19" s="6">
        <f ca="1"/>
        <v>4.405508547080661E-3</v>
      </c>
      <c r="K19" s="6">
        <f ca="1"/>
        <v>3.21100360193521</v>
      </c>
      <c r="L19" s="6">
        <f ca="1"/>
        <v>1513.4300130984923</v>
      </c>
      <c r="M19" s="42">
        <f ca="1"/>
        <v>310623.68800532265</v>
      </c>
      <c r="N19" s="6">
        <f ca="1"/>
        <v>5.6333157889306795</v>
      </c>
      <c r="P19" s="6">
        <f ca="1"/>
        <v>4.405508547080661E-3</v>
      </c>
      <c r="Q19" s="6">
        <f ca="1"/>
        <v>3.21100360193521</v>
      </c>
      <c r="R19" s="6">
        <f ca="1"/>
        <v>1513.4300130984923</v>
      </c>
      <c r="S19" s="42">
        <f ca="1"/>
        <v>310623.68800532265</v>
      </c>
      <c r="T19" s="6">
        <f ca="1"/>
        <v>5.6333157889306795</v>
      </c>
    </row>
    <row r="20" spans="1:20">
      <c r="A20" s="43">
        <f ca="1"/>
        <v>18</v>
      </c>
      <c r="B20" s="4">
        <f ca="1"/>
        <v>4.2500000000000003E-3</v>
      </c>
      <c r="D20" s="6">
        <f ca="1"/>
        <v>2.2415972421717882E-2</v>
      </c>
      <c r="E20" s="6">
        <f ca="1"/>
        <v>10.54869290433783</v>
      </c>
      <c r="F20" s="6">
        <f ca="1"/>
        <v>2482.0453892559613</v>
      </c>
      <c r="G20" s="42">
        <f ca="1"/>
        <v>0</v>
      </c>
      <c r="H20" s="6">
        <f ca="1"/>
        <v>9.2417941585606904</v>
      </c>
      <c r="J20" s="6">
        <f ca="1"/>
        <v>5.2563577620403645E-3</v>
      </c>
      <c r="K20" s="6">
        <f ca="1"/>
        <v>3.5989834990907235</v>
      </c>
      <c r="L20" s="6">
        <f ca="1"/>
        <v>1590.0714232123194</v>
      </c>
      <c r="M20" s="42">
        <f ca="1"/>
        <v>302517.90560555569</v>
      </c>
      <c r="N20" s="6">
        <f ca="1"/>
        <v>5.9146806599839241</v>
      </c>
      <c r="P20" s="6">
        <f ca="1"/>
        <v>5.2563577620403645E-3</v>
      </c>
      <c r="Q20" s="6">
        <f ca="1"/>
        <v>3.5989834990907235</v>
      </c>
      <c r="R20" s="6">
        <f ca="1"/>
        <v>1590.0714232123194</v>
      </c>
      <c r="S20" s="42">
        <f ca="1"/>
        <v>302517.90560555569</v>
      </c>
      <c r="T20" s="6">
        <f ca="1"/>
        <v>5.9146806599839241</v>
      </c>
    </row>
    <row r="21" spans="1:20">
      <c r="A21" s="43">
        <f ca="1"/>
        <v>19</v>
      </c>
      <c r="B21" s="4">
        <f ca="1"/>
        <v>4.5000000000000005E-3</v>
      </c>
      <c r="D21" s="6">
        <f ca="1"/>
        <v>2.5130709566216634E-2</v>
      </c>
      <c r="E21" s="6">
        <f ca="1"/>
        <v>11.169204251651832</v>
      </c>
      <c r="F21" s="6">
        <f ca="1"/>
        <v>2482.0453892559613</v>
      </c>
      <c r="G21" s="42">
        <f ca="1"/>
        <v>0</v>
      </c>
      <c r="H21" s="6">
        <f ca="1"/>
        <v>9.2579372533919102</v>
      </c>
      <c r="J21" s="6">
        <f ca="1"/>
        <v>6.2065759268310483E-3</v>
      </c>
      <c r="K21" s="6">
        <f ca="1"/>
        <v>4.0058710876184671</v>
      </c>
      <c r="L21" s="6">
        <f ca="1"/>
        <v>1664.6941222513972</v>
      </c>
      <c r="M21" s="42">
        <f ca="1"/>
        <v>294473.99940731341</v>
      </c>
      <c r="N21" s="6">
        <f ca="1"/>
        <v>6.1890354396527538</v>
      </c>
      <c r="P21" s="6">
        <f ca="1"/>
        <v>6.2065759268310483E-3</v>
      </c>
      <c r="Q21" s="6">
        <f ca="1"/>
        <v>4.0058710876184795</v>
      </c>
      <c r="R21" s="6">
        <f ca="1"/>
        <v>1664.6941222513972</v>
      </c>
      <c r="S21" s="42">
        <f ca="1"/>
        <v>294473.99940731341</v>
      </c>
      <c r="T21" s="6">
        <f ca="1"/>
        <v>6.1890354396527538</v>
      </c>
    </row>
    <row r="22" spans="1:20">
      <c r="A22" s="43">
        <f ca="1"/>
        <v>20</v>
      </c>
      <c r="B22" s="4">
        <f ca="1"/>
        <v>4.7499999999999999E-3</v>
      </c>
      <c r="D22" s="6">
        <f ca="1"/>
        <v>2.8000574547543799E-2</v>
      </c>
      <c r="E22" s="6">
        <f ca="1"/>
        <v>11.789715598965811</v>
      </c>
      <c r="F22" s="6">
        <f ca="1"/>
        <v>2482.0453892559613</v>
      </c>
      <c r="G22" s="42">
        <f ca="1"/>
        <v>0</v>
      </c>
      <c r="H22" s="6">
        <f ca="1"/>
        <v>9.2764800489949248</v>
      </c>
      <c r="J22" s="6">
        <f ca="1"/>
        <v>7.2608270407101827E-3</v>
      </c>
      <c r="K22" s="6">
        <f ca="1"/>
        <v>4.4311636233810416</v>
      </c>
      <c r="L22" s="6">
        <f ca="1"/>
        <v>1737.3135792661042</v>
      </c>
      <c r="M22" s="42">
        <f ca="1"/>
        <v>286491.96941059636</v>
      </c>
      <c r="N22" s="6">
        <f ca="1"/>
        <v>6.4564469422495545</v>
      </c>
      <c r="P22" s="6">
        <f ca="1"/>
        <v>7.2608270407101827E-3</v>
      </c>
      <c r="Q22" s="6">
        <f ca="1"/>
        <v>4.4311636233810541</v>
      </c>
      <c r="R22" s="6">
        <f ca="1"/>
        <v>1737.3135792661028</v>
      </c>
      <c r="S22" s="42">
        <f ca="1"/>
        <v>286491.96941059636</v>
      </c>
      <c r="T22" s="6">
        <f ca="1"/>
        <v>6.4564469422495501</v>
      </c>
    </row>
    <row r="23" spans="1:20">
      <c r="A23" s="43">
        <f ca="1"/>
        <v>21</v>
      </c>
      <c r="B23" s="4">
        <f ca="1"/>
        <v>5.0000000000000001E-3</v>
      </c>
      <c r="D23" s="6">
        <f ca="1"/>
        <v>3.1025567365699495E-2</v>
      </c>
      <c r="E23" s="6">
        <f ca="1"/>
        <v>12.410226946279803</v>
      </c>
      <c r="F23" s="6">
        <f ca="1"/>
        <v>2482.0453892559613</v>
      </c>
      <c r="G23" s="42">
        <f ca="1"/>
        <v>0</v>
      </c>
      <c r="H23" s="6">
        <f ca="1"/>
        <v>9.2977304496350541</v>
      </c>
      <c r="J23" s="6">
        <f ca="1"/>
        <v>8.4236499003091936E-3</v>
      </c>
      <c r="K23" s="6">
        <f ca="1"/>
        <v>4.874362229503685</v>
      </c>
      <c r="L23" s="6">
        <f ca="1"/>
        <v>1807.9452633068224</v>
      </c>
      <c r="M23" s="42">
        <f ca="1"/>
        <v>278571.81561540416</v>
      </c>
      <c r="N23" s="6">
        <f ca="1"/>
        <v>6.7170747603891234</v>
      </c>
      <c r="P23" s="6">
        <f ca="1"/>
        <v>8.4236499003091936E-3</v>
      </c>
      <c r="Q23" s="6">
        <f ca="1"/>
        <v>4.874362229503685</v>
      </c>
      <c r="R23" s="6">
        <f ca="1"/>
        <v>1807.9452633068211</v>
      </c>
      <c r="S23" s="42">
        <f ca="1"/>
        <v>278571.81561540405</v>
      </c>
      <c r="T23" s="6">
        <f ca="1"/>
        <v>6.7170747603891181</v>
      </c>
    </row>
    <row r="24" spans="1:20">
      <c r="A24" s="43">
        <f ca="1"/>
        <v>22</v>
      </c>
      <c r="B24" s="4">
        <f ca="1"/>
        <v>5.2500000000000003E-3</v>
      </c>
      <c r="D24" s="6">
        <f ca="1"/>
        <v>3.4205688020683703E-2</v>
      </c>
      <c r="E24" s="6">
        <f ca="1"/>
        <v>13.030738293593794</v>
      </c>
      <c r="F24" s="6">
        <f ca="1"/>
        <v>2482.0453892559613</v>
      </c>
      <c r="G24" s="42">
        <f ca="1"/>
        <v>0</v>
      </c>
      <c r="H24" s="6">
        <f ca="1"/>
        <v>9.3219053277028472</v>
      </c>
      <c r="J24" s="6">
        <f ca="1"/>
        <v>9.6994590664485347E-3</v>
      </c>
      <c r="K24" s="6">
        <f ca="1"/>
        <v>5.3349718963741637</v>
      </c>
      <c r="L24" s="6">
        <f ca="1"/>
        <v>1876.6046434239336</v>
      </c>
      <c r="M24" s="42">
        <f ca="1"/>
        <v>270713.53802173678</v>
      </c>
      <c r="N24" s="6">
        <f ca="1"/>
        <v>6.9710595053645577</v>
      </c>
      <c r="P24" s="6">
        <f ca="1"/>
        <v>9.6994590664485347E-3</v>
      </c>
      <c r="Q24" s="6">
        <f ca="1"/>
        <v>5.3349718963741637</v>
      </c>
      <c r="R24" s="6">
        <f ca="1"/>
        <v>1876.6046434239322</v>
      </c>
      <c r="S24" s="42">
        <f ca="1"/>
        <v>270713.53802173678</v>
      </c>
      <c r="T24" s="6">
        <f ca="1"/>
        <v>6.9710595053645532</v>
      </c>
    </row>
    <row r="25" spans="1:20">
      <c r="A25" s="43">
        <f ca="1"/>
        <v>23</v>
      </c>
      <c r="B25" s="4">
        <f ca="1"/>
        <v>5.4999999999999997E-3</v>
      </c>
      <c r="D25" s="6">
        <f ca="1"/>
        <v>3.7540936512496403E-2</v>
      </c>
      <c r="E25" s="6">
        <f ca="1"/>
        <v>13.651249640907784</v>
      </c>
      <c r="F25" s="6">
        <f ca="1"/>
        <v>2482.0453892559613</v>
      </c>
      <c r="G25" s="42">
        <f ca="1"/>
        <v>0</v>
      </c>
      <c r="H25" s="6">
        <f ca="1"/>
        <v>9.3492563794987724</v>
      </c>
      <c r="J25" s="6">
        <f ca="1"/>
        <v>1.1092545830953648E-2</v>
      </c>
      <c r="K25" s="6">
        <f ca="1"/>
        <v>5.8125014816428857</v>
      </c>
      <c r="L25" s="6">
        <f ca="1"/>
        <v>1943.3071886678179</v>
      </c>
      <c r="M25" s="42">
        <f ca="1"/>
        <v>262917.13662959443</v>
      </c>
      <c r="N25" s="6">
        <f ca="1"/>
        <v>7.2185408150078851</v>
      </c>
      <c r="P25" s="6">
        <f ca="1"/>
        <v>1.109254583095387E-2</v>
      </c>
      <c r="Q25" s="6">
        <f ca="1"/>
        <v>5.8125014816428742</v>
      </c>
      <c r="R25" s="6">
        <f ca="1"/>
        <v>1943.3071886678179</v>
      </c>
      <c r="S25" s="42">
        <f ca="1"/>
        <v>262917.13662959443</v>
      </c>
      <c r="T25" s="6">
        <f ca="1"/>
        <v>7.2185408150078851</v>
      </c>
    </row>
    <row r="26" spans="1:20">
      <c r="A26" s="43">
        <f ca="1"/>
        <v>24</v>
      </c>
      <c r="B26" s="4">
        <f ca="1"/>
        <v>5.7499999999999999E-3</v>
      </c>
      <c r="D26" s="6">
        <f ca="1"/>
        <v>4.103131284113759E-2</v>
      </c>
      <c r="E26" s="6">
        <f ca="1"/>
        <v>14.271760988221775</v>
      </c>
      <c r="F26" s="6">
        <f ca="1"/>
        <v>2482.0453892559613</v>
      </c>
      <c r="G26" s="42">
        <f ca="1"/>
        <v>0</v>
      </c>
      <c r="H26" s="6">
        <f ca="1"/>
        <v>9.3800805278444219</v>
      </c>
      <c r="J26" s="6">
        <f ca="1"/>
        <v>1.260707918347026E-2</v>
      </c>
      <c r="K26" s="6">
        <f ca="1"/>
        <v>6.3064637102228343</v>
      </c>
      <c r="L26" s="6">
        <f ca="1"/>
        <v>2008.0683680888565</v>
      </c>
      <c r="M26" s="42">
        <f ca="1"/>
        <v>255182.61143897707</v>
      </c>
      <c r="N26" s="6">
        <f ca="1"/>
        <v>7.4596942878680519</v>
      </c>
      <c r="P26" s="6">
        <f ca="1"/>
        <v>1.260707918347026E-2</v>
      </c>
      <c r="Q26" s="6">
        <f ca="1"/>
        <v>6.3064637102228343</v>
      </c>
      <c r="R26" s="6">
        <f ca="1"/>
        <v>2008.0683680888574</v>
      </c>
      <c r="S26" s="42">
        <f ca="1"/>
        <v>255182.61143897707</v>
      </c>
      <c r="T26" s="6">
        <f ca="1"/>
        <v>7.4596942878680546</v>
      </c>
    </row>
    <row r="27" spans="1:20">
      <c r="A27" s="43">
        <f ca="1"/>
        <v>25</v>
      </c>
      <c r="B27" s="4">
        <f ca="1"/>
        <v>6.0000000000000001E-3</v>
      </c>
      <c r="D27" s="6">
        <f ca="1"/>
        <v>4.4676817006607292E-2</v>
      </c>
      <c r="E27" s="6">
        <f ca="1"/>
        <v>14.892272335535766</v>
      </c>
      <c r="F27" s="6">
        <f ca="1"/>
        <v>2482.0453892559613</v>
      </c>
      <c r="G27" s="42">
        <f ca="1"/>
        <v>0</v>
      </c>
      <c r="H27" s="6">
        <f ca="1"/>
        <v>9.4146737458730687</v>
      </c>
      <c r="J27" s="6">
        <f ca="1"/>
        <v>1.4247106778279894E-2</v>
      </c>
      <c r="K27" s="6">
        <f ca="1"/>
        <v>6.8163751742896075</v>
      </c>
      <c r="L27" s="6">
        <f ca="1"/>
        <v>2070.9036507374331</v>
      </c>
      <c r="M27" s="42">
        <f ca="1"/>
        <v>247509.96244988451</v>
      </c>
      <c r="N27" s="6">
        <f ca="1"/>
        <v>7.6947104838562863</v>
      </c>
      <c r="P27" s="6">
        <f ca="1"/>
        <v>1.4247106778279894E-2</v>
      </c>
      <c r="Q27" s="6">
        <f ca="1"/>
        <v>6.8163751742896075</v>
      </c>
      <c r="R27" s="6">
        <f ca="1"/>
        <v>2070.9036507374331</v>
      </c>
      <c r="S27" s="42">
        <f ca="1"/>
        <v>247509.96244988457</v>
      </c>
      <c r="T27" s="6">
        <f ca="1"/>
        <v>7.6947104838562863</v>
      </c>
    </row>
    <row r="28" spans="1:20">
      <c r="A28" s="43">
        <f ca="1"/>
        <v>26</v>
      </c>
      <c r="B28" s="4">
        <f ca="1"/>
        <v>6.2500000000000003E-3</v>
      </c>
      <c r="D28" s="6">
        <f ca="1"/>
        <v>4.8477449008905486E-2</v>
      </c>
      <c r="E28" s="6">
        <f ca="1"/>
        <v>15.512783682849758</v>
      </c>
      <c r="F28" s="6">
        <f ca="1"/>
        <v>2482.0453892559613</v>
      </c>
      <c r="G28" s="42">
        <f ca="1"/>
        <v>0</v>
      </c>
      <c r="H28" s="6">
        <f ca="1"/>
        <v>9.4533439121914231</v>
      </c>
      <c r="J28" s="6">
        <f ca="1"/>
        <v>1.6016555901116503E-2</v>
      </c>
      <c r="K28" s="6">
        <f ca="1"/>
        <v>7.3417563332813822</v>
      </c>
      <c r="L28" s="6">
        <f ca="1"/>
        <v>2131.828505663927</v>
      </c>
      <c r="M28" s="42">
        <f ca="1"/>
        <v>239899.18966231699</v>
      </c>
      <c r="N28" s="6">
        <f ca="1"/>
        <v>7.9237957254500895</v>
      </c>
      <c r="P28" s="6">
        <f ca="1"/>
        <v>1.6016555901116503E-2</v>
      </c>
      <c r="Q28" s="6">
        <f ca="1"/>
        <v>7.3417563332813698</v>
      </c>
      <c r="R28" s="6">
        <f ca="1"/>
        <v>2131.828505663927</v>
      </c>
      <c r="S28" s="42">
        <f ca="1"/>
        <v>239899.18966231699</v>
      </c>
      <c r="T28" s="6">
        <f ca="1"/>
        <v>7.9237957254500895</v>
      </c>
    </row>
    <row r="29" spans="1:20">
      <c r="A29" s="43">
        <f ca="1"/>
        <v>27</v>
      </c>
      <c r="B29" s="4">
        <f ca="1"/>
        <v>6.5000000000000006E-3</v>
      </c>
      <c r="D29" s="6">
        <f ca="1"/>
        <v>5.2433208848032174E-2</v>
      </c>
      <c r="E29" s="6">
        <f ca="1"/>
        <v>16.133295030163744</v>
      </c>
      <c r="F29" s="6">
        <f ca="1"/>
        <v>2482.0453892559613</v>
      </c>
      <c r="G29" s="42">
        <f ca="1"/>
        <v>0</v>
      </c>
      <c r="H29" s="6">
        <f ca="1"/>
        <v>9.4963935405953102</v>
      </c>
      <c r="J29" s="6">
        <f ca="1"/>
        <v>1.7919234435980425E-2</v>
      </c>
      <c r="K29" s="6">
        <f ca="1"/>
        <v>7.8821315138989361</v>
      </c>
      <c r="L29" s="6">
        <f ca="1"/>
        <v>2190.8584019187183</v>
      </c>
      <c r="M29" s="42">
        <f ca="1"/>
        <v>232350.29307627439</v>
      </c>
      <c r="N29" s="6">
        <f ca="1"/>
        <v>8.1471692486233387</v>
      </c>
      <c r="P29" s="6">
        <f ca="1"/>
        <v>1.7919234435980425E-2</v>
      </c>
      <c r="Q29" s="6">
        <f ca="1"/>
        <v>7.8821315138989361</v>
      </c>
      <c r="R29" s="6">
        <f ca="1"/>
        <v>2190.8584019187183</v>
      </c>
      <c r="S29" s="42">
        <f ca="1"/>
        <v>232350.29307627439</v>
      </c>
      <c r="T29" s="6">
        <f ca="1"/>
        <v>8.1471692486233387</v>
      </c>
    </row>
    <row r="30" spans="1:20">
      <c r="A30" s="43">
        <f ca="1"/>
        <v>28</v>
      </c>
      <c r="B30" s="4">
        <f ca="1"/>
        <v>6.7499999999999999E-3</v>
      </c>
      <c r="D30" s="6">
        <f ca="1"/>
        <v>5.6544096523987362E-2</v>
      </c>
      <c r="E30" s="6">
        <f ca="1"/>
        <v>16.753806377477737</v>
      </c>
      <c r="F30" s="6">
        <f ca="1"/>
        <v>2482.0453892559613</v>
      </c>
      <c r="G30" s="42">
        <f ca="1"/>
        <v>0</v>
      </c>
      <c r="H30" s="6">
        <f ca="1"/>
        <v>9.5441266428504541</v>
      </c>
      <c r="J30" s="6">
        <f ca="1"/>
        <v>1.9958831831956125E-2</v>
      </c>
      <c r="K30" s="6">
        <f ca="1"/>
        <v>8.4370289101056244</v>
      </c>
      <c r="L30" s="6">
        <f ca="1"/>
        <v>2248.0088085521907</v>
      </c>
      <c r="M30" s="42">
        <f ca="1"/>
        <v>224863.27269175675</v>
      </c>
      <c r="N30" s="6">
        <f ca="1"/>
        <v>8.3650624051900468</v>
      </c>
      <c r="P30" s="6">
        <f ca="1"/>
        <v>1.9958831831955903E-2</v>
      </c>
      <c r="Q30" s="6">
        <f ca="1"/>
        <v>8.4370289101056368</v>
      </c>
      <c r="R30" s="6">
        <f ca="1"/>
        <v>2248.0088085521907</v>
      </c>
      <c r="S30" s="42">
        <f ca="1"/>
        <v>224863.27269175669</v>
      </c>
      <c r="T30" s="6">
        <f ca="1"/>
        <v>8.3650624051900451</v>
      </c>
    </row>
    <row r="31" spans="1:20">
      <c r="A31" s="43">
        <f ca="1"/>
        <v>29</v>
      </c>
      <c r="B31" s="4">
        <f ca="1"/>
        <v>7.0000000000000001E-3</v>
      </c>
      <c r="D31" s="6">
        <f ca="1"/>
        <v>6.0810112036771044E-2</v>
      </c>
      <c r="E31" s="6">
        <f ca="1"/>
        <v>17.374317724791727</v>
      </c>
      <c r="F31" s="6">
        <f ca="1"/>
        <v>2482.0453892559613</v>
      </c>
      <c r="G31" s="42">
        <f ca="1"/>
        <v>0</v>
      </c>
      <c r="H31" s="6">
        <f ca="1"/>
        <v>9.596884810575343</v>
      </c>
      <c r="J31" s="6">
        <f ca="1"/>
        <v>2.2138920070025492E-2</v>
      </c>
      <c r="K31" s="6">
        <f ca="1"/>
        <v>9.0059805831274424</v>
      </c>
      <c r="L31" s="6">
        <f ca="1"/>
        <v>2303.2951946147241</v>
      </c>
      <c r="M31" s="42">
        <f ca="1"/>
        <v>217438.12850876394</v>
      </c>
      <c r="N31" s="6">
        <f ca="1"/>
        <v>8.57774248617838</v>
      </c>
      <c r="P31" s="6">
        <f ca="1"/>
        <v>2.2138920070025492E-2</v>
      </c>
      <c r="Q31" s="6">
        <f ca="1"/>
        <v>9.0059805831274424</v>
      </c>
      <c r="R31" s="6">
        <f ca="1"/>
        <v>2303.2951946147241</v>
      </c>
      <c r="S31" s="42">
        <f ca="1"/>
        <v>217438.12850876403</v>
      </c>
      <c r="T31" s="6">
        <f ca="1"/>
        <v>8.57774248617838</v>
      </c>
    </row>
    <row r="32" spans="1:20">
      <c r="A32" s="43">
        <f ca="1"/>
        <v>30</v>
      </c>
      <c r="B32" s="4">
        <f ca="1"/>
        <v>7.2500000000000004E-3</v>
      </c>
      <c r="D32" s="6">
        <f ca="1"/>
        <v>6.5231255386383233E-2</v>
      </c>
      <c r="E32" s="6">
        <f ca="1"/>
        <v>17.99482907210572</v>
      </c>
      <c r="F32" s="6">
        <f ca="1"/>
        <v>2482.0453892559613</v>
      </c>
      <c r="G32" s="42">
        <f ca="1"/>
        <v>0</v>
      </c>
      <c r="H32" s="6">
        <f ca="1"/>
        <v>9.6550274499956537</v>
      </c>
      <c r="J32" s="6">
        <f ca="1"/>
        <v>2.4462954629886013E-2</v>
      </c>
      <c r="K32" s="6">
        <f ca="1"/>
        <v>9.5885224614529516</v>
      </c>
      <c r="L32" s="6">
        <f ca="1"/>
        <v>2356.7330291566996</v>
      </c>
      <c r="M32" s="42">
        <f ca="1"/>
        <v>210074.8605272962</v>
      </c>
      <c r="N32" s="6">
        <f ca="1"/>
        <v>8.7854874632863531</v>
      </c>
      <c r="P32" s="6">
        <f ca="1"/>
        <v>2.4462954629886013E-2</v>
      </c>
      <c r="Q32" s="6">
        <f ca="1"/>
        <v>9.5885224614529516</v>
      </c>
      <c r="R32" s="6">
        <f ca="1"/>
        <v>2356.7330291566996</v>
      </c>
      <c r="S32" s="42">
        <f ca="1"/>
        <v>210074.8605272962</v>
      </c>
      <c r="T32" s="6">
        <f ca="1"/>
        <v>8.7854874632863531</v>
      </c>
    </row>
    <row r="33" spans="1:20">
      <c r="A33" s="43">
        <f ca="1"/>
        <v>31</v>
      </c>
      <c r="B33" s="4">
        <f ca="1"/>
        <v>7.4999999999999997E-3</v>
      </c>
      <c r="D33" s="6">
        <f ca="1"/>
        <v>6.9807526572823922E-2</v>
      </c>
      <c r="E33" s="6">
        <f ca="1"/>
        <v>18.615340419419709</v>
      </c>
      <c r="F33" s="6">
        <f ca="1"/>
        <v>2482.0453892559613</v>
      </c>
      <c r="G33" s="42">
        <f ca="1"/>
        <v>0</v>
      </c>
      <c r="H33" s="6">
        <f ca="1"/>
        <v>9.7188577074172855</v>
      </c>
      <c r="J33" s="6">
        <f ca="1"/>
        <v>2.6934275456764301E-2</v>
      </c>
      <c r="K33" s="6">
        <f ca="1"/>
        <v>10.184194340833276</v>
      </c>
      <c r="L33" s="6">
        <f ca="1"/>
        <v>2408.3377812284998</v>
      </c>
      <c r="M33" s="42">
        <f ca="1"/>
        <v>202773.46874735336</v>
      </c>
      <c r="N33" s="6">
        <f ca="1"/>
        <v>8.9886619998741022</v>
      </c>
      <c r="P33" s="6">
        <f ca="1"/>
        <v>2.6934275456764079E-2</v>
      </c>
      <c r="Q33" s="6">
        <f ca="1"/>
        <v>10.184194340833287</v>
      </c>
      <c r="R33" s="6">
        <f ca="1"/>
        <v>2408.3377812284989</v>
      </c>
      <c r="S33" s="42">
        <f ca="1"/>
        <v>202773.46874735336</v>
      </c>
      <c r="T33" s="6">
        <f ca="1"/>
        <v>8.9886619998740986</v>
      </c>
    </row>
    <row r="34" spans="1:20">
      <c r="A34" s="43">
        <f ca="1"/>
        <v>32</v>
      </c>
      <c r="B34" s="4">
        <f ca="1"/>
        <v>7.7499999999999999E-3</v>
      </c>
      <c r="D34" s="6">
        <f ca="1"/>
        <v>7.4538925596093097E-2</v>
      </c>
      <c r="E34" s="6">
        <f ca="1"/>
        <v>19.235851766733699</v>
      </c>
      <c r="F34" s="6">
        <f ca="1"/>
        <v>2482.0453892559613</v>
      </c>
      <c r="G34" s="42">
        <f ca="1"/>
        <v>0</v>
      </c>
      <c r="H34" s="6">
        <f ca="1"/>
        <v>9.7887707259906414</v>
      </c>
      <c r="J34" s="6">
        <f ca="1"/>
        <v>2.9556107928232489E-2</v>
      </c>
      <c r="K34" s="6">
        <f ca="1"/>
        <v>10.792539884282217</v>
      </c>
      <c r="L34" s="6">
        <f ca="1"/>
        <v>2458.1249198805044</v>
      </c>
      <c r="M34" s="42">
        <f ca="1"/>
        <v>195533.9531689354</v>
      </c>
      <c r="N34" s="6">
        <f ca="1"/>
        <v>9.1875227246761444</v>
      </c>
      <c r="P34" s="6">
        <f ca="1"/>
        <v>2.9556107928232489E-2</v>
      </c>
      <c r="Q34" s="6">
        <f ca="1"/>
        <v>10.792539884282217</v>
      </c>
      <c r="R34" s="6">
        <f ca="1"/>
        <v>2458.1249198805035</v>
      </c>
      <c r="S34" s="42">
        <f ca="1"/>
        <v>195533.95316893546</v>
      </c>
      <c r="T34" s="6">
        <f ca="1"/>
        <v>9.1875227246761426</v>
      </c>
    </row>
    <row r="35" spans="1:20">
      <c r="A35" s="43">
        <f ca="1"/>
        <v>33</v>
      </c>
      <c r="B35" s="4">
        <f ca="1"/>
        <v>8.0000000000000002E-3</v>
      </c>
      <c r="D35" s="6">
        <f ca="1"/>
        <v>7.9425452456190759E-2</v>
      </c>
      <c r="E35" s="6">
        <f ca="1"/>
        <v>19.856363114047692</v>
      </c>
      <c r="F35" s="6">
        <f ca="1"/>
        <v>2482.0453892559613</v>
      </c>
      <c r="G35" s="42">
        <f ca="1"/>
        <v>0</v>
      </c>
      <c r="H35" s="6">
        <f ca="1"/>
        <v>9.8650523922042179</v>
      </c>
      <c r="J35" s="6">
        <f ca="1"/>
        <v>3.2331563821024867E-2</v>
      </c>
      <c r="K35" s="6">
        <f ca="1"/>
        <v>11.41310662207608</v>
      </c>
      <c r="L35" s="6">
        <f ca="1"/>
        <v>2506.1099141630943</v>
      </c>
      <c r="M35" s="42">
        <f ca="1"/>
        <v>188356.31379204249</v>
      </c>
      <c r="N35" s="6">
        <f ca="1"/>
        <v>9.3825040003842748</v>
      </c>
      <c r="P35" s="6">
        <f ca="1"/>
        <v>3.2331563821024867E-2</v>
      </c>
      <c r="Q35" s="6">
        <f ca="1"/>
        <v>11.41310662207608</v>
      </c>
      <c r="R35" s="6">
        <f ca="1"/>
        <v>2506.1099141630943</v>
      </c>
      <c r="S35" s="42">
        <f ca="1"/>
        <v>188356.31379204249</v>
      </c>
      <c r="T35" s="6">
        <f ca="1"/>
        <v>9.3825040003842748</v>
      </c>
    </row>
    <row r="36" spans="1:20">
      <c r="A36" s="43">
        <f ca="1"/>
        <v>34</v>
      </c>
      <c r="B36" s="4">
        <f ca="1"/>
        <v>8.2500000000000004E-3</v>
      </c>
      <c r="D36" s="6">
        <f ca="1"/>
        <v>8.4467107153116935E-2</v>
      </c>
      <c r="E36" s="6">
        <f ca="1"/>
        <v>20.476874461361678</v>
      </c>
      <c r="F36" s="6">
        <f ca="1"/>
        <v>2482.0453892559613</v>
      </c>
      <c r="G36" s="42">
        <f ca="1"/>
        <v>0</v>
      </c>
      <c r="H36" s="6">
        <f ca="1"/>
        <v>9.9481965909401513</v>
      </c>
      <c r="J36" s="6">
        <f ca="1"/>
        <v>3.5263642277851837E-2</v>
      </c>
      <c r="K36" s="6">
        <f ca="1"/>
        <v>12.045445951753836</v>
      </c>
      <c r="L36" s="6">
        <f ca="1"/>
        <v>2552.3082331266519</v>
      </c>
      <c r="M36" s="42">
        <f ca="1"/>
        <v>181240.55061667447</v>
      </c>
      <c r="N36" s="6">
        <f ca="1"/>
        <v>9.5739244785987232</v>
      </c>
      <c r="P36" s="6">
        <f ca="1"/>
        <v>3.5263642277851837E-2</v>
      </c>
      <c r="Q36" s="6">
        <f ca="1"/>
        <v>12.045445951753836</v>
      </c>
      <c r="R36" s="6">
        <f ca="1"/>
        <v>2552.3082331266528</v>
      </c>
      <c r="S36" s="42">
        <f ca="1"/>
        <v>181240.55061667442</v>
      </c>
      <c r="T36" s="6">
        <f ca="1"/>
        <v>9.5739244785987268</v>
      </c>
    </row>
    <row r="37" spans="1:20">
      <c r="A37" s="43">
        <f ca="1"/>
        <v>35</v>
      </c>
      <c r="B37" s="4">
        <f ca="1"/>
        <v>8.5000000000000006E-3</v>
      </c>
      <c r="D37" s="6">
        <f ca="1"/>
        <v>8.9663889686871612E-2</v>
      </c>
      <c r="E37" s="6">
        <f ca="1"/>
        <v>21.097385808675671</v>
      </c>
      <c r="F37" s="6">
        <f ca="1"/>
        <v>2482.0453892559613</v>
      </c>
      <c r="G37" s="42">
        <f ca="1"/>
        <v>0</v>
      </c>
      <c r="H37" s="6">
        <f ca="1"/>
        <v>10.03838693254167</v>
      </c>
      <c r="J37" s="6">
        <f ca="1"/>
        <v>3.8355230774216542E-2</v>
      </c>
      <c r="K37" s="6">
        <f ca="1"/>
        <v>12.689113138117028</v>
      </c>
      <c r="L37" s="6">
        <f ca="1"/>
        <v>2596.7353458215584</v>
      </c>
      <c r="M37" s="42">
        <f ca="1"/>
        <v>174186.66364283138</v>
      </c>
      <c r="N37" s="6">
        <f ca="1"/>
        <v>9.7621979429311114</v>
      </c>
      <c r="P37" s="6">
        <f ca="1"/>
        <v>3.8355230774216542E-2</v>
      </c>
      <c r="Q37" s="6">
        <f ca="1"/>
        <v>12.689113138117028</v>
      </c>
      <c r="R37" s="6">
        <f ca="1"/>
        <v>2596.7353458215584</v>
      </c>
      <c r="S37" s="42">
        <f ca="1"/>
        <v>174186.66364283138</v>
      </c>
      <c r="T37" s="6">
        <f ca="1"/>
        <v>9.7621979429311114</v>
      </c>
    </row>
    <row r="38" spans="1:20">
      <c r="A38" s="43">
        <f ca="1"/>
        <v>36</v>
      </c>
      <c r="B38" s="4">
        <f ca="1"/>
        <v>8.7500000000000008E-3</v>
      </c>
      <c r="D38" s="6">
        <f ca="1"/>
        <v>9.5015800057454788E-2</v>
      </c>
      <c r="E38" s="6">
        <f ca="1"/>
        <v>21.717897155989661</v>
      </c>
      <c r="F38" s="6">
        <f ca="1"/>
        <v>2482.0453892559613</v>
      </c>
      <c r="G38" s="42">
        <f ca="1"/>
        <v>0</v>
      </c>
      <c r="H38" s="6">
        <f ca="1"/>
        <v>10.136120112268825</v>
      </c>
      <c r="J38" s="6">
        <f ca="1"/>
        <v>4.1609106085230385E-2</v>
      </c>
      <c r="K38" s="6">
        <f ca="1"/>
        <v>13.34366731322976</v>
      </c>
      <c r="L38" s="6">
        <f ca="1"/>
        <v>2639.4067212981945</v>
      </c>
      <c r="M38" s="42">
        <f ca="1"/>
        <v>167194.65287051318</v>
      </c>
      <c r="N38" s="6">
        <f ca="1"/>
        <v>9.9478167582350618</v>
      </c>
      <c r="P38" s="6">
        <f ca="1"/>
        <v>4.1609106085230385E-2</v>
      </c>
      <c r="Q38" s="6">
        <f ca="1"/>
        <v>13.343667313229771</v>
      </c>
      <c r="R38" s="6">
        <f ca="1"/>
        <v>2639.4067212981945</v>
      </c>
      <c r="S38" s="42">
        <f ca="1"/>
        <v>167194.65287051318</v>
      </c>
      <c r="T38" s="6">
        <f ca="1"/>
        <v>9.9478167582350618</v>
      </c>
    </row>
    <row r="39" spans="1:20">
      <c r="A39" s="43">
        <f ca="1"/>
        <v>37</v>
      </c>
      <c r="B39" s="4">
        <f ca="1"/>
        <v>9.0000000000000011E-3</v>
      </c>
      <c r="D39" s="6">
        <f ca="1"/>
        <v>0.10052283826486645</v>
      </c>
      <c r="E39" s="6">
        <f ca="1"/>
        <v>22.338408503303654</v>
      </c>
      <c r="F39" s="6">
        <f ca="1"/>
        <v>2482.0453892559613</v>
      </c>
      <c r="G39" s="42">
        <f ca="1"/>
        <v>0</v>
      </c>
      <c r="H39" s="6">
        <f ca="1"/>
        <v>10.241837847539946</v>
      </c>
      <c r="J39" s="6">
        <f ca="1"/>
        <v>4.5027935252428763E-2</v>
      </c>
      <c r="K39" s="6">
        <f ca="1"/>
        <v>14.008671476418792</v>
      </c>
      <c r="L39" s="6">
        <f ca="1"/>
        <v>2680.3378286069424</v>
      </c>
      <c r="M39" s="42">
        <f ca="1"/>
        <v>160264.51829972002</v>
      </c>
      <c r="N39" s="6">
        <f ca="1"/>
        <v>10.131205744542834</v>
      </c>
      <c r="P39" s="6">
        <f ca="1"/>
        <v>4.5027935252428763E-2</v>
      </c>
      <c r="Q39" s="6">
        <f ca="1"/>
        <v>14.008671476418792</v>
      </c>
      <c r="R39" s="6">
        <f ca="1"/>
        <v>2680.3378286069424</v>
      </c>
      <c r="S39" s="42">
        <f ca="1"/>
        <v>160264.51829971996</v>
      </c>
      <c r="T39" s="6">
        <f ca="1"/>
        <v>10.131205744542834</v>
      </c>
    </row>
    <row r="40" spans="1:20">
      <c r="A40" s="43">
        <f ca="1"/>
        <v>38</v>
      </c>
      <c r="B40" s="4">
        <f ca="1"/>
        <v>9.2499999999999995E-3</v>
      </c>
      <c r="D40" s="6">
        <f ca="1"/>
        <v>0.10618500430910661</v>
      </c>
      <c r="E40" s="6">
        <f ca="1"/>
        <v>22.958919850617644</v>
      </c>
      <c r="F40" s="6">
        <f ca="1"/>
        <v>2482.0453892559613</v>
      </c>
      <c r="G40" s="42">
        <f ca="1"/>
        <v>0</v>
      </c>
      <c r="H40" s="6">
        <f ca="1"/>
        <v>10.355681187829664</v>
      </c>
      <c r="J40" s="6">
        <f ca="1"/>
        <v>4.8614276550586366E-2</v>
      </c>
      <c r="K40" s="6">
        <f ca="1"/>
        <v>14.683692494273441</v>
      </c>
      <c r="L40" s="6">
        <f ca="1"/>
        <v>2719.5441367981821</v>
      </c>
      <c r="M40" s="42">
        <f ca="1"/>
        <v>153396.25993045178</v>
      </c>
      <c r="N40" s="6">
        <f ca="1"/>
        <v>10.312876860237667</v>
      </c>
      <c r="P40" s="6">
        <f ca="1"/>
        <v>4.8614276550586366E-2</v>
      </c>
      <c r="Q40" s="6">
        <f ca="1"/>
        <v>14.683692494273441</v>
      </c>
      <c r="R40" s="6">
        <f ca="1"/>
        <v>2719.5441367981821</v>
      </c>
      <c r="S40" s="42">
        <f ca="1"/>
        <v>153396.25993045172</v>
      </c>
      <c r="T40" s="6">
        <f ca="1"/>
        <v>10.312876860237667</v>
      </c>
    </row>
    <row r="41" spans="1:20">
      <c r="A41" s="43">
        <f ca="1"/>
        <v>39</v>
      </c>
      <c r="B41" s="4">
        <f ca="1"/>
        <v>9.4999999999999998E-3</v>
      </c>
      <c r="D41" s="6">
        <f ca="1"/>
        <v>0.1120022981901752</v>
      </c>
      <c r="E41" s="6">
        <f ca="1"/>
        <v>23.579431197931623</v>
      </c>
      <c r="F41" s="6">
        <f ca="1"/>
        <v>2482.0453892559613</v>
      </c>
      <c r="G41" s="42">
        <f ca="1"/>
        <v>0</v>
      </c>
      <c r="H41" s="6">
        <f ca="1"/>
        <v>10.47821277333154</v>
      </c>
      <c r="J41" s="6">
        <f ca="1"/>
        <v>5.2370580454532689E-2</v>
      </c>
      <c r="K41" s="6">
        <f ca="1"/>
        <v>15.368301100645613</v>
      </c>
      <c r="L41" s="6">
        <f ca="1"/>
        <v>2757.0411149222941</v>
      </c>
      <c r="M41" s="42">
        <f ca="1"/>
        <v>146589.87776270849</v>
      </c>
      <c r="N41" s="6">
        <f ca="1"/>
        <v>10.49333659142621</v>
      </c>
      <c r="P41" s="6">
        <f ca="1"/>
        <v>5.2370580454532689E-2</v>
      </c>
      <c r="Q41" s="6">
        <f ca="1"/>
        <v>15.368301100645626</v>
      </c>
      <c r="R41" s="6">
        <f ca="1"/>
        <v>2757.0411149222941</v>
      </c>
      <c r="S41" s="42">
        <f ca="1"/>
        <v>146589.87776270849</v>
      </c>
      <c r="T41" s="6">
        <f ca="1"/>
        <v>10.49333659142621</v>
      </c>
    </row>
    <row r="42" spans="1:20">
      <c r="A42" s="43">
        <f ca="1"/>
        <v>40</v>
      </c>
      <c r="B42" s="4">
        <f ca="1"/>
        <v>9.75E-3</v>
      </c>
      <c r="D42" s="6">
        <f ca="1"/>
        <v>0.11797471990807244</v>
      </c>
      <c r="E42" s="6">
        <f ca="1"/>
        <v>24.199942545245626</v>
      </c>
      <c r="F42" s="6">
        <f ca="1"/>
        <v>2482.0453892559613</v>
      </c>
      <c r="G42" s="42">
        <f ca="1"/>
        <v>0</v>
      </c>
      <c r="H42" s="6">
        <f ca="1"/>
        <v>10.609798782636657</v>
      </c>
      <c r="J42" s="6">
        <f ca="1"/>
        <v>5.6299190605969329E-2</v>
      </c>
      <c r="K42" s="6">
        <f ca="1"/>
        <v>16.062071896649854</v>
      </c>
      <c r="L42" s="6">
        <f ca="1"/>
        <v>2792.8442320296635</v>
      </c>
      <c r="M42" s="42">
        <f ca="1"/>
        <v>139845.37179648998</v>
      </c>
      <c r="N42" s="6">
        <f ca="1"/>
        <v>10.67311962329102</v>
      </c>
      <c r="P42" s="6">
        <f ca="1"/>
        <v>5.6299190605969329E-2</v>
      </c>
      <c r="Q42" s="6">
        <f ca="1"/>
        <v>16.062071896649869</v>
      </c>
      <c r="R42" s="6">
        <f ca="1"/>
        <v>2792.8442320296635</v>
      </c>
      <c r="S42" s="42">
        <f ca="1"/>
        <v>139845.37179648998</v>
      </c>
      <c r="T42" s="6">
        <f ca="1"/>
        <v>10.67311962329102</v>
      </c>
    </row>
    <row r="43" spans="1:20">
      <c r="A43" s="43">
        <f ca="1"/>
        <v>41</v>
      </c>
      <c r="B43" s="4">
        <f ca="1"/>
        <v>0.01</v>
      </c>
      <c r="D43" s="6">
        <f ca="1"/>
        <v>0.12410226946279798</v>
      </c>
      <c r="E43" s="6">
        <f ca="1"/>
        <v>24.820453892559605</v>
      </c>
      <c r="F43" s="6">
        <f ca="1"/>
        <v>2482.0453892559613</v>
      </c>
      <c r="G43" s="42">
        <f ca="1"/>
        <v>0</v>
      </c>
      <c r="H43" s="6">
        <f ca="1"/>
        <v>10.750913375703439</v>
      </c>
      <c r="J43" s="6">
        <f ca="1"/>
        <v>6.0402344780282835E-2</v>
      </c>
      <c r="K43" s="6">
        <f ca="1"/>
        <v>16.764583350663251</v>
      </c>
      <c r="L43" s="6">
        <f ca="1"/>
        <v>2826.9689571706667</v>
      </c>
      <c r="M43" s="42">
        <f ca="1"/>
        <v>133162.74203179666</v>
      </c>
      <c r="N43" s="6">
        <f ca="1"/>
        <v>10.852817886257254</v>
      </c>
      <c r="P43" s="6">
        <f ca="1"/>
        <v>6.0402344780282835E-2</v>
      </c>
      <c r="Q43" s="6">
        <f ca="1"/>
        <v>16.764583350663251</v>
      </c>
      <c r="R43" s="6">
        <f ca="1"/>
        <v>2826.9689571706667</v>
      </c>
      <c r="S43" s="42">
        <f ca="1"/>
        <v>133162.74203179666</v>
      </c>
      <c r="T43" s="6">
        <f ca="1"/>
        <v>10.852817886257254</v>
      </c>
    </row>
    <row r="44" spans="1:20">
      <c r="A44" s="43">
        <f ca="1"/>
        <v>42</v>
      </c>
      <c r="B44" s="4">
        <f ca="1"/>
        <v>1.025E-2</v>
      </c>
      <c r="D44" s="6">
        <f ca="1"/>
        <v>0.13038494685435226</v>
      </c>
      <c r="E44" s="6">
        <f ca="1"/>
        <v>25.440965239873609</v>
      </c>
      <c r="F44" s="6">
        <f ca="1"/>
        <v>2482.0453892559613</v>
      </c>
      <c r="G44" s="42">
        <f ca="1"/>
        <v>0</v>
      </c>
      <c r="H44" s="6">
        <f ca="1"/>
        <v>10.901490905396662</v>
      </c>
      <c r="J44" s="6">
        <f ca="1"/>
        <v>6.4682175853362667E-2</v>
      </c>
      <c r="K44" s="6">
        <f ca="1"/>
        <v>17.475417798325541</v>
      </c>
      <c r="L44" s="6">
        <f ca="1"/>
        <v>2859.4307593956883</v>
      </c>
      <c r="M44" s="42">
        <f ca="1"/>
        <v>126541.98846862801</v>
      </c>
      <c r="N44" s="6">
        <f ca="1"/>
        <v>11.033009926004047</v>
      </c>
      <c r="P44" s="6">
        <f ca="1"/>
        <v>6.4682175853362667E-2</v>
      </c>
      <c r="Q44" s="6">
        <f ca="1"/>
        <v>17.475417798325527</v>
      </c>
      <c r="R44" s="6">
        <f ca="1"/>
        <v>2859.4307593956892</v>
      </c>
      <c r="S44" s="42">
        <f ca="1"/>
        <v>126541.98846862801</v>
      </c>
      <c r="T44" s="6">
        <f ca="1"/>
        <v>11.03300992600405</v>
      </c>
    </row>
    <row r="45" spans="1:20">
      <c r="A45" s="43">
        <f ca="1"/>
        <v>43</v>
      </c>
      <c r="B45" s="4">
        <f ca="1"/>
        <v>1.0500000000000001E-2</v>
      </c>
      <c r="D45" s="6">
        <f ca="1"/>
        <v>0.13682275208273481</v>
      </c>
      <c r="E45" s="6">
        <f ca="1"/>
        <v>26.061476587187588</v>
      </c>
      <c r="F45" s="6">
        <f ca="1"/>
        <v>2482.0453892559613</v>
      </c>
      <c r="G45" s="42">
        <f ca="1"/>
        <v>0</v>
      </c>
      <c r="H45" s="6">
        <f ca="1"/>
        <v>11.062374153282178</v>
      </c>
      <c r="J45" s="6">
        <f ca="1"/>
        <v>6.9140712768415602E-2</v>
      </c>
      <c r="K45" s="6">
        <f ca="1"/>
        <v>18.194161442538963</v>
      </c>
      <c r="L45" s="6">
        <f ca="1"/>
        <v>2890.2451077551073</v>
      </c>
      <c r="M45" s="42">
        <f ca="1"/>
        <v>119983.11110698456</v>
      </c>
      <c r="N45" s="6">
        <f ca="1"/>
        <v>11.214355578768659</v>
      </c>
      <c r="P45" s="6">
        <f ca="1"/>
        <v>6.9140712768415602E-2</v>
      </c>
      <c r="Q45" s="6">
        <f ca="1"/>
        <v>18.194161442538963</v>
      </c>
      <c r="R45" s="6">
        <f ca="1"/>
        <v>2890.2451077551082</v>
      </c>
      <c r="S45" s="42">
        <f ca="1"/>
        <v>119983.11110698456</v>
      </c>
      <c r="T45" s="6">
        <f ca="1"/>
        <v>11.214355578768663</v>
      </c>
    </row>
    <row r="46" spans="1:20">
      <c r="A46" s="43">
        <f ca="1"/>
        <v>44</v>
      </c>
      <c r="B46" s="4">
        <f ca="1"/>
        <v>1.0750000000000001E-2</v>
      </c>
      <c r="D46" s="6">
        <f ca="1"/>
        <v>0.14341568514794606</v>
      </c>
      <c r="E46" s="6">
        <f ca="1"/>
        <v>26.681987934501588</v>
      </c>
      <c r="F46" s="6">
        <f ca="1"/>
        <v>2482.0453892559613</v>
      </c>
      <c r="G46" s="42">
        <f ca="1"/>
        <v>0</v>
      </c>
      <c r="H46" s="6">
        <f ca="1"/>
        <v>11.233743613080453</v>
      </c>
      <c r="J46" s="6">
        <f ca="1"/>
        <v>7.3779881502782585E-2</v>
      </c>
      <c r="K46" s="6">
        <f ca="1"/>
        <v>18.920404353468495</v>
      </c>
      <c r="L46" s="6">
        <f ca="1"/>
        <v>2919.4274712993079</v>
      </c>
      <c r="M46" s="42">
        <f ca="1"/>
        <v>113486.10994686581</v>
      </c>
      <c r="N46" s="6">
        <f ca="1"/>
        <v>11.397453795661768</v>
      </c>
      <c r="P46" s="6">
        <f ca="1"/>
        <v>7.3779881502782807E-2</v>
      </c>
      <c r="Q46" s="6">
        <f ca="1"/>
        <v>18.920404353468484</v>
      </c>
      <c r="R46" s="6">
        <f ca="1"/>
        <v>2919.4274712993079</v>
      </c>
      <c r="S46" s="42">
        <f ca="1"/>
        <v>113486.10994686581</v>
      </c>
      <c r="T46" s="6">
        <f ca="1"/>
        <v>11.397453795661768</v>
      </c>
    </row>
    <row r="47" spans="1:20">
      <c r="A47" s="43">
        <f ca="1"/>
        <v>45</v>
      </c>
      <c r="B47" s="4">
        <f ca="1"/>
        <v>1.0999999999999999E-2</v>
      </c>
      <c r="D47" s="6">
        <f ca="1"/>
        <v>0.15016374604998561</v>
      </c>
      <c r="E47" s="6">
        <f ca="1"/>
        <v>27.302499281815567</v>
      </c>
      <c r="F47" s="6">
        <f ca="1"/>
        <v>2482.0453892559613</v>
      </c>
      <c r="G47" s="42">
        <f ca="1"/>
        <v>0</v>
      </c>
      <c r="H47" s="6">
        <f ca="1"/>
        <v>11.415896923980876</v>
      </c>
      <c r="J47" s="6">
        <f ca="1"/>
        <v>7.8601506034752688E-2</v>
      </c>
      <c r="K47" s="6">
        <f ca="1"/>
        <v>19.65374046854155</v>
      </c>
      <c r="L47" s="6">
        <f ca="1"/>
        <v>2946.9933190786674</v>
      </c>
      <c r="M47" s="42">
        <f ca="1"/>
        <v>107050.98498827223</v>
      </c>
      <c r="N47" s="6">
        <f ca="1"/>
        <v>11.582910809403229</v>
      </c>
      <c r="P47" s="6">
        <f ca="1"/>
        <v>7.8601506034752688E-2</v>
      </c>
      <c r="Q47" s="6">
        <f ca="1"/>
        <v>19.653740468541539</v>
      </c>
      <c r="R47" s="6">
        <f ca="1"/>
        <v>2946.9933190786683</v>
      </c>
      <c r="S47" s="42">
        <f ca="1"/>
        <v>107050.98498827223</v>
      </c>
      <c r="T47" s="6">
        <f ca="1"/>
        <v>11.582910809403232</v>
      </c>
    </row>
    <row r="48" spans="1:20">
      <c r="A48" s="43">
        <f ca="1"/>
        <v>46</v>
      </c>
      <c r="B48" s="4">
        <f ca="1"/>
        <v>1.125E-2</v>
      </c>
      <c r="D48" s="6">
        <f ca="1"/>
        <v>0.15706693478885383</v>
      </c>
      <c r="E48" s="6">
        <f ca="1"/>
        <v>27.923010629129564</v>
      </c>
      <c r="F48" s="6">
        <f ca="1"/>
        <v>2482.0453892559613</v>
      </c>
      <c r="G48" s="42">
        <f ca="1"/>
        <v>0</v>
      </c>
      <c r="H48" s="6">
        <f ca="1"/>
        <v>11.609406378373803</v>
      </c>
      <c r="J48" s="6">
        <f ca="1"/>
        <v>8.3607309310380629E-2</v>
      </c>
      <c r="K48" s="6">
        <f ca="1"/>
        <v>20.393767592448285</v>
      </c>
      <c r="L48" s="6">
        <f ca="1"/>
        <v>2972.9581201435717</v>
      </c>
      <c r="M48" s="42">
        <f ca="1"/>
        <v>100677.73623120334</v>
      </c>
      <c r="N48" s="6">
        <f ca="1"/>
        <v>11.77160336352088</v>
      </c>
      <c r="P48" s="6">
        <f ca="1"/>
        <v>8.3607309310380629E-2</v>
      </c>
      <c r="Q48" s="6">
        <f ca="1"/>
        <v>20.393767592448285</v>
      </c>
      <c r="R48" s="6">
        <f ca="1"/>
        <v>2972.9581201435717</v>
      </c>
      <c r="S48" s="42">
        <f ca="1"/>
        <v>100677.73623120334</v>
      </c>
      <c r="T48" s="6">
        <f ca="1"/>
        <v>11.77160336352088</v>
      </c>
    </row>
    <row r="49" spans="1:20">
      <c r="A49" s="43">
        <f ca="1"/>
        <v>47</v>
      </c>
      <c r="B49" s="4">
        <f ca="1"/>
        <v>1.15E-2</v>
      </c>
      <c r="D49" s="6">
        <f ca="1"/>
        <v>0.16412525136455036</v>
      </c>
      <c r="E49" s="6">
        <f ca="1"/>
        <v>28.54352197644355</v>
      </c>
      <c r="F49" s="6">
        <f ca="1"/>
        <v>2482.0453892559613</v>
      </c>
      <c r="G49" s="42">
        <f ca="1"/>
        <v>0</v>
      </c>
      <c r="H49" s="6">
        <f ca="1"/>
        <v>11.814333670905617</v>
      </c>
      <c r="J49" s="6">
        <f ca="1"/>
        <v>8.8798914210300062E-2</v>
      </c>
      <c r="K49" s="6">
        <f ca="1"/>
        <v>21.140087397141325</v>
      </c>
      <c r="L49" s="6">
        <f ca="1"/>
        <v>2997.3373435443968</v>
      </c>
      <c r="M49" s="42">
        <f ca="1"/>
        <v>94366.363675659639</v>
      </c>
      <c r="N49" s="6">
        <f ca="1"/>
        <v>11.963999400533625</v>
      </c>
      <c r="P49" s="6">
        <f ca="1"/>
        <v>8.8798914210300062E-2</v>
      </c>
      <c r="Q49" s="6">
        <f ca="1"/>
        <v>21.140087397141325</v>
      </c>
      <c r="R49" s="6">
        <f ca="1"/>
        <v>2997.3373435443968</v>
      </c>
      <c r="S49" s="42">
        <f ca="1"/>
        <v>94366.363675659639</v>
      </c>
      <c r="T49" s="6">
        <f ca="1"/>
        <v>11.963999400533625</v>
      </c>
    </row>
    <row r="50" spans="1:20">
      <c r="A50" s="43">
        <f ca="1"/>
        <v>48</v>
      </c>
      <c r="B50" s="4">
        <f ca="1"/>
        <v>1.175E-2</v>
      </c>
      <c r="D50" s="6">
        <f ca="1"/>
        <v>0.17133869577707564</v>
      </c>
      <c r="E50" s="6">
        <f ca="1"/>
        <v>29.164033323757547</v>
      </c>
      <c r="F50" s="6">
        <f ca="1"/>
        <v>2482.0453892559613</v>
      </c>
      <c r="G50" s="42">
        <f ca="1"/>
        <v>0</v>
      </c>
      <c r="H50" s="6">
        <f ca="1"/>
        <v>12.031153482395286</v>
      </c>
      <c r="J50" s="6">
        <f ca="1"/>
        <v>9.417784451654243E-2</v>
      </c>
      <c r="K50" s="6">
        <f ca="1"/>
        <v>21.892305421836006</v>
      </c>
      <c r="L50" s="6">
        <f ca="1"/>
        <v>3020.1464583315283</v>
      </c>
      <c r="M50" s="42">
        <f ca="1"/>
        <v>88116.867321640661</v>
      </c>
      <c r="N50" s="6">
        <f ca="1"/>
        <v>12.160932360650827</v>
      </c>
      <c r="P50" s="6">
        <f ca="1"/>
        <v>9.417784451654243E-2</v>
      </c>
      <c r="Q50" s="6">
        <f ca="1"/>
        <v>21.892305421836017</v>
      </c>
      <c r="R50" s="6">
        <f ca="1"/>
        <v>3020.1464583315283</v>
      </c>
      <c r="S50" s="42">
        <f ca="1"/>
        <v>88116.867321640661</v>
      </c>
      <c r="T50" s="6">
        <f ca="1"/>
        <v>12.160932360650827</v>
      </c>
    </row>
    <row r="51" spans="1:20">
      <c r="A51" s="43">
        <f ca="1"/>
        <v>49</v>
      </c>
      <c r="B51" s="4">
        <f ca="1"/>
        <v>1.2E-2</v>
      </c>
      <c r="D51" s="6">
        <f ca="1"/>
        <v>0.17870726802642917</v>
      </c>
      <c r="E51" s="6">
        <f ca="1"/>
        <v>29.784544671071533</v>
      </c>
      <c r="F51" s="6">
        <f ca="1"/>
        <v>2482.0453892559613</v>
      </c>
      <c r="G51" s="42">
        <f ca="1"/>
        <v>0</v>
      </c>
      <c r="H51" s="6">
        <f ca="1"/>
        <v>12.260230811583943</v>
      </c>
      <c r="J51" s="6">
        <f ca="1"/>
        <v>9.9745525879349151E-2</v>
      </c>
      <c r="K51" s="6">
        <f ca="1"/>
        <v>22.650031073010155</v>
      </c>
      <c r="L51" s="6">
        <f ca="1"/>
        <v>3041.4009335553442</v>
      </c>
      <c r="M51" s="42">
        <f ca="1"/>
        <v>81929.247169146809</v>
      </c>
      <c r="N51" s="6">
        <f ca="1"/>
        <v>12.363198358013646</v>
      </c>
      <c r="P51" s="6">
        <f ca="1"/>
        <v>9.9745525879349151E-2</v>
      </c>
      <c r="Q51" s="6">
        <f ca="1"/>
        <v>22.650031073010155</v>
      </c>
      <c r="R51" s="6">
        <f ca="1"/>
        <v>3041.4009335553442</v>
      </c>
      <c r="S51" s="42">
        <f ca="1"/>
        <v>81929.247169146809</v>
      </c>
      <c r="T51" s="6">
        <f ca="1"/>
        <v>12.363198358013646</v>
      </c>
    </row>
    <row r="52" spans="1:20">
      <c r="A52" s="43">
        <f ca="1"/>
        <v>50</v>
      </c>
      <c r="B52" s="4">
        <f ca="1"/>
        <v>1.225E-2</v>
      </c>
      <c r="D52" s="6">
        <f ca="1"/>
        <v>0.18623096811261142</v>
      </c>
      <c r="E52" s="6">
        <f ca="1"/>
        <v>30.40505601838553</v>
      </c>
      <c r="F52" s="6">
        <f ca="1"/>
        <v>2482.0453892559613</v>
      </c>
      <c r="G52" s="42">
        <f ca="1"/>
        <v>0</v>
      </c>
      <c r="H52" s="6">
        <f ca="1"/>
        <v>12.50173914965529</v>
      </c>
      <c r="J52" s="6">
        <f ca="1"/>
        <v>0.10550328678398979</v>
      </c>
      <c r="K52" s="6">
        <f ca="1"/>
        <v>23.41287762440427</v>
      </c>
      <c r="L52" s="6">
        <f ca="1"/>
        <v>3061.1162382662287</v>
      </c>
      <c r="M52" s="42">
        <f ca="1"/>
        <v>75803.503218177706</v>
      </c>
      <c r="N52" s="6">
        <f ca="1"/>
        <v>12.571367498165696</v>
      </c>
      <c r="P52" s="6">
        <f ca="1"/>
        <v>0.10550328678399024</v>
      </c>
      <c r="Q52" s="6">
        <f ca="1"/>
        <v>23.412877624404263</v>
      </c>
      <c r="R52" s="6">
        <f ca="1"/>
        <v>3061.1162382662287</v>
      </c>
      <c r="S52" s="42">
        <f ca="1"/>
        <v>75803.503218177706</v>
      </c>
      <c r="T52" s="6">
        <f ca="1"/>
        <v>12.571367498165701</v>
      </c>
    </row>
    <row r="53" spans="1:20">
      <c r="A53" s="43">
        <f ca="1"/>
        <v>51</v>
      </c>
      <c r="B53" s="4">
        <f ca="1"/>
        <v>1.2500000000000001E-2</v>
      </c>
      <c r="D53" s="6">
        <f ca="1"/>
        <v>0.19390979603562195</v>
      </c>
      <c r="E53" s="6">
        <f ca="1"/>
        <v>31.025567365699516</v>
      </c>
      <c r="F53" s="6">
        <f ca="1"/>
        <v>2482.0453892559613</v>
      </c>
      <c r="G53" s="42">
        <f ca="1"/>
        <v>0</v>
      </c>
      <c r="H53" s="6">
        <f ca="1"/>
        <v>12.756056532510449</v>
      </c>
      <c r="J53" s="6">
        <f ca="1"/>
        <v>0.11145235951757715</v>
      </c>
      <c r="K53" s="6">
        <f ca="1"/>
        <v>24.180462217021393</v>
      </c>
      <c r="L53" s="6">
        <f ca="1"/>
        <v>3079.3078415145601</v>
      </c>
      <c r="M53" s="42">
        <f ca="1"/>
        <v>69739.635468733759</v>
      </c>
      <c r="N53" s="6">
        <f ca="1"/>
        <v>12.786246041156309</v>
      </c>
      <c r="P53" s="6">
        <f ca="1"/>
        <v>0.11145235951757715</v>
      </c>
      <c r="Q53" s="6">
        <f ca="1"/>
        <v>24.180462217021393</v>
      </c>
      <c r="R53" s="6">
        <f ca="1"/>
        <v>3079.3078415145601</v>
      </c>
      <c r="S53" s="42">
        <f ca="1"/>
        <v>69739.63546873373</v>
      </c>
      <c r="T53" s="6">
        <f ca="1"/>
        <v>12.786246041156309</v>
      </c>
    </row>
    <row r="54" spans="1:20">
      <c r="A54" s="43">
        <f ca="1"/>
        <v>52</v>
      </c>
      <c r="B54" s="4">
        <f ca="1"/>
        <v>1.2750000000000001E-2</v>
      </c>
      <c r="D54" s="6">
        <f ca="1"/>
        <v>0.2017437517954612</v>
      </c>
      <c r="E54" s="6">
        <f ca="1"/>
        <v>31.646078713013512</v>
      </c>
      <c r="F54" s="6">
        <f ca="1"/>
        <v>2482.0453892559613</v>
      </c>
      <c r="G54" s="42">
        <f ca="1"/>
        <v>0</v>
      </c>
      <c r="H54" s="6">
        <f ca="1"/>
        <v>13.023787273203713</v>
      </c>
      <c r="J54" s="6">
        <f ca="1"/>
        <v>0.11759388113588254</v>
      </c>
      <c r="K54" s="6">
        <f ca="1"/>
        <v>24.952405859127204</v>
      </c>
      <c r="L54" s="6">
        <f ca="1"/>
        <v>3095.9912123507224</v>
      </c>
      <c r="M54" s="42">
        <f ca="1"/>
        <v>63737.643920814538</v>
      </c>
      <c r="N54" s="6">
        <f ca="1"/>
        <v>13.00863226684082</v>
      </c>
      <c r="P54" s="6">
        <f ca="1"/>
        <v>0.11759388113588232</v>
      </c>
      <c r="Q54" s="6">
        <f ca="1"/>
        <v>24.952405859127211</v>
      </c>
      <c r="R54" s="6">
        <f ca="1"/>
        <v>3095.9912123507224</v>
      </c>
      <c r="S54" s="42">
        <f ca="1"/>
        <v>63737.643920814502</v>
      </c>
      <c r="T54" s="6">
        <f ca="1"/>
        <v>13.00863226684082</v>
      </c>
    </row>
    <row r="55" spans="1:20">
      <c r="A55" s="43">
        <f ca="1"/>
        <v>53</v>
      </c>
      <c r="B55" s="4">
        <f ca="1"/>
        <v>1.3000000000000001E-2</v>
      </c>
      <c r="D55" s="6">
        <f ca="1"/>
        <v>0.2097328353921287</v>
      </c>
      <c r="E55" s="6">
        <f ca="1"/>
        <v>32.266590060327488</v>
      </c>
      <c r="F55" s="6">
        <f ca="1"/>
        <v>2482.0453892559613</v>
      </c>
      <c r="G55" s="42">
        <f ca="1"/>
        <v>0</v>
      </c>
      <c r="H55" s="6">
        <f ca="1"/>
        <v>13.304095188567771</v>
      </c>
      <c r="J55" s="6">
        <f ca="1"/>
        <v>0.12392889443014998</v>
      </c>
      <c r="K55" s="6">
        <f ca="1"/>
        <v>25.728333426249939</v>
      </c>
      <c r="L55" s="6">
        <f ca="1"/>
        <v>3111.1818198250949</v>
      </c>
      <c r="M55" s="42">
        <f ca="1"/>
        <v>57797.52857442043</v>
      </c>
      <c r="N55" s="6">
        <f ca="1"/>
        <v>13.23936106962444</v>
      </c>
      <c r="P55" s="6">
        <f ca="1"/>
        <v>0.12392889443014998</v>
      </c>
      <c r="Q55" s="6">
        <f ca="1"/>
        <v>25.728333426249932</v>
      </c>
      <c r="R55" s="6">
        <f ca="1"/>
        <v>3111.1818198250949</v>
      </c>
      <c r="S55" s="42">
        <f ca="1"/>
        <v>57797.528574420467</v>
      </c>
      <c r="T55" s="6">
        <f ca="1"/>
        <v>13.23936106962444</v>
      </c>
    </row>
    <row r="56" spans="1:20">
      <c r="A56" s="43">
        <f ca="1"/>
        <v>54</v>
      </c>
      <c r="B56" s="4">
        <f ca="1"/>
        <v>1.325E-2</v>
      </c>
      <c r="D56" s="6">
        <f ca="1"/>
        <v>0.21787704682562481</v>
      </c>
      <c r="E56" s="6">
        <f ca="1"/>
        <v>32.887101407641481</v>
      </c>
      <c r="F56" s="6">
        <f ca="1"/>
        <v>2482.0453892559613</v>
      </c>
      <c r="G56" s="42">
        <f ca="1"/>
        <v>0</v>
      </c>
      <c r="H56" s="6">
        <f ca="1"/>
        <v>13.598196594051096</v>
      </c>
      <c r="J56" s="6">
        <f ca="1"/>
        <v>0.13045834889391528</v>
      </c>
      <c r="K56" s="6">
        <f ca="1"/>
        <v>26.507873661180454</v>
      </c>
      <c r="L56" s="6">
        <f ca="1"/>
        <v>3124.8951329880597</v>
      </c>
      <c r="M56" s="42">
        <f ca="1"/>
        <v>51919.289429551194</v>
      </c>
      <c r="N56" s="6">
        <f ca="1"/>
        <v>13.478695865094107</v>
      </c>
      <c r="P56" s="6">
        <f ca="1"/>
        <v>0.13045834889391572</v>
      </c>
      <c r="Q56" s="6">
        <f ca="1"/>
        <v>26.507873661180454</v>
      </c>
      <c r="R56" s="6">
        <f ca="1"/>
        <v>3124.8951329880597</v>
      </c>
      <c r="S56" s="42">
        <f ca="1"/>
        <v>51919.289429551231</v>
      </c>
      <c r="T56" s="6">
        <f ca="1"/>
        <v>13.478695865094114</v>
      </c>
    </row>
    <row r="57" spans="1:20">
      <c r="A57" s="43">
        <f ca="1"/>
        <v>55</v>
      </c>
      <c r="B57" s="4">
        <f ca="1"/>
        <v>1.35E-2</v>
      </c>
      <c r="D57" s="6">
        <f ca="1"/>
        <v>0.22617638609594945</v>
      </c>
      <c r="E57" s="6">
        <f ca="1"/>
        <v>33.507612754955474</v>
      </c>
      <c r="F57" s="6">
        <f ca="1"/>
        <v>2482.0453892559613</v>
      </c>
      <c r="G57" s="42">
        <f ca="1"/>
        <v>0</v>
      </c>
      <c r="H57" s="6">
        <f ca="1"/>
        <v>13.906159128215048</v>
      </c>
      <c r="J57" s="6">
        <f ca="1"/>
        <v>0.13718310168981973</v>
      </c>
      <c r="K57" s="6">
        <f ca="1"/>
        <v>27.290659173972205</v>
      </c>
      <c r="L57" s="6">
        <f ca="1"/>
        <v>3137.1466208899974</v>
      </c>
      <c r="M57" s="42">
        <f ca="1"/>
        <v>46102.926486206932</v>
      </c>
      <c r="N57" s="6">
        <f ca="1"/>
        <v>13.727865874063575</v>
      </c>
      <c r="P57" s="6">
        <f ca="1"/>
        <v>0.13718310168981973</v>
      </c>
      <c r="Q57" s="6">
        <f ca="1"/>
        <v>27.290659173972209</v>
      </c>
      <c r="R57" s="6">
        <f ca="1"/>
        <v>3137.1466208899974</v>
      </c>
      <c r="S57" s="42">
        <f ca="1"/>
        <v>46102.926486206896</v>
      </c>
      <c r="T57" s="6">
        <f ca="1"/>
        <v>13.727865874063575</v>
      </c>
    </row>
    <row r="58" spans="1:20">
      <c r="A58" s="43">
        <f ca="1"/>
        <v>56</v>
      </c>
      <c r="B58" s="4">
        <f ca="1"/>
        <v>1.375E-2</v>
      </c>
      <c r="D58" s="6">
        <f ca="1"/>
        <v>0.23463085320310256</v>
      </c>
      <c r="E58" s="6">
        <f ca="1"/>
        <v>34.128124102269467</v>
      </c>
      <c r="F58" s="6">
        <f ca="1"/>
        <v>2482.0453892559613</v>
      </c>
      <c r="G58" s="42">
        <f ca="1"/>
        <v>0</v>
      </c>
      <c r="H58" s="6">
        <f ca="1"/>
        <v>14.227943221679514</v>
      </c>
      <c r="J58" s="6">
        <f ca="1"/>
        <v>0.14410391861642413</v>
      </c>
      <c r="K58" s="6">
        <f ca="1"/>
        <v>28.07632644194123</v>
      </c>
      <c r="L58" s="6">
        <f ca="1"/>
        <v>3147.9517525812903</v>
      </c>
      <c r="M58" s="42">
        <f ca="1"/>
        <v>40348.439744387535</v>
      </c>
      <c r="N58" s="6">
        <f ca="1"/>
        <v>13.987420486523096</v>
      </c>
      <c r="P58" s="6">
        <f ca="1"/>
        <v>0.14410391861642413</v>
      </c>
      <c r="Q58" s="6">
        <f ca="1"/>
        <v>28.07632644194123</v>
      </c>
      <c r="R58" s="6">
        <f ca="1"/>
        <v>3147.9517525812903</v>
      </c>
      <c r="S58" s="42">
        <f ca="1"/>
        <v>40348.439744387535</v>
      </c>
      <c r="T58" s="6">
        <f ca="1"/>
        <v>13.987420486523096</v>
      </c>
    </row>
    <row r="59" spans="1:20">
      <c r="A59" s="43">
        <f ca="1"/>
        <v>57</v>
      </c>
      <c r="B59" s="4">
        <f ca="1"/>
        <v>1.4E-2</v>
      </c>
      <c r="D59" s="6">
        <f ca="1"/>
        <v>0.24324044814708418</v>
      </c>
      <c r="E59" s="6">
        <f ca="1"/>
        <v>34.748635449583453</v>
      </c>
      <c r="F59" s="6">
        <f ca="1"/>
        <v>2482.0453892559613</v>
      </c>
      <c r="G59" s="42">
        <f ca="1"/>
        <v>0</v>
      </c>
      <c r="H59" s="6">
        <f ca="1"/>
        <v>14.564035775055014</v>
      </c>
      <c r="J59" s="6">
        <f ca="1"/>
        <v>0.15122147507502737</v>
      </c>
      <c r="K59" s="6">
        <f ca="1"/>
        <v>28.864515809666166</v>
      </c>
      <c r="L59" s="6">
        <f ca="1"/>
        <v>3157.3259971123189</v>
      </c>
      <c r="M59" s="42">
        <f ca="1"/>
        <v>34655.829204093105</v>
      </c>
      <c r="N59" s="6">
        <f ca="1"/>
        <v>14.257892353997132</v>
      </c>
      <c r="P59" s="6">
        <f ca="1"/>
        <v>0.15122147507502737</v>
      </c>
      <c r="Q59" s="6">
        <f ca="1"/>
        <v>28.864515809666166</v>
      </c>
      <c r="R59" s="6">
        <f ca="1"/>
        <v>3157.3259971123184</v>
      </c>
      <c r="S59" s="42">
        <f ca="1"/>
        <v>34655.829204093105</v>
      </c>
      <c r="T59" s="6">
        <f ca="1"/>
        <v>14.25789235399713</v>
      </c>
    </row>
    <row r="60" spans="1:20">
      <c r="A60" s="43">
        <f ca="1"/>
        <v>58</v>
      </c>
      <c r="B60" s="4">
        <f ca="1"/>
        <v>1.4250000000000001E-2</v>
      </c>
      <c r="D60" s="6">
        <f ca="1"/>
        <v>0.25200517092789426</v>
      </c>
      <c r="E60" s="6">
        <f ca="1"/>
        <v>35.369146796897446</v>
      </c>
      <c r="F60" s="6">
        <f ca="1"/>
        <v>2482.0453892559613</v>
      </c>
      <c r="G60" s="42">
        <f ca="1"/>
        <v>0</v>
      </c>
      <c r="H60" s="6">
        <f ca="1"/>
        <v>14.914011834130159</v>
      </c>
      <c r="J60" s="6">
        <f ca="1"/>
        <v>0.15853635703648128</v>
      </c>
      <c r="K60" s="6">
        <f ca="1"/>
        <v>29.654871488988235</v>
      </c>
      <c r="L60" s="6">
        <f ca="1"/>
        <v>3165.2848235334641</v>
      </c>
      <c r="M60" s="42">
        <f ca="1"/>
        <v>29025.094865323623</v>
      </c>
      <c r="N60" s="6">
        <f ca="1"/>
        <v>14.540180806509801</v>
      </c>
      <c r="P60" s="6">
        <f ca="1"/>
        <v>0.15853635703648128</v>
      </c>
      <c r="Q60" s="6">
        <f ca="1"/>
        <v>29.654871488988235</v>
      </c>
      <c r="R60" s="6">
        <f ca="1"/>
        <v>3165.2848235334641</v>
      </c>
      <c r="S60" s="42">
        <f ca="1"/>
        <v>29025.094865323623</v>
      </c>
      <c r="T60" s="6">
        <f ca="1"/>
        <v>14.540180806509801</v>
      </c>
    </row>
    <row r="61" spans="1:20">
      <c r="A61" s="43">
        <f ca="1"/>
        <v>59</v>
      </c>
      <c r="B61" s="4">
        <f ca="1"/>
        <v>1.4500000000000001E-2</v>
      </c>
      <c r="D61" s="6">
        <f ca="1"/>
        <v>0.26092502154553293</v>
      </c>
      <c r="E61" s="6">
        <f ca="1"/>
        <v>35.98965814421144</v>
      </c>
      <c r="F61" s="6">
        <f ca="1"/>
        <v>2482.0453892559613</v>
      </c>
      <c r="G61" s="42">
        <f ca="1"/>
        <v>0</v>
      </c>
      <c r="H61" s="6">
        <f ca="1"/>
        <v>15.278501949290817</v>
      </c>
      <c r="J61" s="6">
        <f ca="1"/>
        <v>0.1660490620080044</v>
      </c>
      <c r="K61" s="6">
        <f ca="1"/>
        <v>30.447041559011272</v>
      </c>
      <c r="L61" s="6">
        <f ca="1"/>
        <v>3171.8437008951073</v>
      </c>
      <c r="M61" s="42">
        <f ca="1"/>
        <v>23456.236728079075</v>
      </c>
      <c r="N61" s="6">
        <f ca="1"/>
        <v>14.834913696788645</v>
      </c>
      <c r="P61" s="6">
        <f ca="1"/>
        <v>0.1660490620080044</v>
      </c>
      <c r="Q61" s="6">
        <f ca="1"/>
        <v>30.447041559011272</v>
      </c>
      <c r="R61" s="6">
        <f ca="1"/>
        <v>3171.8437008951073</v>
      </c>
      <c r="S61" s="42">
        <f ca="1"/>
        <v>23456.236728079111</v>
      </c>
      <c r="T61" s="6">
        <f ca="1"/>
        <v>14.834913696788645</v>
      </c>
    </row>
    <row r="62" spans="1:20">
      <c r="A62" s="43">
        <f ca="1"/>
        <v>60</v>
      </c>
      <c r="B62" s="4">
        <f ca="1"/>
        <v>1.4750000000000001E-2</v>
      </c>
      <c r="D62" s="6">
        <f ca="1"/>
        <v>0.27000000000000007</v>
      </c>
      <c r="E62" s="6">
        <f ca="1"/>
        <v>36.610169491525426</v>
      </c>
      <c r="F62" s="6">
        <f ca="1"/>
        <v>2482.0453892559613</v>
      </c>
      <c r="G62" s="42">
        <f ca="1"/>
        <v>0</v>
      </c>
      <c r="H62" s="6">
        <f ca="1"/>
        <v>15.657293258821936</v>
      </c>
      <c r="J62" s="6">
        <f ca="1"/>
        <v>0.17376000000000014</v>
      </c>
      <c r="K62" s="6">
        <f ca="1"/>
        <v>31.2406779661017</v>
      </c>
      <c r="L62" s="6">
        <f ca="1"/>
        <v>3177.0180982476304</v>
      </c>
      <c r="M62" s="42">
        <f ca="1"/>
        <v>17949.254792359501</v>
      </c>
      <c r="N62" s="6">
        <f ca="1"/>
        <v>15.142305717046824</v>
      </c>
      <c r="P62" s="6">
        <f ca="1"/>
        <v>0.17376000000000014</v>
      </c>
      <c r="Q62" s="6">
        <f ca="1"/>
        <v>31.240677966101707</v>
      </c>
      <c r="R62" s="6">
        <f ca="1"/>
        <v>3177.0180982476304</v>
      </c>
      <c r="S62" s="42">
        <f ca="1"/>
        <v>17949.254792359501</v>
      </c>
      <c r="T62" s="6">
        <f ca="1"/>
        <v>15.142305717046826</v>
      </c>
    </row>
    <row r="63" spans="1:20">
      <c r="A63" s="43">
        <f ca="1"/>
        <v>61</v>
      </c>
      <c r="B63" s="4">
        <f ca="1"/>
        <v>1.4999999999999999E-2</v>
      </c>
      <c r="D63" s="6">
        <f ca="1"/>
        <v>0.27923010629129569</v>
      </c>
      <c r="E63" s="6">
        <f ca="1"/>
        <v>37.230680838839419</v>
      </c>
      <c r="F63" s="6">
        <f ca="1"/>
        <v>2482.0453892559613</v>
      </c>
      <c r="G63" s="42">
        <f ca="1"/>
        <v>0</v>
      </c>
      <c r="H63" s="6">
        <f ca="1"/>
        <v>16.050636106322131</v>
      </c>
      <c r="J63" s="6">
        <f ca="1"/>
        <v>0.18166949449287073</v>
      </c>
      <c r="K63" s="6">
        <f ca="1"/>
        <v>32.035436523888535</v>
      </c>
      <c r="L63" s="6">
        <f ca="1"/>
        <v>3180.8234846414143</v>
      </c>
      <c r="M63" s="42">
        <f ca="1"/>
        <v>12504.149058164794</v>
      </c>
      <c r="N63" s="6">
        <f ca="1"/>
        <v>15.463229994389494</v>
      </c>
      <c r="P63" s="6">
        <f ca="1"/>
        <v>0.18166949449287073</v>
      </c>
      <c r="Q63" s="6">
        <f ca="1"/>
        <v>32.035436523888535</v>
      </c>
      <c r="R63" s="6">
        <f ca="1"/>
        <v>3180.8234846414143</v>
      </c>
      <c r="S63" s="42">
        <f ca="1"/>
        <v>12504.149058164794</v>
      </c>
      <c r="T63" s="6">
        <f ca="1"/>
        <v>15.463229994389494</v>
      </c>
    </row>
    <row r="64" spans="1:20">
      <c r="A64" s="43">
        <f ca="1"/>
        <v>62</v>
      </c>
      <c r="B64" s="4">
        <f ca="1"/>
        <v>1.525E-2</v>
      </c>
      <c r="D64" s="6">
        <f ca="1"/>
        <v>0.28861534041941972</v>
      </c>
      <c r="E64" s="6">
        <f ca="1"/>
        <v>37.851192186153412</v>
      </c>
      <c r="F64" s="6">
        <f ca="1"/>
        <v>2482.0453892559613</v>
      </c>
      <c r="G64" s="42">
        <f ca="1"/>
        <v>0</v>
      </c>
      <c r="H64" s="6">
        <f ca="1"/>
        <v>16.458297353049133</v>
      </c>
      <c r="J64" s="6">
        <f ca="1"/>
        <v>0.18977778340383433</v>
      </c>
      <c r="K64" s="6">
        <f ca="1"/>
        <v>32.830976913263378</v>
      </c>
      <c r="L64" s="6">
        <f ca="1"/>
        <v>3183.2753291268405</v>
      </c>
      <c r="M64" s="42">
        <f ca="1"/>
        <v>7120.9195254950964</v>
      </c>
      <c r="N64" s="6">
        <f ca="1"/>
        <v>15.798235519321935</v>
      </c>
      <c r="P64" s="6">
        <f ca="1"/>
        <v>0.18977778340383433</v>
      </c>
      <c r="Q64" s="6">
        <f ca="1"/>
        <v>32.830976913263378</v>
      </c>
      <c r="R64" s="6">
        <f ca="1"/>
        <v>3183.2753291268405</v>
      </c>
      <c r="S64" s="42">
        <f ca="1"/>
        <v>7120.919525495061</v>
      </c>
      <c r="T64" s="6">
        <f ca="1"/>
        <v>15.798235519321935</v>
      </c>
    </row>
    <row r="65" spans="1:20">
      <c r="A65" s="43">
        <f ca="1"/>
        <v>63</v>
      </c>
      <c r="B65" s="4">
        <f ca="1"/>
        <v>1.55E-2</v>
      </c>
      <c r="D65" s="6">
        <f ca="1"/>
        <v>0.29815570238437239</v>
      </c>
      <c r="E65" s="6">
        <f ca="1"/>
        <v>38.471703533467398</v>
      </c>
      <c r="F65" s="6">
        <f ca="1"/>
        <v>2482.0453892559613</v>
      </c>
      <c r="G65" s="42">
        <f ca="1"/>
        <v>0</v>
      </c>
      <c r="H65" s="6">
        <f ca="1"/>
        <v>16.880487446016854</v>
      </c>
      <c r="J65" s="6">
        <f ca="1"/>
        <v>0.19808502005373851</v>
      </c>
      <c r="K65" s="6">
        <f ca="1"/>
        <v>33.626962682380451</v>
      </c>
      <c r="L65" s="6">
        <f ca="1"/>
        <v>3184.3891007542884</v>
      </c>
      <c r="M65" s="42">
        <f ca="1"/>
        <v>1799.5661943503019</v>
      </c>
      <c r="N65" s="6">
        <f ca="1"/>
        <v>16.147618966564682</v>
      </c>
      <c r="P65" s="6">
        <f ca="1"/>
        <v>0.19808502005373851</v>
      </c>
      <c r="Q65" s="6">
        <f ca="1"/>
        <v>33.626962682380451</v>
      </c>
      <c r="R65" s="6">
        <f ca="1"/>
        <v>3184.3891007542888</v>
      </c>
      <c r="S65" s="42">
        <f ca="1"/>
        <v>1799.5661943502664</v>
      </c>
      <c r="T65" s="6">
        <f ca="1"/>
        <v>16.147618966564686</v>
      </c>
    </row>
    <row r="66" spans="1:20">
      <c r="A66" s="43">
        <f ca="1"/>
        <v>64</v>
      </c>
      <c r="B66" s="4">
        <f ca="1"/>
        <v>1.575E-2</v>
      </c>
      <c r="D66" s="6">
        <f ca="1"/>
        <v>0.30785119218615348</v>
      </c>
      <c r="E66" s="6">
        <f ca="1"/>
        <v>39.092214880781391</v>
      </c>
      <c r="F66" s="6">
        <f ca="1"/>
        <v>2482.0453892559613</v>
      </c>
      <c r="G66" s="42">
        <f ca="1"/>
        <v>0</v>
      </c>
      <c r="H66" s="6">
        <f ca="1"/>
        <v>17.316945694508405</v>
      </c>
      <c r="J66" s="6">
        <f ca="1"/>
        <v>0.20659127413387868</v>
      </c>
      <c r="K66" s="6">
        <f ca="1"/>
        <v>34.423061246656552</v>
      </c>
      <c r="L66" s="6">
        <f ca="1"/>
        <v>3184.1802685741418</v>
      </c>
      <c r="M66" s="42">
        <f ca="1"/>
        <v>-3459.9109352695546</v>
      </c>
      <c r="N66" s="6">
        <f ca="1"/>
        <v>16.51181710965016</v>
      </c>
      <c r="P66" s="6">
        <f ca="1"/>
        <v>0.20659127413387868</v>
      </c>
      <c r="Q66" s="6">
        <f ca="1"/>
        <v>34.423061246656559</v>
      </c>
      <c r="R66" s="6">
        <f ca="1"/>
        <v>3184.1802685741418</v>
      </c>
      <c r="S66" s="42">
        <f ca="1"/>
        <v>-3459.91093526959</v>
      </c>
      <c r="T66" s="6">
        <f ca="1"/>
        <v>16.51181710965016</v>
      </c>
    </row>
    <row r="67" spans="1:20">
      <c r="A67" s="43">
        <f ca="1"/>
        <v>65</v>
      </c>
      <c r="B67" s="4">
        <f ca="1"/>
        <v>1.6E-2</v>
      </c>
      <c r="D67" s="6">
        <f ca="1"/>
        <v>0.31770180982476304</v>
      </c>
      <c r="E67" s="6">
        <f ca="1"/>
        <v>39.712726228095384</v>
      </c>
      <c r="F67" s="6">
        <f ca="1"/>
        <v>2482.0453892559613</v>
      </c>
      <c r="G67" s="42">
        <f ca="1"/>
        <v>0</v>
      </c>
      <c r="H67" s="6">
        <f ca="1"/>
        <v>17.76772297835646</v>
      </c>
      <c r="J67" s="6">
        <f ca="1"/>
        <v>0.21529653267281113</v>
      </c>
      <c r="K67" s="6">
        <f ca="1"/>
        <v>35.218943888771086</v>
      </c>
      <c r="L67" s="6">
        <f ca="1"/>
        <v>3182.6643016367807</v>
      </c>
      <c r="M67" s="42">
        <f ca="1"/>
        <v>-8657.5118633644379</v>
      </c>
      <c r="N67" s="6">
        <f ca="1"/>
        <v>16.891263182412739</v>
      </c>
      <c r="P67" s="6">
        <f ca="1"/>
        <v>0.21529653267281113</v>
      </c>
      <c r="Q67" s="6">
        <f ca="1"/>
        <v>35.218943888771086</v>
      </c>
      <c r="R67" s="6">
        <f ca="1"/>
        <v>3182.6643016367807</v>
      </c>
      <c r="S67" s="42">
        <f ca="1"/>
        <v>-8657.5118633644379</v>
      </c>
      <c r="T67" s="6">
        <f ca="1"/>
        <v>16.891263182412739</v>
      </c>
    </row>
    <row r="68" spans="1:20">
      <c r="A68" s="43">
        <f ca="1"/>
        <v>66</v>
      </c>
      <c r="B68" s="4">
        <f ca="1"/>
        <v>1.6250000000000001E-2</v>
      </c>
      <c r="D68" s="6">
        <f ca="1"/>
        <v>0.32770755530020113</v>
      </c>
      <c r="E68" s="6">
        <f ca="1"/>
        <v>40.333237575409377</v>
      </c>
      <c r="F68" s="6">
        <f ca="1"/>
        <v>2482.0453892559613</v>
      </c>
      <c r="G68" s="42">
        <f ca="1"/>
        <v>0</v>
      </c>
      <c r="H68" s="6">
        <f ca="1"/>
        <v>18.232597309831668</v>
      </c>
      <c r="J68" s="6">
        <f ca="1"/>
        <v>0.22420070100317013</v>
      </c>
      <c r="K68" s="6">
        <f ca="1"/>
        <v>36.014285758666041</v>
      </c>
      <c r="L68" s="6">
        <f ca="1"/>
        <v>3179.8566689925865</v>
      </c>
      <c r="M68" s="42">
        <f ca="1"/>
        <v>-13793.236589934453</v>
      </c>
      <c r="N68" s="6">
        <f ca="1"/>
        <v>17.286111584095824</v>
      </c>
      <c r="P68" s="6">
        <f ca="1"/>
        <v>0.22420070100317013</v>
      </c>
      <c r="Q68" s="6">
        <f ca="1"/>
        <v>36.014285758666034</v>
      </c>
      <c r="R68" s="6">
        <f ca="1"/>
        <v>3179.8566689925865</v>
      </c>
      <c r="S68" s="42">
        <f ca="1"/>
        <v>-13793.236589934417</v>
      </c>
      <c r="T68" s="6">
        <f ca="1"/>
        <v>17.286111584095824</v>
      </c>
    </row>
    <row r="69" spans="1:20">
      <c r="A69" s="43">
        <f ca="1"/>
        <v>67</v>
      </c>
      <c r="B69" s="4">
        <f ca="1"/>
        <v>1.6500000000000001E-2</v>
      </c>
      <c r="D69" s="6">
        <f ca="1"/>
        <v>0.33786842861246774</v>
      </c>
      <c r="E69" s="6">
        <f ca="1"/>
        <v>40.953748922723356</v>
      </c>
      <c r="F69" s="6">
        <f ca="1"/>
        <v>2482.0453892559613</v>
      </c>
      <c r="G69" s="42">
        <f ca="1"/>
        <v>0</v>
      </c>
      <c r="H69" s="6">
        <f ca="1"/>
        <v>18.711397853816003</v>
      </c>
      <c r="J69" s="6">
        <f ca="1"/>
        <v>0.23330360372848391</v>
      </c>
      <c r="K69" s="6">
        <f ca="1"/>
        <v>36.808765873546008</v>
      </c>
      <c r="L69" s="6">
        <f ca="1"/>
        <v>3175.7728396919406</v>
      </c>
      <c r="M69" s="42">
        <f ca="1"/>
        <v>-18867.085114979458</v>
      </c>
      <c r="N69" s="6">
        <f ca="1"/>
        <v>17.696523087160919</v>
      </c>
      <c r="P69" s="6">
        <f ca="1"/>
        <v>0.23330360372848391</v>
      </c>
      <c r="Q69" s="6">
        <f ca="1"/>
        <v>36.808765873546015</v>
      </c>
      <c r="R69" s="6">
        <f ca="1"/>
        <v>3175.7728396919406</v>
      </c>
      <c r="S69" s="42">
        <f ca="1"/>
        <v>-18867.085114979458</v>
      </c>
      <c r="T69" s="6">
        <f ca="1"/>
        <v>17.696523087160919</v>
      </c>
    </row>
    <row r="70" spans="1:20">
      <c r="A70" s="43">
        <f ca="1"/>
        <v>68</v>
      </c>
      <c r="B70" s="4">
        <f ca="1"/>
        <v>1.6750000000000001E-2</v>
      </c>
      <c r="D70" s="6">
        <f ca="1"/>
        <v>0.34818442976156283</v>
      </c>
      <c r="E70" s="6">
        <f ca="1"/>
        <v>41.57426027003735</v>
      </c>
      <c r="F70" s="6">
        <f ca="1"/>
        <v>2482.0453892559613</v>
      </c>
      <c r="G70" s="42">
        <f ca="1"/>
        <v>0</v>
      </c>
      <c r="H70" s="6">
        <f ca="1"/>
        <v>19.203992206586637</v>
      </c>
      <c r="J70" s="6">
        <f ca="1"/>
        <v>0.24260498568998856</v>
      </c>
      <c r="K70" s="6">
        <f ca="1"/>
        <v>37.602067117878178</v>
      </c>
      <c r="L70" s="6">
        <f ca="1"/>
        <v>3170.4282827852244</v>
      </c>
      <c r="M70" s="42">
        <f ca="1"/>
        <v>-23879.057438499563</v>
      </c>
      <c r="N70" s="6">
        <f ca="1"/>
        <v>18.122709448596098</v>
      </c>
      <c r="P70" s="6">
        <f ca="1"/>
        <v>0.24260498568998856</v>
      </c>
      <c r="Q70" s="6">
        <f ca="1"/>
        <v>37.602067117878171</v>
      </c>
      <c r="R70" s="6">
        <f ca="1"/>
        <v>3170.4282827852244</v>
      </c>
      <c r="S70" s="42">
        <f ca="1"/>
        <v>-23879.057438499563</v>
      </c>
      <c r="T70" s="6">
        <f ca="1"/>
        <v>18.122709448596098</v>
      </c>
    </row>
    <row r="71" spans="1:20">
      <c r="A71" s="43">
        <f ca="1"/>
        <v>69</v>
      </c>
      <c r="B71" s="4">
        <f ca="1"/>
        <v>1.7000000000000001E-2</v>
      </c>
      <c r="D71" s="6">
        <f ca="1"/>
        <v>0.35865555874748645</v>
      </c>
      <c r="E71" s="6">
        <f ca="1"/>
        <v>42.194771617351343</v>
      </c>
      <c r="F71" s="6">
        <f ca="1"/>
        <v>2482.0453892559613</v>
      </c>
      <c r="G71" s="42">
        <f ca="1"/>
        <v>0</v>
      </c>
      <c r="H71" s="6">
        <f ca="1"/>
        <v>19.710470321045729</v>
      </c>
      <c r="J71" s="6">
        <f ca="1"/>
        <v>0.2521045129334456</v>
      </c>
      <c r="K71" s="6">
        <f ca="1"/>
        <v>38.393876243392327</v>
      </c>
      <c r="L71" s="6">
        <f ca="1"/>
        <v>3163.8384673228179</v>
      </c>
      <c r="M71" s="42">
        <f ca="1"/>
        <v>-28829.153560494728</v>
      </c>
      <c r="N71" s="6">
        <f ca="1"/>
        <v>18.5646149127518</v>
      </c>
      <c r="P71" s="6">
        <f ca="1"/>
        <v>0.2521045129334456</v>
      </c>
      <c r="Q71" s="6">
        <f ca="1"/>
        <v>38.393876243392327</v>
      </c>
      <c r="R71" s="6">
        <f ca="1"/>
        <v>3163.8384673228179</v>
      </c>
      <c r="S71" s="42">
        <f ca="1"/>
        <v>-28829.153560494728</v>
      </c>
      <c r="T71" s="6">
        <f ca="1"/>
        <v>18.5646149127518</v>
      </c>
    </row>
    <row r="72" spans="1:20">
      <c r="A72" s="43">
        <f ca="1"/>
        <v>70</v>
      </c>
      <c r="B72" s="4">
        <f ca="1"/>
        <v>1.7250000000000001E-2</v>
      </c>
      <c r="D72" s="6">
        <f ca="1"/>
        <v>0.36928181557023854</v>
      </c>
      <c r="E72" s="6">
        <f ca="1"/>
        <v>42.815282964665329</v>
      </c>
      <c r="F72" s="6">
        <f ca="1"/>
        <v>2482.0453892559613</v>
      </c>
      <c r="G72" s="42">
        <f ca="1"/>
        <v>0</v>
      </c>
      <c r="H72" s="6">
        <f ca="1"/>
        <v>20.231108286789343</v>
      </c>
      <c r="J72" s="6">
        <f ca="1"/>
        <v>0.26180177367595681</v>
      </c>
      <c r="K72" s="6">
        <f ca="1"/>
        <v>39.183883869080809</v>
      </c>
      <c r="L72" s="6">
        <f ca="1"/>
        <v>3156.0188623551039</v>
      </c>
      <c r="M72" s="42">
        <f ca="1"/>
        <v>-33717.373480964918</v>
      </c>
      <c r="N72" s="6">
        <f ca="1"/>
        <v>19.022240265889156</v>
      </c>
      <c r="P72" s="6">
        <f ca="1"/>
        <v>0.26180177367595681</v>
      </c>
      <c r="Q72" s="6">
        <f ca="1"/>
        <v>39.183883869080816</v>
      </c>
      <c r="R72" s="6">
        <f ca="1"/>
        <v>3156.0188623551039</v>
      </c>
      <c r="S72" s="42">
        <f ca="1"/>
        <v>-33717.373480964918</v>
      </c>
      <c r="T72" s="6">
        <f ca="1"/>
        <v>19.022240265889156</v>
      </c>
    </row>
    <row r="73" spans="1:20">
      <c r="A73" s="43">
        <f ca="1"/>
        <v>71</v>
      </c>
      <c r="B73" s="4">
        <f ca="1"/>
        <v>1.7500000000000002E-2</v>
      </c>
      <c r="D73" s="6">
        <f ca="1"/>
        <v>0.38006320022981915</v>
      </c>
      <c r="E73" s="6">
        <f ca="1"/>
        <v>43.435794311979322</v>
      </c>
      <c r="F73" s="6">
        <f ca="1"/>
        <v>2482.0453892559613</v>
      </c>
      <c r="G73" s="42">
        <f ca="1"/>
        <v>0</v>
      </c>
      <c r="H73" s="6">
        <f ca="1"/>
        <v>20.761817117604849</v>
      </c>
      <c r="J73" s="6">
        <f ca="1"/>
        <v>0.27169627927277951</v>
      </c>
      <c r="K73" s="6">
        <f ca="1"/>
        <v>39.971784481198625</v>
      </c>
      <c r="L73" s="6">
        <f ca="1"/>
        <v>3146.9849369324625</v>
      </c>
      <c r="M73" s="42">
        <f ca="1"/>
        <v>-38543.71719991017</v>
      </c>
      <c r="N73" s="6">
        <f ca="1"/>
        <v>19.495287430975061</v>
      </c>
      <c r="P73" s="6">
        <f ca="1"/>
        <v>0.27169627927277951</v>
      </c>
      <c r="Q73" s="6">
        <f ca="1"/>
        <v>39.971784481198618</v>
      </c>
      <c r="R73" s="6">
        <f ca="1"/>
        <v>3146.9849369324625</v>
      </c>
      <c r="S73" s="42">
        <f ca="1"/>
        <v>-38543.71719991017</v>
      </c>
      <c r="T73" s="6">
        <f ca="1"/>
        <v>19.495287430975058</v>
      </c>
    </row>
    <row r="74" spans="1:20">
      <c r="A74" s="43">
        <f ca="1"/>
        <v>72</v>
      </c>
      <c r="B74" s="4">
        <f ca="1"/>
        <v>1.7750000000000002E-2</v>
      </c>
      <c r="D74" s="6">
        <f ca="1"/>
        <v>0.39099971272622824</v>
      </c>
      <c r="E74" s="6">
        <f ca="1"/>
        <v>44.056305659293315</v>
      </c>
      <c r="F74" s="6">
        <f ca="1"/>
        <v>2482.0453892559613</v>
      </c>
      <c r="G74" s="42">
        <f ca="1"/>
        <v>0</v>
      </c>
      <c r="H74" s="6">
        <f ca="1"/>
        <v>21.307101003532516</v>
      </c>
      <c r="J74" s="6">
        <f ca="1"/>
        <v>0.28178746518414277</v>
      </c>
      <c r="K74" s="6">
        <f ca="1"/>
        <v>40.757276433263335</v>
      </c>
      <c r="L74" s="6">
        <f ca="1"/>
        <v>3136.7521601052767</v>
      </c>
      <c r="M74" s="42">
        <f ca="1"/>
        <v>-43308.184717330521</v>
      </c>
      <c r="N74" s="6">
        <f ca="1"/>
        <v>19.983690446903275</v>
      </c>
      <c r="P74" s="6">
        <f ca="1"/>
        <v>0.28178746518414277</v>
      </c>
      <c r="Q74" s="6">
        <f ca="1"/>
        <v>40.757276433263335</v>
      </c>
      <c r="R74" s="6">
        <f ca="1"/>
        <v>3136.7521601052767</v>
      </c>
      <c r="S74" s="42">
        <f ca="1"/>
        <v>-43308.184717330521</v>
      </c>
      <c r="T74" s="6">
        <f ca="1"/>
        <v>19.983690446903275</v>
      </c>
    </row>
    <row r="75" spans="1:20">
      <c r="A75" s="43">
        <f ca="1"/>
        <v>73</v>
      </c>
      <c r="B75" s="4">
        <f ca="1"/>
        <v>1.8000000000000002E-2</v>
      </c>
      <c r="D75" s="6">
        <f ca="1"/>
        <v>0.40209135305946581</v>
      </c>
      <c r="E75" s="6">
        <f ca="1"/>
        <v>44.676817006607308</v>
      </c>
      <c r="F75" s="6">
        <f ca="1"/>
        <v>2482.0453892559613</v>
      </c>
      <c r="G75" s="42">
        <f ca="1"/>
        <v>0</v>
      </c>
      <c r="H75" s="6">
        <f ca="1"/>
        <v>21.863660531174389</v>
      </c>
      <c r="J75" s="6">
        <f ca="1"/>
        <v>0.2920746919420627</v>
      </c>
      <c r="K75" s="6">
        <f ca="1"/>
        <v>41.540061946055083</v>
      </c>
      <c r="L75" s="6">
        <f ca="1"/>
        <v>3125.3360009239245</v>
      </c>
      <c r="M75" s="42">
        <f ca="1"/>
        <v>-48010.776033225899</v>
      </c>
      <c r="N75" s="6">
        <f ca="1"/>
        <v>20.486949190190547</v>
      </c>
      <c r="P75" s="6">
        <f ca="1"/>
        <v>0.2920746919420627</v>
      </c>
      <c r="Q75" s="6">
        <f ca="1"/>
        <v>41.540061946055083</v>
      </c>
      <c r="R75" s="6">
        <f ca="1"/>
        <v>3125.336000923925</v>
      </c>
      <c r="S75" s="42">
        <f ca="1"/>
        <v>-48010.776033225899</v>
      </c>
      <c r="T75" s="6">
        <f ca="1"/>
        <v>20.48694919019055</v>
      </c>
    </row>
    <row r="76" spans="1:20">
      <c r="A76" s="43">
        <f ca="1"/>
        <v>74</v>
      </c>
      <c r="B76" s="4">
        <f ca="1"/>
        <v>1.8249999999999999E-2</v>
      </c>
      <c r="D76" s="6">
        <f ca="1"/>
        <v>0.41333812122953167</v>
      </c>
      <c r="E76" s="6">
        <f ca="1"/>
        <v>45.297328353921287</v>
      </c>
      <c r="F76" s="6">
        <f ca="1"/>
        <v>2482.0453892559613</v>
      </c>
      <c r="G76" s="42">
        <f ca="1"/>
        <v>0</v>
      </c>
      <c r="H76" s="6">
        <f ca="1"/>
        <v>22.431826376566143</v>
      </c>
      <c r="J76" s="6">
        <f ca="1"/>
        <v>0.3025572461171584</v>
      </c>
      <c r="K76" s="6">
        <f ca="1"/>
        <v>42.319847107616638</v>
      </c>
      <c r="L76" s="6">
        <f ca="1"/>
        <v>3112.7519284387904</v>
      </c>
      <c r="M76" s="42">
        <f ca="1"/>
        <v>-52651.491147596302</v>
      </c>
      <c r="N76" s="6">
        <f ca="1"/>
        <v>21.004663734302234</v>
      </c>
      <c r="P76" s="6">
        <f ca="1"/>
        <v>0.3025572461171584</v>
      </c>
      <c r="Q76" s="6">
        <f ca="1"/>
        <v>42.319847107616638</v>
      </c>
      <c r="R76" s="6">
        <f ca="1"/>
        <v>3112.7519284387904</v>
      </c>
      <c r="S76" s="42">
        <f ca="1"/>
        <v>-52651.491147596302</v>
      </c>
      <c r="T76" s="6">
        <f ca="1"/>
        <v>21.004663734302234</v>
      </c>
    </row>
    <row r="77" spans="1:20">
      <c r="A77" s="43">
        <f ca="1"/>
        <v>75</v>
      </c>
      <c r="B77" s="4">
        <f ca="1"/>
        <v>1.8499999999999999E-2</v>
      </c>
      <c r="D77" s="6">
        <f ca="1"/>
        <v>0.42474001723642624</v>
      </c>
      <c r="E77" s="6">
        <f ca="1"/>
        <v>45.917839701235273</v>
      </c>
      <c r="F77" s="6">
        <f ca="1"/>
        <v>2482.0453892559613</v>
      </c>
      <c r="G77" s="42">
        <f ca="1"/>
        <v>0</v>
      </c>
      <c r="H77" s="6">
        <f ca="1"/>
        <v>23.010829925119616</v>
      </c>
      <c r="J77" s="6">
        <f ca="1"/>
        <v>0.31323434128546812</v>
      </c>
      <c r="K77" s="6">
        <f ca="1"/>
        <v>43.096341873253351</v>
      </c>
      <c r="L77" s="6">
        <f ca="1"/>
        <v>3099.0154117002539</v>
      </c>
      <c r="M77" s="42">
        <f ca="1"/>
        <v>-57230.330060441804</v>
      </c>
      <c r="N77" s="6">
        <f ca="1"/>
        <v>21.536312386689495</v>
      </c>
      <c r="P77" s="6">
        <f ca="1"/>
        <v>0.31323434128546812</v>
      </c>
      <c r="Q77" s="6">
        <f ca="1"/>
        <v>43.096341873253351</v>
      </c>
      <c r="R77" s="6">
        <f ca="1"/>
        <v>3099.0154117002539</v>
      </c>
      <c r="S77" s="42">
        <f ca="1"/>
        <v>-57230.33006044184</v>
      </c>
      <c r="T77" s="6">
        <f ca="1"/>
        <v>21.536312386689495</v>
      </c>
    </row>
    <row r="78" spans="1:20">
      <c r="A78" s="43">
        <f ca="1"/>
        <v>76</v>
      </c>
      <c r="B78" s="4">
        <f ca="1"/>
        <v>1.8749999999999999E-2</v>
      </c>
      <c r="D78" s="6">
        <f ca="1"/>
        <v>0.43629704108014933</v>
      </c>
      <c r="E78" s="6">
        <f ca="1"/>
        <v>46.538351048549266</v>
      </c>
      <c r="F78" s="6">
        <f ca="1"/>
        <v>2482.0453892559613</v>
      </c>
      <c r="G78" s="42">
        <f ca="1"/>
        <v>0</v>
      </c>
      <c r="H78" s="6">
        <f ca="1"/>
        <v>23.597457732033966</v>
      </c>
      <c r="J78" s="6">
        <f ca="1"/>
        <v>0.32410511899526284</v>
      </c>
      <c r="K78" s="6">
        <f ca="1"/>
        <v>43.869260065533176</v>
      </c>
      <c r="L78" s="6">
        <f ca="1"/>
        <v>3084.1419197586965</v>
      </c>
      <c r="M78" s="42">
        <f ca="1"/>
        <v>-61747.292771762404</v>
      </c>
      <c r="N78" s="6">
        <f ca="1"/>
        <v>22.08105429920635</v>
      </c>
      <c r="P78" s="6">
        <f ca="1"/>
        <v>0.32410511899526284</v>
      </c>
      <c r="Q78" s="6">
        <f ca="1"/>
        <v>43.869260065533169</v>
      </c>
      <c r="R78" s="6">
        <f ca="1"/>
        <v>3084.1419197586965</v>
      </c>
      <c r="S78" s="42">
        <f ca="1"/>
        <v>-61747.292771762404</v>
      </c>
      <c r="T78" s="6">
        <f ca="1"/>
        <v>22.08105429920635</v>
      </c>
    </row>
    <row r="79" spans="1:20">
      <c r="A79" s="43">
        <f ca="1"/>
        <v>77</v>
      </c>
      <c r="B79" s="4">
        <f ca="1"/>
        <v>1.9E-2</v>
      </c>
      <c r="D79" s="6">
        <f ca="1"/>
        <v>0.44800919276070095</v>
      </c>
      <c r="E79" s="6">
        <f ca="1"/>
        <v>47.15886239586326</v>
      </c>
      <c r="F79" s="6">
        <f ca="1"/>
        <v>2482.0453892559613</v>
      </c>
      <c r="G79" s="42">
        <f ca="1"/>
        <v>0</v>
      </c>
      <c r="H79" s="6">
        <f ca="1"/>
        <v>24.19961366147901</v>
      </c>
      <c r="J79" s="6">
        <f ca="1"/>
        <v>0.33516864973386484</v>
      </c>
      <c r="K79" s="6">
        <f ca="1"/>
        <v>44.638319374286645</v>
      </c>
      <c r="L79" s="6">
        <f ca="1"/>
        <v>3068.1469216644996</v>
      </c>
      <c r="M79" s="42">
        <f ca="1"/>
        <v>-66202.379281558024</v>
      </c>
      <c r="N79" s="6">
        <f ca="1"/>
        <v>22.638287674808922</v>
      </c>
      <c r="P79" s="6">
        <f ca="1"/>
        <v>0.33516864973386484</v>
      </c>
      <c r="Q79" s="6">
        <f ca="1"/>
        <v>44.638319374286652</v>
      </c>
      <c r="R79" s="6">
        <f ca="1"/>
        <v>3068.1469216644996</v>
      </c>
      <c r="S79" s="42">
        <f ca="1"/>
        <v>-66202.379281558009</v>
      </c>
      <c r="T79" s="6">
        <f ca="1"/>
        <v>22.638287674808922</v>
      </c>
    </row>
    <row r="80" spans="1:20">
      <c r="A80" s="43">
        <f ca="1"/>
        <v>78</v>
      </c>
      <c r="B80" s="4">
        <f ca="1"/>
        <v>1.925E-2</v>
      </c>
      <c r="D80" s="6">
        <f ca="1"/>
        <v>0.45987647227808098</v>
      </c>
      <c r="E80" s="6">
        <f ca="1"/>
        <v>47.779373743177246</v>
      </c>
      <c r="F80" s="6">
        <f ca="1"/>
        <v>2482.0453892559613</v>
      </c>
      <c r="G80" s="42">
        <f ca="1"/>
        <v>0</v>
      </c>
      <c r="H80" s="6">
        <f ca="1"/>
        <v>24.805409230476808</v>
      </c>
      <c r="J80" s="6">
        <f ca="1"/>
        <v>0.34642393389446124</v>
      </c>
      <c r="K80" s="6">
        <f ca="1"/>
        <v>45.403241356606905</v>
      </c>
      <c r="L80" s="6">
        <f ca="1"/>
        <v>3051.0458864680445</v>
      </c>
      <c r="M80" s="42">
        <f ca="1"/>
        <v>-70595.589589828727</v>
      </c>
      <c r="N80" s="6">
        <f ca="1"/>
        <v>23.207016193482943</v>
      </c>
      <c r="P80" s="6">
        <f ca="1"/>
        <v>0.34642393389446124</v>
      </c>
      <c r="Q80" s="6">
        <f ca="1"/>
        <v>45.403241356606905</v>
      </c>
      <c r="R80" s="6">
        <f ca="1"/>
        <v>3051.0458864680445</v>
      </c>
      <c r="S80" s="42">
        <f ca="1"/>
        <v>-70595.589589828713</v>
      </c>
      <c r="T80" s="6">
        <f ca="1"/>
        <v>23.207016193482943</v>
      </c>
    </row>
    <row r="81" spans="1:20">
      <c r="A81" s="43">
        <f ca="1"/>
        <v>79</v>
      </c>
      <c r="B81" s="4">
        <f ca="1"/>
        <v>1.95E-2</v>
      </c>
      <c r="D81" s="6">
        <f ca="1"/>
        <v>0.4718988796322896</v>
      </c>
      <c r="E81" s="6">
        <f ca="1"/>
        <v>48.399885090491239</v>
      </c>
      <c r="F81" s="6">
        <f ca="1"/>
        <v>2482.0453892559613</v>
      </c>
      <c r="G81" s="42">
        <f ca="1"/>
        <v>0</v>
      </c>
      <c r="H81" s="6">
        <f ca="1"/>
        <v>25.422761877099909</v>
      </c>
      <c r="J81" s="6">
        <f ca="1"/>
        <v>0.35786990274291952</v>
      </c>
      <c r="K81" s="6">
        <f ca="1"/>
        <v>46.16375143684968</v>
      </c>
      <c r="L81" s="6">
        <f ca="1"/>
        <v>3032.8542832197118</v>
      </c>
      <c r="M81" s="42">
        <f ca="1"/>
        <v>-74926.923696574479</v>
      </c>
      <c r="N81" s="6">
        <f ca="1"/>
        <v>23.786255857567063</v>
      </c>
      <c r="P81" s="6">
        <f ca="1"/>
        <v>0.35786990274291952</v>
      </c>
      <c r="Q81" s="6">
        <f ca="1"/>
        <v>46.16375143684968</v>
      </c>
      <c r="R81" s="6">
        <f ca="1"/>
        <v>3032.8542832197127</v>
      </c>
      <c r="S81" s="42">
        <f ca="1"/>
        <v>-74926.923696574479</v>
      </c>
      <c r="T81" s="6">
        <f ca="1"/>
        <v>23.78625585756707</v>
      </c>
    </row>
    <row r="82" spans="1:20">
      <c r="A82" s="43">
        <f ca="1"/>
        <v>80</v>
      </c>
      <c r="B82" s="4">
        <f ca="1"/>
        <v>1.975E-2</v>
      </c>
      <c r="D82" s="6">
        <f ca="1"/>
        <v>0.48407641482332664</v>
      </c>
      <c r="E82" s="6">
        <f ca="1"/>
        <v>49.020396437805232</v>
      </c>
      <c r="F82" s="6">
        <f ca="1"/>
        <v>2482.0453892559613</v>
      </c>
      <c r="G82" s="42">
        <f ca="1"/>
        <v>0</v>
      </c>
      <c r="H82" s="6">
        <f ca="1"/>
        <v>26.049677282753606</v>
      </c>
      <c r="J82" s="6">
        <f ca="1"/>
        <v>0.36950541938460546</v>
      </c>
      <c r="K82" s="6">
        <f ca="1"/>
        <v>46.919578906633305</v>
      </c>
      <c r="L82" s="6">
        <f ca="1"/>
        <v>3013.5875809698837</v>
      </c>
      <c r="M82" s="42">
        <f ca="1"/>
        <v>-79196.381601795307</v>
      </c>
      <c r="N82" s="6">
        <f ca="1"/>
        <v>24.377020517363462</v>
      </c>
      <c r="P82" s="6">
        <f ca="1"/>
        <v>0.36950541938460546</v>
      </c>
      <c r="Q82" s="6">
        <f ca="1"/>
        <v>46.919578906633305</v>
      </c>
      <c r="R82" s="6">
        <f ca="1"/>
        <v>3013.5875809698837</v>
      </c>
      <c r="S82" s="42">
        <f ca="1"/>
        <v>-79196.381601795307</v>
      </c>
      <c r="T82" s="6">
        <f ca="1"/>
        <v>24.377020517363462</v>
      </c>
    </row>
    <row r="83" spans="1:20">
      <c r="A83" s="43">
        <f ca="1"/>
        <v>81</v>
      </c>
      <c r="B83" s="4">
        <f ca="1"/>
        <v>0.02</v>
      </c>
      <c r="D83" s="6">
        <f ca="1"/>
        <v>0.4964090778511922</v>
      </c>
      <c r="E83" s="6">
        <f ca="1"/>
        <v>49.640907785119218</v>
      </c>
      <c r="F83" s="6">
        <f ca="1"/>
        <v>2482.0453892559613</v>
      </c>
      <c r="G83" s="42">
        <f ca="1"/>
        <v>0</v>
      </c>
      <c r="H83" s="6">
        <f ca="1"/>
        <v>26.676886338019528</v>
      </c>
      <c r="J83" s="6">
        <f ca="1"/>
        <v>0.38132927973119557</v>
      </c>
      <c r="K83" s="6">
        <f ca="1"/>
        <v>47.670456924838696</v>
      </c>
      <c r="L83" s="6">
        <f ca="1"/>
        <v>2993.2612487689421</v>
      </c>
      <c r="M83" s="42">
        <f ca="1"/>
        <v>-83403.963305491197</v>
      </c>
      <c r="N83" s="6">
        <f ca="1"/>
        <v>24.974021927218779</v>
      </c>
      <c r="P83" s="6">
        <f ca="1"/>
        <v>0.38132927973119557</v>
      </c>
      <c r="Q83" s="6">
        <f ca="1"/>
        <v>47.670456924838696</v>
      </c>
      <c r="R83" s="6">
        <f ca="1"/>
        <v>2993.2612487689421</v>
      </c>
      <c r="S83" s="42">
        <f ca="1"/>
        <v>-83403.963305491168</v>
      </c>
      <c r="T83" s="6">
        <f ca="1"/>
        <v>24.974021927218779</v>
      </c>
    </row>
    <row r="84" spans="1:20">
      <c r="A84" s="43">
        <f ca="1"/>
        <v>82</v>
      </c>
      <c r="B84" s="4">
        <f ca="1"/>
        <v>2.0250000000000001E-2</v>
      </c>
      <c r="D84" s="6">
        <f ca="1"/>
        <v>0.50889686871588624</v>
      </c>
      <c r="E84" s="6">
        <f ca="1"/>
        <v>50.261419132433211</v>
      </c>
      <c r="F84" s="6">
        <f ca="1"/>
        <v>2482.0453892559613</v>
      </c>
      <c r="G84" s="42">
        <f ca="1"/>
        <v>0</v>
      </c>
      <c r="H84" s="6">
        <f ca="1"/>
        <v>27.314078243346792</v>
      </c>
      <c r="J84" s="6">
        <f ca="1"/>
        <v>0.39334021346749615</v>
      </c>
      <c r="K84" s="6">
        <f ca="1"/>
        <v>48.416122517609381</v>
      </c>
      <c r="L84" s="6">
        <f ca="1"/>
        <v>2971.8907556672661</v>
      </c>
      <c r="M84" s="42">
        <f ca="1"/>
        <v>-87549.668807662121</v>
      </c>
      <c r="N84" s="6">
        <f ca="1"/>
        <v>25.575389200186457</v>
      </c>
      <c r="P84" s="6">
        <f ca="1"/>
        <v>0.39334021346749615</v>
      </c>
      <c r="Q84" s="6">
        <f ca="1"/>
        <v>48.416122517609381</v>
      </c>
      <c r="R84" s="6">
        <f ca="1"/>
        <v>2971.8907556672661</v>
      </c>
      <c r="S84" s="42">
        <f ca="1"/>
        <v>-87549.668807662121</v>
      </c>
      <c r="T84" s="6">
        <f ca="1"/>
        <v>25.575389200186457</v>
      </c>
    </row>
    <row r="85" spans="1:20">
      <c r="A85" s="43">
        <f ca="1"/>
        <v>83</v>
      </c>
      <c r="B85" s="4">
        <f ca="1"/>
        <v>2.0500000000000001E-2</v>
      </c>
      <c r="D85" s="6">
        <f ca="1"/>
        <v>0.52153978741740881</v>
      </c>
      <c r="E85" s="6">
        <f ca="1"/>
        <v>50.881930479747204</v>
      </c>
      <c r="F85" s="6">
        <f ca="1"/>
        <v>2482.0453892559613</v>
      </c>
      <c r="G85" s="42">
        <f ca="1"/>
        <v>0</v>
      </c>
      <c r="H85" s="6">
        <f ca="1"/>
        <v>27.9588186568092</v>
      </c>
      <c r="J85" s="6">
        <f ca="1"/>
        <v>0.40553688501825569</v>
      </c>
      <c r="K85" s="6">
        <f ca="1"/>
        <v>49.156316578351465</v>
      </c>
      <c r="L85" s="6">
        <f ca="1"/>
        <v>2949.4915707152381</v>
      </c>
      <c r="M85" s="42">
        <f ca="1"/>
        <v>-91633.498108308122</v>
      </c>
      <c r="N85" s="6">
        <f ca="1"/>
        <v>26.186340260763849</v>
      </c>
      <c r="P85" s="6">
        <f ca="1"/>
        <v>0.40553688501825569</v>
      </c>
      <c r="Q85" s="6">
        <f ca="1"/>
        <v>49.156316578351465</v>
      </c>
      <c r="R85" s="6">
        <f ca="1"/>
        <v>2949.4915707152381</v>
      </c>
      <c r="S85" s="42">
        <f ca="1"/>
        <v>-91633.498108308122</v>
      </c>
      <c r="T85" s="6">
        <f ca="1"/>
        <v>26.186340260763849</v>
      </c>
    </row>
    <row r="86" spans="1:20">
      <c r="A86" s="43">
        <f ca="1"/>
        <v>84</v>
      </c>
      <c r="B86" s="4">
        <f ca="1"/>
        <v>2.0750000000000001E-2</v>
      </c>
      <c r="D86" s="6">
        <f ca="1"/>
        <v>0.53433783395575984</v>
      </c>
      <c r="E86" s="6">
        <f ca="1"/>
        <v>51.502441827061197</v>
      </c>
      <c r="F86" s="6">
        <f ca="1"/>
        <v>2482.0453892559613</v>
      </c>
      <c r="G86" s="42">
        <f ca="1"/>
        <v>0</v>
      </c>
      <c r="H86" s="6">
        <f ca="1"/>
        <v>28.607019505326249</v>
      </c>
      <c r="J86" s="6">
        <f ca="1"/>
        <v>0.41791789451498262</v>
      </c>
      <c r="K86" s="6">
        <f ca="1"/>
        <v>49.890783867733667</v>
      </c>
      <c r="L86" s="6">
        <f ca="1"/>
        <v>2926.0791629632386</v>
      </c>
      <c r="M86" s="42">
        <f ca="1"/>
        <v>-95655.4512074292</v>
      </c>
      <c r="N86" s="6">
        <f ca="1"/>
        <v>26.799827991818059</v>
      </c>
      <c r="P86" s="6">
        <f ca="1"/>
        <v>0.41791789451498262</v>
      </c>
      <c r="Q86" s="6">
        <f ca="1"/>
        <v>49.890783867733667</v>
      </c>
      <c r="R86" s="6">
        <f ca="1"/>
        <v>2926.0791629632386</v>
      </c>
      <c r="S86" s="42">
        <f ca="1"/>
        <v>-95655.451207429171</v>
      </c>
      <c r="T86" s="6">
        <f ca="1"/>
        <v>26.799827991818059</v>
      </c>
    </row>
    <row r="87" spans="1:20">
      <c r="A87" s="43">
        <f ca="1"/>
        <v>85</v>
      </c>
      <c r="B87" s="4">
        <f ca="1"/>
        <v>2.1000000000000001E-2</v>
      </c>
      <c r="D87" s="6">
        <f ca="1"/>
        <v>0.54729100833093947</v>
      </c>
      <c r="E87" s="6">
        <f ca="1"/>
        <v>52.122953174375183</v>
      </c>
      <c r="F87" s="6">
        <f ca="1"/>
        <v>2482.0453892559613</v>
      </c>
      <c r="G87" s="42">
        <f ca="1"/>
        <v>0</v>
      </c>
      <c r="H87" s="6">
        <f ca="1"/>
        <v>29.251498789522152</v>
      </c>
      <c r="J87" s="6">
        <f ca="1"/>
        <v>0.43048177876276106</v>
      </c>
      <c r="K87" s="6">
        <f ca="1"/>
        <v>50.619273013687284</v>
      </c>
      <c r="L87" s="6">
        <f ca="1"/>
        <v>2901.6690014616502</v>
      </c>
      <c r="M87" s="42">
        <f ca="1"/>
        <v>-99615.528105025296</v>
      </c>
      <c r="N87" s="6">
        <f ca="1"/>
        <v>27.412761162795398</v>
      </c>
      <c r="P87" s="6">
        <f ca="1"/>
        <v>0.43048177876276106</v>
      </c>
      <c r="Q87" s="6">
        <f ca="1"/>
        <v>50.619273013687284</v>
      </c>
      <c r="R87" s="6">
        <f ca="1"/>
        <v>2901.6690014616502</v>
      </c>
      <c r="S87" s="42">
        <f ca="1"/>
        <v>-99615.528105025311</v>
      </c>
      <c r="T87" s="6">
        <f ca="1"/>
        <v>27.412761162795398</v>
      </c>
    </row>
    <row r="88" spans="1:20">
      <c r="A88" s="43">
        <f ca="1"/>
        <v>86</v>
      </c>
      <c r="B88" s="4">
        <f ca="1"/>
        <v>2.1250000000000002E-2</v>
      </c>
      <c r="D88" s="6">
        <f ca="1"/>
        <v>0.56039931054294745</v>
      </c>
      <c r="E88" s="6">
        <f ca="1"/>
        <v>52.743464521689177</v>
      </c>
      <c r="F88" s="6">
        <f ca="1"/>
        <v>2482.0453892559613</v>
      </c>
      <c r="G88" s="42">
        <f ca="1"/>
        <v>0</v>
      </c>
      <c r="H88" s="6">
        <f ca="1"/>
        <v>29.901270971062374</v>
      </c>
      <c r="J88" s="6">
        <f ca="1"/>
        <v>0.44322701220706451</v>
      </c>
      <c r="K88" s="6">
        <f ca="1"/>
        <v>51.341536511406233</v>
      </c>
      <c r="L88" s="6">
        <f ca="1"/>
        <v>2876.276555260853</v>
      </c>
      <c r="M88" s="42">
        <f ca="1"/>
        <v>-103513.72880109648</v>
      </c>
      <c r="N88" s="6">
        <f ca="1"/>
        <v>28.026822846947681</v>
      </c>
      <c r="P88" s="6">
        <f ca="1"/>
        <v>0.44322701220706451</v>
      </c>
      <c r="Q88" s="6">
        <f ca="1"/>
        <v>51.341536511406233</v>
      </c>
      <c r="R88" s="6">
        <f ca="1"/>
        <v>2876.276555260853</v>
      </c>
      <c r="S88" s="42">
        <f ca="1"/>
        <v>-103513.72880109648</v>
      </c>
      <c r="T88" s="6">
        <f ca="1"/>
        <v>28.026822846947681</v>
      </c>
    </row>
    <row r="89" spans="1:20">
      <c r="A89" s="43">
        <f ca="1"/>
        <v>87</v>
      </c>
      <c r="B89" s="4">
        <f ca="1"/>
        <v>2.1500000000000002E-2</v>
      </c>
      <c r="D89" s="6">
        <f ca="1"/>
        <v>0.57366274059178402</v>
      </c>
      <c r="E89" s="6">
        <f ca="1"/>
        <v>53.36397586900317</v>
      </c>
      <c r="F89" s="6">
        <f ca="1"/>
        <v>2482.0453892559613</v>
      </c>
      <c r="G89" s="42">
        <f ca="1"/>
        <v>0</v>
      </c>
      <c r="H89" s="6">
        <f ca="1"/>
        <v>30.55485079627131</v>
      </c>
      <c r="J89" s="6">
        <f ca="1"/>
        <v>0.45615200790057364</v>
      </c>
      <c r="K89" s="6">
        <f ca="1"/>
        <v>52.057330723346986</v>
      </c>
      <c r="L89" s="6">
        <f ca="1"/>
        <v>2849.9172934112289</v>
      </c>
      <c r="M89" s="42">
        <f ca="1"/>
        <v>-107350.05329564273</v>
      </c>
      <c r="N89" s="6">
        <f ca="1"/>
        <v>28.645493829530817</v>
      </c>
      <c r="P89" s="6">
        <f ca="1"/>
        <v>0.45615200790057364</v>
      </c>
      <c r="Q89" s="6">
        <f ca="1"/>
        <v>52.057330723346979</v>
      </c>
      <c r="R89" s="6">
        <f ca="1"/>
        <v>2849.9172934112289</v>
      </c>
      <c r="S89" s="42">
        <f ca="1"/>
        <v>-107350.05329564272</v>
      </c>
      <c r="T89" s="6">
        <f ca="1"/>
        <v>28.645493829530814</v>
      </c>
    </row>
    <row r="90" spans="1:20">
      <c r="A90" s="43">
        <f ca="1"/>
        <v>88</v>
      </c>
      <c r="B90" s="4">
        <f ca="1"/>
        <v>2.1750000000000002E-2</v>
      </c>
      <c r="D90" s="6">
        <f ca="1"/>
        <v>0.58708129847744928</v>
      </c>
      <c r="E90" s="6">
        <f ca="1"/>
        <v>53.984487216317163</v>
      </c>
      <c r="F90" s="6">
        <f ca="1"/>
        <v>2482.0453892559613</v>
      </c>
      <c r="G90" s="42">
        <f ca="1"/>
        <v>0</v>
      </c>
      <c r="H90" s="6">
        <f ca="1"/>
        <v>31.212025874953142</v>
      </c>
      <c r="J90" s="6">
        <f ca="1"/>
        <v>0.46925511846999091</v>
      </c>
      <c r="K90" s="6">
        <f ca="1"/>
        <v>52.766415879228653</v>
      </c>
      <c r="L90" s="6">
        <f ca="1"/>
        <v>2822.6066849631579</v>
      </c>
      <c r="M90" s="42">
        <f ca="1"/>
        <v>-111124.50158866409</v>
      </c>
      <c r="N90" s="6">
        <f ca="1"/>
        <v>29.257218491260147</v>
      </c>
      <c r="P90" s="6">
        <f ca="1"/>
        <v>0.46925511846999091</v>
      </c>
      <c r="Q90" s="6">
        <f ca="1"/>
        <v>52.76641587922866</v>
      </c>
      <c r="R90" s="6">
        <f ca="1"/>
        <v>2822.6066849631579</v>
      </c>
      <c r="S90" s="42">
        <f ca="1"/>
        <v>-111124.50158866409</v>
      </c>
      <c r="T90" s="6">
        <f ca="1"/>
        <v>29.257218491260151</v>
      </c>
    </row>
    <row r="91" spans="1:20">
      <c r="A91" s="43">
        <f ca="1"/>
        <v>89</v>
      </c>
      <c r="B91" s="4">
        <f ca="1"/>
        <v>2.1999999999999999E-2</v>
      </c>
      <c r="D91" s="6">
        <f ca="1"/>
        <v>0.60065498419994257</v>
      </c>
      <c r="E91" s="6">
        <f ca="1"/>
        <v>54.604998563631149</v>
      </c>
      <c r="F91" s="6">
        <f ca="1"/>
        <v>2482.0453892559613</v>
      </c>
      <c r="G91" s="42">
        <f ca="1"/>
        <v>0</v>
      </c>
      <c r="H91" s="6">
        <f ca="1"/>
        <v>31.865268009574379</v>
      </c>
      <c r="J91" s="6">
        <f ca="1"/>
        <v>0.48253463708285582</v>
      </c>
      <c r="K91" s="6">
        <f ca="1"/>
        <v>53.468556076032897</v>
      </c>
      <c r="L91" s="6">
        <f ca="1"/>
        <v>2794.3601989670242</v>
      </c>
      <c r="M91" s="42">
        <f ca="1"/>
        <v>-114837.07368016041</v>
      </c>
      <c r="N91" s="6">
        <f ca="1"/>
        <v>29.861390939553424</v>
      </c>
      <c r="P91" s="6">
        <f ca="1"/>
        <v>0.48253463708285582</v>
      </c>
      <c r="Q91" s="6">
        <f ca="1"/>
        <v>53.468556076032897</v>
      </c>
      <c r="R91" s="6">
        <f ca="1"/>
        <v>2794.3601989670242</v>
      </c>
      <c r="S91" s="42">
        <f ca="1"/>
        <v>-114837.07368016041</v>
      </c>
      <c r="T91" s="6">
        <f ca="1"/>
        <v>29.861390939553424</v>
      </c>
    </row>
    <row r="92" spans="1:20">
      <c r="A92" s="43">
        <f ca="1"/>
        <v>90</v>
      </c>
      <c r="B92" s="4">
        <f ca="1"/>
        <v>2.2249999999999999E-2</v>
      </c>
      <c r="D92" s="6">
        <f ca="1"/>
        <v>0.61438379775926466</v>
      </c>
      <c r="E92" s="6">
        <f ca="1"/>
        <v>55.225509910945135</v>
      </c>
      <c r="F92" s="6">
        <f ca="1"/>
        <v>2482.0453892559613</v>
      </c>
      <c r="G92" s="42">
        <f ca="1"/>
        <v>0</v>
      </c>
      <c r="H92" s="6">
        <f ca="1"/>
        <v>32.515114189081402</v>
      </c>
      <c r="J92" s="6">
        <f ca="1"/>
        <v>0.49598879841436183</v>
      </c>
      <c r="K92" s="6">
        <f ca="1"/>
        <v>54.16351927800401</v>
      </c>
      <c r="L92" s="6">
        <f ca="1"/>
        <v>2765.1933044732054</v>
      </c>
      <c r="M92" s="42">
        <f ca="1"/>
        <v>-118487.76957013183</v>
      </c>
      <c r="N92" s="6">
        <f ca="1"/>
        <v>30.455691596404641</v>
      </c>
      <c r="P92" s="6">
        <f ca="1"/>
        <v>0.49598879841436183</v>
      </c>
      <c r="Q92" s="6">
        <f ca="1"/>
        <v>54.16351927800401</v>
      </c>
      <c r="R92" s="6">
        <f ca="1"/>
        <v>2765.1933044732054</v>
      </c>
      <c r="S92" s="42">
        <f ca="1"/>
        <v>-118487.76957013182</v>
      </c>
      <c r="T92" s="6">
        <f ca="1"/>
        <v>30.455691596404641</v>
      </c>
    </row>
    <row r="93" spans="1:20">
      <c r="A93" s="43">
        <f ca="1"/>
        <v>91</v>
      </c>
      <c r="B93" s="4">
        <f ca="1"/>
        <v>2.2499999999999999E-2</v>
      </c>
      <c r="D93" s="6">
        <f ca="1"/>
        <v>0.62826773915541523</v>
      </c>
      <c r="E93" s="6">
        <f ca="1"/>
        <v>55.846021258259128</v>
      </c>
      <c r="F93" s="6">
        <f ca="1"/>
        <v>2482.0453892559613</v>
      </c>
      <c r="G93" s="42">
        <f ca="1"/>
        <v>0</v>
      </c>
      <c r="H93" s="6">
        <f ca="1"/>
        <v>33.156110995216807</v>
      </c>
      <c r="J93" s="6">
        <f ca="1"/>
        <v>0.50961577961417148</v>
      </c>
      <c r="K93" s="6">
        <f ca="1"/>
        <v>54.851077316648883</v>
      </c>
      <c r="L93" s="6">
        <f ca="1"/>
        <v>2735.1214705320849</v>
      </c>
      <c r="M93" s="42">
        <f ca="1"/>
        <v>-122076.5892585783</v>
      </c>
      <c r="N93" s="6">
        <f ca="1"/>
        <v>31.043473628512324</v>
      </c>
      <c r="P93" s="6">
        <f ca="1"/>
        <v>0.50961577961417148</v>
      </c>
      <c r="Q93" s="6">
        <f ca="1"/>
        <v>54.851077316648883</v>
      </c>
      <c r="R93" s="6">
        <f ca="1"/>
        <v>2735.1214705320849</v>
      </c>
      <c r="S93" s="42">
        <f ca="1"/>
        <v>-122076.5892585783</v>
      </c>
      <c r="T93" s="6">
        <f ca="1"/>
        <v>31.043473628512324</v>
      </c>
    </row>
    <row r="94" spans="1:20">
      <c r="A94" s="43">
        <f ca="1"/>
        <v>92</v>
      </c>
      <c r="B94" s="4">
        <f ca="1"/>
        <v>2.2749999999999999E-2</v>
      </c>
      <c r="D94" s="6">
        <f ca="1"/>
        <v>0.64230680838839427</v>
      </c>
      <c r="E94" s="6">
        <f ca="1"/>
        <v>56.466532605573114</v>
      </c>
      <c r="F94" s="6">
        <f ca="1"/>
        <v>2482.0453892559613</v>
      </c>
      <c r="G94" s="42">
        <f ca="1"/>
        <v>0</v>
      </c>
      <c r="H94" s="6">
        <f ca="1"/>
        <v>33.806926026767457</v>
      </c>
      <c r="J94" s="6">
        <f ca="1"/>
        <v>0.52341370127323095</v>
      </c>
      <c r="K94" s="6">
        <f ca="1"/>
        <v>55.531005890736978</v>
      </c>
      <c r="L94" s="6">
        <f ca="1"/>
        <v>2704.1601661940431</v>
      </c>
      <c r="M94" s="42">
        <f ca="1"/>
        <v>-125603.53274549985</v>
      </c>
      <c r="N94" s="6">
        <f ca="1"/>
        <v>31.621009412828577</v>
      </c>
      <c r="P94" s="6">
        <f ca="1"/>
        <v>0.52341370127323095</v>
      </c>
      <c r="Q94" s="6">
        <f ca="1"/>
        <v>55.531005890736978</v>
      </c>
      <c r="R94" s="6">
        <f ca="1"/>
        <v>2704.1601661940431</v>
      </c>
      <c r="S94" s="42">
        <f ca="1"/>
        <v>-125603.53274549985</v>
      </c>
      <c r="T94" s="6">
        <f ca="1"/>
        <v>31.621009412828577</v>
      </c>
    </row>
    <row r="95" spans="1:20">
      <c r="A95" s="43">
        <f ca="1"/>
        <v>93</v>
      </c>
      <c r="B95" s="4">
        <f ca="1"/>
        <v>2.3E-2</v>
      </c>
      <c r="D95" s="6">
        <f ca="1"/>
        <v>0.65650100545820178</v>
      </c>
      <c r="E95" s="6">
        <f ca="1"/>
        <v>57.087043952887115</v>
      </c>
      <c r="F95" s="6">
        <f ca="1"/>
        <v>2482.0453892559613</v>
      </c>
      <c r="G95" s="42">
        <f ca="1"/>
        <v>0</v>
      </c>
      <c r="H95" s="6">
        <f ca="1"/>
        <v>34.431847949472839</v>
      </c>
      <c r="J95" s="6">
        <f ca="1"/>
        <v>0.5373806283905872</v>
      </c>
      <c r="K95" s="6">
        <f ca="1"/>
        <v>56.203084566300362</v>
      </c>
      <c r="L95" s="6">
        <f ca="1"/>
        <v>2672.3248605094623</v>
      </c>
      <c r="M95" s="42">
        <f ca="1"/>
        <v>-129068.60003089644</v>
      </c>
      <c r="N95" s="6">
        <f ca="1"/>
        <v>32.184234299649319</v>
      </c>
      <c r="P95" s="6">
        <f ca="1"/>
        <v>0.5373806283905872</v>
      </c>
      <c r="Q95" s="6">
        <f ca="1"/>
        <v>56.203084566300362</v>
      </c>
      <c r="R95" s="6">
        <f ca="1"/>
        <v>2672.3248605094623</v>
      </c>
      <c r="S95" s="42">
        <f ca="1"/>
        <v>-129068.60003089644</v>
      </c>
      <c r="T95" s="6">
        <f ca="1"/>
        <v>32.184234299649319</v>
      </c>
    </row>
    <row r="96" spans="1:20">
      <c r="A96" s="43">
        <f ca="1"/>
        <v>94</v>
      </c>
      <c r="B96" s="4">
        <f ca="1"/>
        <v>2.325E-2</v>
      </c>
      <c r="D96" s="6">
        <f ca="1"/>
        <v>0.67085033036483788</v>
      </c>
      <c r="E96" s="6">
        <f ca="1"/>
        <v>57.707555300201101</v>
      </c>
      <c r="F96" s="6">
        <f ca="1"/>
        <v>2482.0453892559613</v>
      </c>
      <c r="G96" s="42">
        <f ca="1"/>
        <v>0</v>
      </c>
      <c r="H96" s="6">
        <f ca="1"/>
        <v>35.056606154901999</v>
      </c>
      <c r="J96" s="6">
        <f ca="1"/>
        <v>0.55151457134020299</v>
      </c>
      <c r="K96" s="6">
        <f ca="1"/>
        <v>56.867096776633694</v>
      </c>
      <c r="L96" s="6">
        <f ca="1"/>
        <v>2639.6310225287225</v>
      </c>
      <c r="M96" s="42">
        <f ca="1"/>
        <v>-132471.79111476813</v>
      </c>
      <c r="N96" s="6">
        <f ca="1"/>
        <v>32.736053348320638</v>
      </c>
      <c r="P96" s="6">
        <f ca="1"/>
        <v>0.55151457134020299</v>
      </c>
      <c r="Q96" s="6">
        <f ca="1"/>
        <v>56.867096776633694</v>
      </c>
      <c r="R96" s="6">
        <f ca="1"/>
        <v>2639.6310225287225</v>
      </c>
      <c r="S96" s="42">
        <f ca="1"/>
        <v>-132471.79111476813</v>
      </c>
      <c r="T96" s="6">
        <f ca="1"/>
        <v>32.736053348320638</v>
      </c>
    </row>
    <row r="97" spans="1:20">
      <c r="A97" s="43">
        <f ca="1"/>
        <v>95</v>
      </c>
      <c r="B97" s="4">
        <f ca="1"/>
        <v>2.35E-2</v>
      </c>
      <c r="D97" s="6">
        <f ca="1"/>
        <v>0.68535478310830233</v>
      </c>
      <c r="E97" s="6">
        <f ca="1"/>
        <v>58.328066647515094</v>
      </c>
      <c r="F97" s="6">
        <f ca="1"/>
        <v>2482.0453892559613</v>
      </c>
      <c r="G97" s="42">
        <f ca="1"/>
        <v>0</v>
      </c>
      <c r="H97" s="6">
        <f ca="1"/>
        <v>35.675799730595557</v>
      </c>
      <c r="J97" s="6">
        <f ca="1"/>
        <v>0.56581348683777233</v>
      </c>
      <c r="K97" s="6">
        <f ca="1"/>
        <v>57.522829822294241</v>
      </c>
      <c r="L97" s="6">
        <f ca="1"/>
        <v>2606.0941213022047</v>
      </c>
      <c r="M97" s="42">
        <f ca="1"/>
        <v>-135813.10599711485</v>
      </c>
      <c r="N97" s="6">
        <f ca="1"/>
        <v>33.264265374051618</v>
      </c>
      <c r="P97" s="6">
        <f ca="1"/>
        <v>0.56581348683777233</v>
      </c>
      <c r="Q97" s="6">
        <f ca="1"/>
        <v>57.522829822294241</v>
      </c>
      <c r="R97" s="6">
        <f ca="1"/>
        <v>2606.0941213022047</v>
      </c>
      <c r="S97" s="42">
        <f ca="1"/>
        <v>-135813.10599711485</v>
      </c>
      <c r="T97" s="6">
        <f ca="1"/>
        <v>33.264265374051618</v>
      </c>
    </row>
    <row r="98" spans="1:20">
      <c r="A98" s="43">
        <f ca="1"/>
        <v>96</v>
      </c>
      <c r="B98" s="4">
        <f ca="1"/>
        <v>2.375E-2</v>
      </c>
      <c r="D98" s="6">
        <f ca="1"/>
        <v>0.70001436368859538</v>
      </c>
      <c r="E98" s="6">
        <f ca="1"/>
        <v>58.94857799482908</v>
      </c>
      <c r="F98" s="6">
        <f ca="1"/>
        <v>2482.0453892559613</v>
      </c>
      <c r="G98" s="42">
        <f ca="1"/>
        <v>0</v>
      </c>
      <c r="H98" s="6">
        <f ca="1"/>
        <v>36.28287325258146</v>
      </c>
      <c r="J98" s="6">
        <f ca="1"/>
        <v>0.58027527890753661</v>
      </c>
      <c r="K98" s="6">
        <f ca="1"/>
        <v>58.170074871101853</v>
      </c>
      <c r="L98" s="6">
        <f ca="1"/>
        <v>2571.7296258802921</v>
      </c>
      <c r="M98" s="42">
        <f ca="1"/>
        <v>-139092.54467793662</v>
      </c>
      <c r="N98" s="6">
        <f ca="1"/>
        <v>33.771298505840264</v>
      </c>
      <c r="P98" s="6">
        <f ca="1"/>
        <v>0.58027527890753661</v>
      </c>
      <c r="Q98" s="6">
        <f ca="1"/>
        <v>58.170074871101853</v>
      </c>
      <c r="R98" s="6">
        <f ca="1"/>
        <v>2571.7296258802921</v>
      </c>
      <c r="S98" s="42">
        <f ca="1"/>
        <v>-139092.54467793662</v>
      </c>
      <c r="T98" s="6">
        <f ca="1"/>
        <v>33.771298505840264</v>
      </c>
    </row>
    <row r="99" spans="1:20">
      <c r="A99" s="43">
        <f ca="1"/>
        <v>97</v>
      </c>
      <c r="B99" s="4">
        <f ca="1"/>
        <v>2.4E-2</v>
      </c>
      <c r="D99" s="6">
        <f ca="1"/>
        <v>0.71482907210571689</v>
      </c>
      <c r="E99" s="6">
        <f ca="1"/>
        <v>59.569089342143066</v>
      </c>
      <c r="F99" s="6">
        <f ca="1"/>
        <v>2482.0453892559613</v>
      </c>
      <c r="G99" s="42">
        <f ca="1"/>
        <v>0</v>
      </c>
      <c r="H99" s="6">
        <f ca="1"/>
        <v>36.885266678215906</v>
      </c>
      <c r="J99" s="6">
        <f ca="1"/>
        <v>0.59489779984909996</v>
      </c>
      <c r="K99" s="6">
        <f ca="1"/>
        <v>58.808626958138973</v>
      </c>
      <c r="L99" s="6">
        <f ca="1"/>
        <v>2536.5530053133643</v>
      </c>
      <c r="M99" s="42">
        <f ca="1"/>
        <v>-142310.10715723349</v>
      </c>
      <c r="N99" s="6">
        <f ca="1"/>
        <v>34.260483783779435</v>
      </c>
      <c r="P99" s="6">
        <f ca="1"/>
        <v>0.59489779984909996</v>
      </c>
      <c r="Q99" s="6">
        <f ca="1"/>
        <v>58.808626958138973</v>
      </c>
      <c r="R99" s="6">
        <f ca="1"/>
        <v>2536.5530053133643</v>
      </c>
      <c r="S99" s="42">
        <f ca="1"/>
        <v>-142310.10715723349</v>
      </c>
      <c r="T99" s="6">
        <f ca="1"/>
        <v>34.260483783779435</v>
      </c>
    </row>
    <row r="100" spans="1:20">
      <c r="A100" s="43">
        <f ca="1"/>
        <v>98</v>
      </c>
      <c r="B100" s="4">
        <f ca="1"/>
        <v>2.4250000000000001E-2</v>
      </c>
      <c r="D100" s="6">
        <f ca="1"/>
        <v>0.72979890835966699</v>
      </c>
      <c r="E100" s="6">
        <f ca="1"/>
        <v>60.189600689457066</v>
      </c>
      <c r="F100" s="6">
        <f ca="1"/>
        <v>2482.0453892559613</v>
      </c>
      <c r="G100" s="42">
        <f ca="1"/>
        <v>0</v>
      </c>
      <c r="H100" s="6">
        <f ca="1"/>
        <v>37.467335179427053</v>
      </c>
      <c r="J100" s="6">
        <f ca="1"/>
        <v>0.60967885120424492</v>
      </c>
      <c r="K100" s="6">
        <f ca="1"/>
        <v>59.438284985750656</v>
      </c>
      <c r="L100" s="6">
        <f ca="1"/>
        <v>2500.5797286518023</v>
      </c>
      <c r="M100" s="42">
        <f ca="1"/>
        <v>-145465.79343500538</v>
      </c>
      <c r="N100" s="6">
        <f ca="1"/>
        <v>34.718689901666856</v>
      </c>
      <c r="P100" s="6">
        <f ca="1"/>
        <v>0.60967885120424492</v>
      </c>
      <c r="Q100" s="6">
        <f ca="1"/>
        <v>59.438284985750656</v>
      </c>
      <c r="R100" s="6">
        <f ca="1"/>
        <v>2500.5797286518023</v>
      </c>
      <c r="S100" s="42">
        <f ca="1"/>
        <v>-145465.79343500538</v>
      </c>
      <c r="T100" s="6">
        <f ca="1"/>
        <v>34.718689901666856</v>
      </c>
    </row>
    <row r="101" spans="1:20">
      <c r="A101" s="43">
        <f ca="1"/>
        <v>99</v>
      </c>
      <c r="B101" s="4">
        <f ca="1"/>
        <v>2.4500000000000001E-2</v>
      </c>
      <c r="D101" s="6">
        <f ca="1"/>
        <v>0.74492387245044545</v>
      </c>
      <c r="E101" s="6">
        <f ca="1"/>
        <v>60.810112036771045</v>
      </c>
      <c r="F101" s="6">
        <f ca="1"/>
        <v>2482.0453892559613</v>
      </c>
      <c r="G101" s="42">
        <f ca="1"/>
        <v>-4964090.7785119181</v>
      </c>
      <c r="H101" s="6">
        <f ca="1"/>
        <v>38.037879111786268</v>
      </c>
      <c r="J101" s="6">
        <f ca="1"/>
        <v>0.62461618472374814</v>
      </c>
      <c r="K101" s="6">
        <f ca="1"/>
        <v>60.058851723544514</v>
      </c>
      <c r="L101" s="6">
        <f ca="1"/>
        <v>2463.8252649459882</v>
      </c>
      <c r="M101" s="42">
        <f ca="1"/>
        <v>-148559.60351125235</v>
      </c>
      <c r="N101" s="6">
        <f ca="1"/>
        <v>35.14844806091196</v>
      </c>
      <c r="P101" s="6">
        <f ca="1"/>
        <v>0.62461618472374814</v>
      </c>
      <c r="Q101" s="6">
        <f ca="1"/>
        <v>60.058851723544514</v>
      </c>
      <c r="R101" s="6">
        <f ca="1"/>
        <v>2463.8252649459882</v>
      </c>
      <c r="S101" s="42">
        <f ca="1"/>
        <v>-148559.60351125238</v>
      </c>
      <c r="T101" s="6">
        <f ca="1"/>
        <v>35.14844806091196</v>
      </c>
    </row>
    <row r="102" spans="1:20">
      <c r="A102" s="43">
        <f ca="1"/>
        <v>100</v>
      </c>
      <c r="B102" s="4">
        <f ca="1"/>
        <v>2.4750000000000001E-2</v>
      </c>
      <c r="D102" s="6">
        <f ca="1"/>
        <v>0.7601694915254239</v>
      </c>
      <c r="E102" s="6">
        <f ca="1"/>
        <v>61.016949152542374</v>
      </c>
      <c r="F102" s="6">
        <f ca="1"/>
        <v>0</v>
      </c>
      <c r="G102" s="42">
        <f ca="1"/>
        <v>-4964090.7785119181</v>
      </c>
      <c r="H102" s="6">
        <f ca="1"/>
        <v>17.035565658325456</v>
      </c>
      <c r="J102" s="6">
        <f ca="1"/>
        <v>0.6397075033341959</v>
      </c>
      <c r="K102" s="6">
        <f ca="1"/>
        <v>60.670133808390823</v>
      </c>
      <c r="L102" s="6">
        <f ca="1"/>
        <v>2426.3050832463027</v>
      </c>
      <c r="M102" s="42">
        <f ca="1"/>
        <v>-151591.5373859744</v>
      </c>
      <c r="N102" s="6">
        <f ca="1"/>
        <v>35.566524053753866</v>
      </c>
      <c r="P102" s="6">
        <f ca="1"/>
        <v>0.6397075033341959</v>
      </c>
      <c r="Q102" s="6">
        <f ca="1"/>
        <v>60.670133808390823</v>
      </c>
      <c r="R102" s="6">
        <f ca="1"/>
        <v>2426.3050832463027</v>
      </c>
      <c r="S102" s="42">
        <f ca="1"/>
        <v>-151591.5373859744</v>
      </c>
      <c r="T102" s="6">
        <f ca="1"/>
        <v>35.566524053753866</v>
      </c>
    </row>
    <row r="103" spans="1:20">
      <c r="A103" s="43">
        <f ca="1"/>
        <v>101</v>
      </c>
      <c r="B103" s="4">
        <f ca="1"/>
        <v>2.5000000000000001E-2</v>
      </c>
      <c r="D103" s="6">
        <f ca="1"/>
        <v>0.77542372881355948</v>
      </c>
      <c r="E103" s="6">
        <f ca="1"/>
        <v>61.016949152542374</v>
      </c>
      <c r="F103" s="6">
        <f ca="1"/>
        <v>0</v>
      </c>
      <c r="G103" s="42">
        <f ca="1"/>
        <v>0</v>
      </c>
      <c r="H103" s="6">
        <f ca="1"/>
        <v>16.905576749155273</v>
      </c>
      <c r="J103" s="6">
        <f ca="1"/>
        <v>0.6549504621047999</v>
      </c>
      <c r="K103" s="6">
        <f ca="1"/>
        <v>61.271941744422378</v>
      </c>
      <c r="L103" s="6">
        <f ca="1"/>
        <v>2388.0346526031285</v>
      </c>
      <c r="M103" s="42">
        <f ca="1"/>
        <v>-154561.59505917149</v>
      </c>
      <c r="N103" s="6">
        <f ca="1"/>
        <v>35.924563826504034</v>
      </c>
      <c r="P103" s="6">
        <f ca="1"/>
        <v>0.6549504621047999</v>
      </c>
      <c r="Q103" s="6">
        <f ca="1"/>
        <v>61.271941744422378</v>
      </c>
      <c r="R103" s="6">
        <f ca="1"/>
        <v>2388.0346526031285</v>
      </c>
      <c r="S103" s="42">
        <f ca="1"/>
        <v>-154561.59505917149</v>
      </c>
      <c r="T103" s="6">
        <f ca="1"/>
        <v>35.924563826504034</v>
      </c>
    </row>
    <row r="104" spans="1:20">
      <c r="A104" s="43">
        <f ca="1"/>
        <v>102</v>
      </c>
      <c r="B104" s="4">
        <f ca="1"/>
        <v>2.5250000000000002E-2</v>
      </c>
      <c r="D104" s="6">
        <f ca="1"/>
        <v>0.79067796610169516</v>
      </c>
      <c r="E104" s="6">
        <f ca="1"/>
        <v>61.016949152542374</v>
      </c>
      <c r="F104" s="6">
        <f ca="1"/>
        <v>0</v>
      </c>
      <c r="G104" s="42">
        <f ca="1"/>
        <v>0</v>
      </c>
      <c r="H104" s="6">
        <f ca="1"/>
        <v>16.758514782438112</v>
      </c>
      <c r="J104" s="6">
        <f ca="1"/>
        <v>0.67034266921421315</v>
      </c>
      <c r="K104" s="6">
        <f ca="1"/>
        <v>61.864089903034625</v>
      </c>
      <c r="L104" s="6">
        <f ca="1"/>
        <v>2349.0294420668447</v>
      </c>
      <c r="M104" s="42">
        <f ca="1"/>
        <v>-157469.77653084364</v>
      </c>
      <c r="N104" s="6">
        <f ca="1"/>
        <v>36.263051160366757</v>
      </c>
      <c r="P104" s="6">
        <f ca="1"/>
        <v>0.67034266921421315</v>
      </c>
      <c r="Q104" s="6">
        <f ca="1"/>
        <v>61.864089903034625</v>
      </c>
      <c r="R104" s="6">
        <f ca="1"/>
        <v>2349.0294420668447</v>
      </c>
      <c r="S104" s="42">
        <f ca="1"/>
        <v>-157469.77653084364</v>
      </c>
      <c r="T104" s="6">
        <f ca="1"/>
        <v>36.263051160366757</v>
      </c>
    </row>
    <row r="105" spans="1:20">
      <c r="A105" s="43">
        <f ca="1"/>
        <v>103</v>
      </c>
      <c r="B105" s="4">
        <f ca="1"/>
        <v>2.5500000000000002E-2</v>
      </c>
      <c r="D105" s="6">
        <f ca="1"/>
        <v>0.80593220338983074</v>
      </c>
      <c r="E105" s="6">
        <f ca="1"/>
        <v>61.016949152542374</v>
      </c>
      <c r="F105" s="6">
        <f ca="1"/>
        <v>0</v>
      </c>
      <c r="G105" s="42">
        <f ca="1"/>
        <v>0</v>
      </c>
      <c r="H105" s="6">
        <f ca="1"/>
        <v>16.599845681870786</v>
      </c>
      <c r="J105" s="6">
        <f ca="1"/>
        <v>0.68588168691734475</v>
      </c>
      <c r="K105" s="6">
        <f ca="1"/>
        <v>62.446396522885578</v>
      </c>
      <c r="L105" s="6">
        <f ca="1"/>
        <v>2309.3049206878336</v>
      </c>
      <c r="M105" s="42">
        <f ca="1"/>
        <v>-160316.08180099085</v>
      </c>
      <c r="N105" s="6">
        <f ca="1"/>
        <v>36.568895473420326</v>
      </c>
      <c r="P105" s="6">
        <f ca="1"/>
        <v>0.68588168691734475</v>
      </c>
      <c r="Q105" s="6">
        <f ca="1"/>
        <v>62.446396522885578</v>
      </c>
      <c r="R105" s="6">
        <f ca="1"/>
        <v>2309.3049206878336</v>
      </c>
      <c r="S105" s="42">
        <f ca="1"/>
        <v>-160316.08180099085</v>
      </c>
      <c r="T105" s="6">
        <f ca="1"/>
        <v>36.568895473420326</v>
      </c>
    </row>
    <row r="106" spans="1:20">
      <c r="A106" s="43">
        <f ca="1"/>
        <v>104</v>
      </c>
      <c r="B106" s="4">
        <f ca="1"/>
        <v>2.5750000000000002E-2</v>
      </c>
      <c r="D106" s="6">
        <f ca="1"/>
        <v>0.82118644067796631</v>
      </c>
      <c r="E106" s="6">
        <f ca="1"/>
        <v>61.016949152542374</v>
      </c>
      <c r="F106" s="6">
        <f ca="1"/>
        <v>0</v>
      </c>
      <c r="G106" s="42">
        <f ca="1"/>
        <v>0</v>
      </c>
      <c r="H106" s="6">
        <f ca="1"/>
        <v>16.427719247765587</v>
      </c>
      <c r="J106" s="6">
        <f ca="1"/>
        <v>0.70156503251217672</v>
      </c>
      <c r="K106" s="6">
        <f ca="1"/>
        <v>63.018683709895846</v>
      </c>
      <c r="L106" s="6">
        <f ca="1"/>
        <v>2268.8765575164757</v>
      </c>
      <c r="M106" s="42">
        <f ca="1"/>
        <v>-163100.51086961312</v>
      </c>
      <c r="N106" s="6">
        <f ca="1"/>
        <v>36.834277249333496</v>
      </c>
      <c r="P106" s="6">
        <f ca="1"/>
        <v>0.70156503251217672</v>
      </c>
      <c r="Q106" s="6">
        <f ca="1"/>
        <v>63.018683709895846</v>
      </c>
      <c r="R106" s="6">
        <f ca="1"/>
        <v>2268.8765575164757</v>
      </c>
      <c r="S106" s="42">
        <f ca="1"/>
        <v>-163100.51086961312</v>
      </c>
      <c r="T106" s="6">
        <f ca="1"/>
        <v>36.834277249333496</v>
      </c>
    </row>
    <row r="107" spans="1:20">
      <c r="A107" s="43">
        <f ca="1"/>
        <v>105</v>
      </c>
      <c r="B107" s="4">
        <f ca="1"/>
        <v>2.6000000000000002E-2</v>
      </c>
      <c r="D107" s="6">
        <f ca="1"/>
        <v>0.83644067796610189</v>
      </c>
      <c r="E107" s="6">
        <f ca="1"/>
        <v>61.016949152542374</v>
      </c>
      <c r="F107" s="6">
        <f ca="1"/>
        <v>0</v>
      </c>
      <c r="G107" s="42">
        <f ca="1"/>
        <v>0</v>
      </c>
      <c r="H107" s="6">
        <f ca="1"/>
        <v>16.248769472825433</v>
      </c>
      <c r="J107" s="6">
        <f ca="1"/>
        <v>0.71739017930657889</v>
      </c>
      <c r="K107" s="6">
        <f ca="1"/>
        <v>63.580777437248656</v>
      </c>
      <c r="L107" s="6">
        <f ca="1"/>
        <v>2227.7598216031538</v>
      </c>
      <c r="M107" s="42">
        <f ca="1"/>
        <v>-165823.06373671046</v>
      </c>
      <c r="N107" s="6">
        <f ca="1"/>
        <v>37.058127354666055</v>
      </c>
      <c r="P107" s="6">
        <f ca="1"/>
        <v>0.71739017930657889</v>
      </c>
      <c r="Q107" s="6">
        <f ca="1"/>
        <v>63.580777437248656</v>
      </c>
      <c r="R107" s="6">
        <f ca="1"/>
        <v>2227.7598216031538</v>
      </c>
      <c r="S107" s="42">
        <f ca="1"/>
        <v>-165823.06373671046</v>
      </c>
      <c r="T107" s="6">
        <f ca="1"/>
        <v>37.058127354666055</v>
      </c>
    </row>
    <row r="108" spans="1:20">
      <c r="A108" s="43">
        <f ca="1"/>
        <v>106</v>
      </c>
      <c r="B108" s="4">
        <f ca="1"/>
        <v>2.6249999999999999E-2</v>
      </c>
      <c r="D108" s="6">
        <f ca="1"/>
        <v>0.85169491525423724</v>
      </c>
      <c r="E108" s="6">
        <f ca="1"/>
        <v>61.016949152542374</v>
      </c>
      <c r="F108" s="6">
        <f ca="1"/>
        <v>0</v>
      </c>
      <c r="G108" s="42">
        <f ca="1"/>
        <v>0</v>
      </c>
      <c r="H108" s="6">
        <f ca="1"/>
        <v>16.045416887641629</v>
      </c>
      <c r="J108" s="6">
        <f ca="1"/>
        <v>0.73335455758512413</v>
      </c>
      <c r="K108" s="6">
        <f ca="1"/>
        <v>64.132507545389785</v>
      </c>
      <c r="L108" s="6">
        <f ca="1"/>
        <v>2185.9701819982483</v>
      </c>
      <c r="M108" s="42">
        <f ca="1"/>
        <v>-168483.7404022828</v>
      </c>
      <c r="N108" s="6">
        <f ca="1"/>
        <v>37.235716385084594</v>
      </c>
      <c r="P108" s="6">
        <f ca="1"/>
        <v>0.73335455758512413</v>
      </c>
      <c r="Q108" s="6">
        <f ca="1"/>
        <v>64.132507545389785</v>
      </c>
      <c r="R108" s="6">
        <f ca="1"/>
        <v>2185.9701819982483</v>
      </c>
      <c r="S108" s="42">
        <f ca="1"/>
        <v>-168483.7404022828</v>
      </c>
      <c r="T108" s="6">
        <f ca="1"/>
        <v>37.235716385084594</v>
      </c>
    </row>
    <row r="109" spans="1:20">
      <c r="A109" s="43">
        <f ca="1"/>
        <v>107</v>
      </c>
      <c r="B109" s="4">
        <f ca="1"/>
        <v>2.6499999999999999E-2</v>
      </c>
      <c r="D109" s="6">
        <f ca="1"/>
        <v>0.86694915254237293</v>
      </c>
      <c r="E109" s="6">
        <f ca="1"/>
        <v>61.016949152542374</v>
      </c>
      <c r="F109" s="6">
        <f ca="1"/>
        <v>0</v>
      </c>
      <c r="G109" s="42">
        <f ca="1"/>
        <v>0</v>
      </c>
      <c r="H109" s="6">
        <f ca="1"/>
        <v>15.835392217108776</v>
      </c>
      <c r="J109" s="6">
        <f ca="1"/>
        <v>0.74945555557590582</v>
      </c>
      <c r="K109" s="6">
        <f ca="1"/>
        <v>64.673707742027673</v>
      </c>
      <c r="L109" s="6">
        <f ca="1"/>
        <v>2143.5231077521398</v>
      </c>
      <c r="M109" s="42">
        <f ca="1"/>
        <v>-171082.54086633024</v>
      </c>
      <c r="N109" s="6">
        <f ca="1"/>
        <v>37.375092751237879</v>
      </c>
      <c r="P109" s="6">
        <f ca="1"/>
        <v>0.74945555557590582</v>
      </c>
      <c r="Q109" s="6">
        <f ca="1"/>
        <v>64.673707742027673</v>
      </c>
      <c r="R109" s="6">
        <f ca="1"/>
        <v>2143.5231077521398</v>
      </c>
      <c r="S109" s="42">
        <f ca="1"/>
        <v>-171082.54086633024</v>
      </c>
      <c r="T109" s="6">
        <f ca="1"/>
        <v>37.375092751237879</v>
      </c>
    </row>
    <row r="110" spans="1:20">
      <c r="A110" s="43">
        <f ca="1"/>
        <v>108</v>
      </c>
      <c r="B110" s="4">
        <f ca="1"/>
        <v>2.6749999999999999E-2</v>
      </c>
      <c r="D110" s="6">
        <f ca="1"/>
        <v>0.8822033898305085</v>
      </c>
      <c r="E110" s="6">
        <f ca="1"/>
        <v>61.016949152542374</v>
      </c>
      <c r="F110" s="6">
        <f ca="1"/>
        <v>0</v>
      </c>
      <c r="G110" s="42">
        <f ca="1"/>
        <v>0</v>
      </c>
      <c r="H110" s="6">
        <f ca="1"/>
        <v>15.615577286117253</v>
      </c>
      <c r="J110" s="6">
        <f ca="1"/>
        <v>0.76569052041735119</v>
      </c>
      <c r="K110" s="6">
        <f ca="1"/>
        <v>65.204215602133289</v>
      </c>
      <c r="L110" s="6">
        <f ca="1"/>
        <v>2100.4340679152101</v>
      </c>
      <c r="M110" s="42">
        <f ca="1"/>
        <v>-173619.46512885278</v>
      </c>
      <c r="N110" s="6">
        <f ca="1"/>
        <v>37.468978280923992</v>
      </c>
      <c r="P110" s="6">
        <f ca="1"/>
        <v>0.76569052041735119</v>
      </c>
      <c r="Q110" s="6">
        <f ca="1"/>
        <v>65.204215602133289</v>
      </c>
      <c r="R110" s="6">
        <f ca="1"/>
        <v>2100.4340679152101</v>
      </c>
      <c r="S110" s="42">
        <f ca="1"/>
        <v>-173619.46512885278</v>
      </c>
      <c r="T110" s="6">
        <f ca="1"/>
        <v>37.468978280923992</v>
      </c>
    </row>
    <row r="111" spans="1:20">
      <c r="A111" s="43">
        <f ca="1"/>
        <v>109</v>
      </c>
      <c r="B111" s="4">
        <f ca="1"/>
        <v>2.7E-2</v>
      </c>
      <c r="D111" s="6">
        <f ca="1"/>
        <v>0.89745762711864407</v>
      </c>
      <c r="E111" s="6">
        <f ca="1"/>
        <v>61.016949152542374</v>
      </c>
      <c r="F111" s="6">
        <f ca="1"/>
        <v>0</v>
      </c>
      <c r="G111" s="42">
        <f ca="1"/>
        <v>0</v>
      </c>
      <c r="H111" s="6">
        <f ca="1"/>
        <v>15.380949591043992</v>
      </c>
      <c r="J111" s="6">
        <f ca="1"/>
        <v>0.78205675912503847</v>
      </c>
      <c r="K111" s="6">
        <f ca="1"/>
        <v>65.723872567940234</v>
      </c>
      <c r="L111" s="6">
        <f ca="1"/>
        <v>2056.7185315378406</v>
      </c>
      <c r="M111" s="42">
        <f ca="1"/>
        <v>-176094.51318985035</v>
      </c>
      <c r="N111" s="6">
        <f ca="1"/>
        <v>37.521255246613549</v>
      </c>
      <c r="P111" s="6">
        <f ca="1"/>
        <v>0.78205675912503847</v>
      </c>
      <c r="Q111" s="6">
        <f ca="1"/>
        <v>65.723872567940234</v>
      </c>
      <c r="R111" s="6">
        <f ca="1"/>
        <v>2056.7185315378406</v>
      </c>
      <c r="S111" s="42">
        <f ca="1"/>
        <v>-176094.51318985035</v>
      </c>
      <c r="T111" s="6">
        <f ca="1"/>
        <v>37.521255246613549</v>
      </c>
    </row>
    <row r="112" spans="1:20">
      <c r="A112" s="43">
        <f ca="1"/>
        <v>110</v>
      </c>
      <c r="B112" s="4">
        <f ca="1"/>
        <v>2.725E-2</v>
      </c>
      <c r="D112" s="6">
        <f ca="1"/>
        <v>0.91271186440677965</v>
      </c>
      <c r="E112" s="6">
        <f ca="1"/>
        <v>61.016949152542374</v>
      </c>
      <c r="F112" s="6">
        <f ca="1"/>
        <v>0</v>
      </c>
      <c r="G112" s="42">
        <f ca="1"/>
        <v>0</v>
      </c>
      <c r="H112" s="6">
        <f ca="1"/>
        <v>15.139896486379154</v>
      </c>
      <c r="J112" s="6">
        <f ca="1"/>
        <v>0.7985515395585121</v>
      </c>
      <c r="K112" s="6">
        <f ca="1"/>
        <v>66.232523948944703</v>
      </c>
      <c r="L112" s="6">
        <f ca="1"/>
        <v>2012.391967670412</v>
      </c>
      <c r="M112" s="42">
        <f ca="1"/>
        <v>-178507.68504932299</v>
      </c>
      <c r="N112" s="6">
        <f ca="1"/>
        <v>37.523322793809541</v>
      </c>
      <c r="P112" s="6">
        <f ca="1"/>
        <v>0.7985515395585121</v>
      </c>
      <c r="Q112" s="6">
        <f ca="1"/>
        <v>66.232523948944703</v>
      </c>
      <c r="R112" s="6">
        <f ca="1"/>
        <v>2012.391967670412</v>
      </c>
      <c r="S112" s="42">
        <f ca="1"/>
        <v>-178507.68504932299</v>
      </c>
      <c r="T112" s="6">
        <f ca="1"/>
        <v>37.523322793809541</v>
      </c>
    </row>
    <row r="113" spans="1:20">
      <c r="A113" s="43">
        <f ca="1"/>
        <v>111</v>
      </c>
      <c r="B113" s="4">
        <f ca="1"/>
        <v>2.75E-2</v>
      </c>
      <c r="D113" s="6">
        <f ca="1"/>
        <v>0.92796610169491522</v>
      </c>
      <c r="E113" s="6">
        <f ca="1"/>
        <v>61.016949152542374</v>
      </c>
      <c r="F113" s="6">
        <f ca="1"/>
        <v>0</v>
      </c>
      <c r="G113" s="42">
        <f ca="1"/>
        <v>0</v>
      </c>
      <c r="H113" s="6">
        <f ca="1"/>
        <v>14.888663650999719</v>
      </c>
      <c r="J113" s="6">
        <f ca="1"/>
        <v>0.81517209138809821</v>
      </c>
      <c r="K113" s="6">
        <f ca="1"/>
        <v>66.730018921905469</v>
      </c>
      <c r="L113" s="6">
        <f ca="1"/>
        <v>1967.4698453633059</v>
      </c>
      <c r="M113" s="42">
        <f ca="1"/>
        <v>-180858.98070727068</v>
      </c>
      <c r="N113" s="6">
        <f ca="1"/>
        <v>37.470754852877832</v>
      </c>
      <c r="P113" s="6">
        <f ca="1"/>
        <v>0.81517209138809821</v>
      </c>
      <c r="Q113" s="6">
        <f ca="1"/>
        <v>66.730018921905469</v>
      </c>
      <c r="R113" s="6">
        <f ca="1"/>
        <v>1967.4698453633061</v>
      </c>
      <c r="S113" s="42">
        <f ca="1"/>
        <v>-180858.98070727068</v>
      </c>
      <c r="T113" s="6">
        <f ca="1"/>
        <v>37.470754852877832</v>
      </c>
    </row>
    <row r="114" spans="1:20">
      <c r="A114" s="43">
        <f ca="1"/>
        <v>112</v>
      </c>
      <c r="B114" s="4">
        <f ca="1"/>
        <v>2.775E-2</v>
      </c>
      <c r="D114" s="6">
        <f ca="1"/>
        <v>0.94322033898305091</v>
      </c>
      <c r="E114" s="6">
        <f ca="1"/>
        <v>61.016949152542374</v>
      </c>
      <c r="F114" s="6">
        <f ca="1"/>
        <v>0</v>
      </c>
      <c r="G114" s="42">
        <f ca="1"/>
        <v>0</v>
      </c>
      <c r="H114" s="6">
        <f ca="1"/>
        <v>14.622274925500964</v>
      </c>
      <c r="J114" s="6">
        <f ca="1"/>
        <v>0.83191560706172063</v>
      </c>
      <c r="K114" s="6">
        <f ca="1"/>
        <v>67.21621053084391</v>
      </c>
      <c r="L114" s="6">
        <f ca="1"/>
        <v>1921.9676336669038</v>
      </c>
      <c r="M114" s="42">
        <f ca="1"/>
        <v>-183148.40016369344</v>
      </c>
      <c r="N114" s="6">
        <f ca="1"/>
        <v>37.367125000861307</v>
      </c>
      <c r="P114" s="6">
        <f ca="1"/>
        <v>0.83191560706172063</v>
      </c>
      <c r="Q114" s="6">
        <f ca="1"/>
        <v>67.21621053084391</v>
      </c>
      <c r="R114" s="6">
        <f ca="1"/>
        <v>1921.9676336669038</v>
      </c>
      <c r="S114" s="42">
        <f ca="1"/>
        <v>-183148.40016369341</v>
      </c>
      <c r="T114" s="6">
        <f ca="1"/>
        <v>37.367125000861307</v>
      </c>
    </row>
    <row r="115" spans="1:20">
      <c r="A115" s="43">
        <f ca="1"/>
        <v>113</v>
      </c>
      <c r="B115" s="4">
        <f ca="1"/>
        <v>2.8000000000000001E-2</v>
      </c>
      <c r="D115" s="6">
        <f ca="1"/>
        <v>0.95847457627118648</v>
      </c>
      <c r="E115" s="6">
        <f ca="1"/>
        <v>61.016949152542374</v>
      </c>
      <c r="F115" s="6">
        <f ca="1"/>
        <v>0</v>
      </c>
      <c r="G115" s="42">
        <f ca="1"/>
        <v>0</v>
      </c>
      <c r="H115" s="6">
        <f ca="1"/>
        <v>14.348919031745206</v>
      </c>
      <c r="J115" s="6">
        <f ca="1"/>
        <v>0.84877924277171612</v>
      </c>
      <c r="K115" s="6">
        <f ca="1"/>
        <v>67.69095568704401</v>
      </c>
      <c r="L115" s="6">
        <f ca="1"/>
        <v>1875.9008016315868</v>
      </c>
      <c r="M115" s="42">
        <f ca="1"/>
        <v>-185375.94341859125</v>
      </c>
      <c r="N115" s="6">
        <f ca="1"/>
        <v>37.210809455628585</v>
      </c>
      <c r="P115" s="6">
        <f ca="1"/>
        <v>0.84877924277171612</v>
      </c>
      <c r="Q115" s="6">
        <f ca="1"/>
        <v>67.69095568704401</v>
      </c>
      <c r="R115" s="6">
        <f ca="1"/>
        <v>1875.9008016315868</v>
      </c>
      <c r="S115" s="42">
        <f ca="1"/>
        <v>-185375.94341859125</v>
      </c>
      <c r="T115" s="6">
        <f ca="1"/>
        <v>37.210809455628585</v>
      </c>
    </row>
    <row r="116" spans="1:20">
      <c r="A116" s="43">
        <f ca="1"/>
        <v>114</v>
      </c>
      <c r="B116" s="4">
        <f ca="1"/>
        <v>2.8250000000000001E-2</v>
      </c>
      <c r="D116" s="6">
        <f ca="1"/>
        <v>0.97372881355932206</v>
      </c>
      <c r="E116" s="6">
        <f ca="1"/>
        <v>61.016949152542374</v>
      </c>
      <c r="F116" s="6">
        <f ca="1"/>
        <v>0</v>
      </c>
      <c r="G116" s="42">
        <f ca="1"/>
        <v>0</v>
      </c>
      <c r="H116" s="6">
        <f ca="1"/>
        <v>14.060849930443336</v>
      </c>
      <c r="J116" s="6">
        <f ca="1"/>
        <v>0.86576011942165088</v>
      </c>
      <c r="K116" s="6">
        <f ca="1"/>
        <v>68.154115169052332</v>
      </c>
      <c r="L116" s="6">
        <f ca="1"/>
        <v>1829.2848183077353</v>
      </c>
      <c r="M116" s="42">
        <f ca="1"/>
        <v>-187541.61047196414</v>
      </c>
      <c r="N116" s="6">
        <f ca="1"/>
        <v>37.005466285270302</v>
      </c>
      <c r="P116" s="6">
        <f ca="1"/>
        <v>0.86576011942165088</v>
      </c>
      <c r="Q116" s="6">
        <f ca="1"/>
        <v>68.154115169052332</v>
      </c>
      <c r="R116" s="6">
        <f ca="1"/>
        <v>1829.2848183077353</v>
      </c>
      <c r="S116" s="42">
        <f ca="1"/>
        <v>-187541.61047196414</v>
      </c>
      <c r="T116" s="6">
        <f ca="1"/>
        <v>37.005466285270302</v>
      </c>
    </row>
    <row r="117" spans="1:20">
      <c r="A117" s="43">
        <f ca="1"/>
        <v>115</v>
      </c>
      <c r="B117" s="4">
        <f ca="1"/>
        <v>2.8500000000000001E-2</v>
      </c>
      <c r="D117" s="6">
        <f ca="1"/>
        <v>0.98898305084745775</v>
      </c>
      <c r="E117" s="6">
        <f ca="1"/>
        <v>61.016949152542374</v>
      </c>
      <c r="F117" s="6">
        <f ca="1"/>
        <v>0</v>
      </c>
      <c r="G117" s="42">
        <f ca="1"/>
        <v>0</v>
      </c>
      <c r="H117" s="6">
        <f ca="1"/>
        <v>13.767482693069345</v>
      </c>
      <c r="J117" s="6">
        <f ca="1"/>
        <v>0.88285532359313479</v>
      </c>
      <c r="K117" s="6">
        <f ca="1"/>
        <v>68.60555362267803</v>
      </c>
      <c r="L117" s="6">
        <f ca="1"/>
        <v>1782.1351527457314</v>
      </c>
      <c r="M117" s="42">
        <f ca="1"/>
        <v>-189645.40132381208</v>
      </c>
      <c r="N117" s="6">
        <f ca="1"/>
        <v>36.751771261483157</v>
      </c>
      <c r="P117" s="6">
        <f ca="1"/>
        <v>0.88285532359313479</v>
      </c>
      <c r="Q117" s="6">
        <f ca="1"/>
        <v>68.60555362267803</v>
      </c>
      <c r="R117" s="6">
        <f ca="1"/>
        <v>1782.1351527457314</v>
      </c>
      <c r="S117" s="42">
        <f ca="1"/>
        <v>-189645.40132381208</v>
      </c>
      <c r="T117" s="6">
        <f ca="1"/>
        <v>36.751771261483157</v>
      </c>
    </row>
    <row r="118" spans="1:20">
      <c r="A118" s="43">
        <f ca="1"/>
        <v>116</v>
      </c>
      <c r="B118" s="4">
        <f ca="1"/>
        <v>2.8750000000000001E-2</v>
      </c>
      <c r="D118" s="6">
        <f ca="1"/>
        <v>1.0042372881355934</v>
      </c>
      <c r="E118" s="6">
        <f ca="1"/>
        <v>61.016949152542374</v>
      </c>
      <c r="F118" s="6">
        <f ca="1"/>
        <v>0</v>
      </c>
      <c r="G118" s="42">
        <f ca="1"/>
        <v>0</v>
      </c>
      <c r="H118" s="6">
        <f ca="1"/>
        <v>13.461665659517898</v>
      </c>
      <c r="J118" s="6">
        <f ca="1"/>
        <v>0.90006190851263823</v>
      </c>
      <c r="K118" s="6">
        <f ca="1"/>
        <v>69.04513956099288</v>
      </c>
      <c r="L118" s="6">
        <f ca="1"/>
        <v>1734.4672739959565</v>
      </c>
      <c r="M118" s="42">
        <f ca="1"/>
        <v>-191687.31597413507</v>
      </c>
      <c r="N118" s="6">
        <f ca="1"/>
        <v>36.444982651328218</v>
      </c>
      <c r="P118" s="6">
        <f ca="1"/>
        <v>0.90006190851263823</v>
      </c>
      <c r="Q118" s="6">
        <f ca="1"/>
        <v>69.04513956099288</v>
      </c>
      <c r="R118" s="6">
        <f ca="1"/>
        <v>1734.4672739959565</v>
      </c>
      <c r="S118" s="42">
        <f ca="1"/>
        <v>-191687.31597413507</v>
      </c>
      <c r="T118" s="6">
        <f ca="1"/>
        <v>36.444982651328218</v>
      </c>
    </row>
    <row r="119" spans="1:20">
      <c r="A119" s="43">
        <f ca="1"/>
        <v>117</v>
      </c>
      <c r="B119" s="4">
        <f ca="1"/>
        <v>2.9000000000000001E-2</v>
      </c>
      <c r="D119" s="6">
        <f ca="1"/>
        <v>1.0194915254237289</v>
      </c>
      <c r="E119" s="6">
        <f ca="1"/>
        <v>61.016949152542374</v>
      </c>
      <c r="F119" s="6">
        <f ca="1"/>
        <v>0</v>
      </c>
      <c r="G119" s="42">
        <f ca="1"/>
        <v>0</v>
      </c>
      <c r="H119" s="6">
        <f ca="1"/>
        <v>13.147987717171098</v>
      </c>
      <c r="J119" s="6">
        <f ca="1"/>
        <v>0.91737689501830755</v>
      </c>
      <c r="K119" s="6">
        <f ca="1"/>
        <v>69.472745364331232</v>
      </c>
      <c r="L119" s="6">
        <f ca="1"/>
        <v>1686.2966511087909</v>
      </c>
      <c r="M119" s="42">
        <f ca="1"/>
        <v>-193667.35442293313</v>
      </c>
      <c r="N119" s="6">
        <f ca="1"/>
        <v>36.072531890430099</v>
      </c>
      <c r="P119" s="6">
        <f ca="1"/>
        <v>0.91737689501830755</v>
      </c>
      <c r="Q119" s="6">
        <f ca="1"/>
        <v>69.472745364331232</v>
      </c>
      <c r="R119" s="6">
        <f ca="1"/>
        <v>1686.2966511087909</v>
      </c>
      <c r="S119" s="42">
        <f ca="1"/>
        <v>-193667.35442293313</v>
      </c>
      <c r="T119" s="6">
        <f ca="1"/>
        <v>36.072531890430099</v>
      </c>
    </row>
    <row r="120" spans="1:20">
      <c r="A120" s="43">
        <f ca="1"/>
        <v>118</v>
      </c>
      <c r="B120" s="4">
        <f ca="1"/>
        <v>2.9250000000000002E-2</v>
      </c>
      <c r="D120" s="6">
        <f ca="1"/>
        <v>1.0347457627118644</v>
      </c>
      <c r="E120" s="6">
        <f ca="1"/>
        <v>61.016949152542374</v>
      </c>
      <c r="F120" s="6">
        <f ca="1"/>
        <v>0</v>
      </c>
      <c r="G120" s="42">
        <f ca="1"/>
        <v>0</v>
      </c>
      <c r="H120" s="6">
        <f ca="1"/>
        <v>12.827949204795141</v>
      </c>
      <c r="J120" s="6">
        <f ca="1"/>
        <v>0.93479727252677991</v>
      </c>
      <c r="K120" s="6">
        <f ca="1"/>
        <v>69.888247280290031</v>
      </c>
      <c r="L120" s="6">
        <f ca="1"/>
        <v>1637.6387531346165</v>
      </c>
      <c r="M120" s="42">
        <f ca="1"/>
        <v>-195585.51667020624</v>
      </c>
      <c r="N120" s="6">
        <f ca="1"/>
        <v>35.646649679329919</v>
      </c>
      <c r="P120" s="6">
        <f ca="1"/>
        <v>0.93479727252677991</v>
      </c>
      <c r="Q120" s="6">
        <f ca="1"/>
        <v>69.888247280290031</v>
      </c>
      <c r="R120" s="6">
        <f ca="1"/>
        <v>1637.6387531346165</v>
      </c>
      <c r="S120" s="42">
        <f ca="1"/>
        <v>-195585.51667020624</v>
      </c>
      <c r="T120" s="6">
        <f ca="1"/>
        <v>35.646649679329919</v>
      </c>
    </row>
    <row r="121" spans="1:20">
      <c r="A121" s="43">
        <f ca="1"/>
        <v>119</v>
      </c>
      <c r="B121" s="4">
        <f ca="1"/>
        <v>2.9500000000000002E-2</v>
      </c>
      <c r="D121" s="6">
        <f ca="1"/>
        <v>1.05</v>
      </c>
      <c r="E121" s="6">
        <f ca="1"/>
        <v>61.016949152542374</v>
      </c>
      <c r="F121" s="6">
        <f ca="1"/>
        <v>0</v>
      </c>
      <c r="G121" s="42">
        <f ca="1"/>
        <v>0</v>
      </c>
      <c r="H121" s="6">
        <f ca="1"/>
        <v>12.499385159780031</v>
      </c>
      <c r="J121" s="6">
        <f ca="1"/>
        <v>0.95232000000000017</v>
      </c>
      <c r="K121" s="6">
        <f ca="1"/>
        <v>70.291525423728814</v>
      </c>
      <c r="L121" s="6">
        <f ca="1"/>
        <v>1588.509049123815</v>
      </c>
      <c r="M121" s="42">
        <f ca="1"/>
        <v>-197441.80271595443</v>
      </c>
      <c r="N121" s="6">
        <f ca="1"/>
        <v>35.168011271242989</v>
      </c>
      <c r="P121" s="6">
        <f ca="1"/>
        <v>0.95232000000000017</v>
      </c>
      <c r="Q121" s="6">
        <f ca="1"/>
        <v>70.291525423728814</v>
      </c>
      <c r="R121" s="6">
        <f ca="1"/>
        <v>1588.509049123815</v>
      </c>
      <c r="S121" s="42">
        <f ca="1"/>
        <v>-197441.80271595443</v>
      </c>
      <c r="T121" s="6">
        <f ca="1"/>
        <v>35.168011271242989</v>
      </c>
    </row>
    <row r="122" spans="1:20">
      <c r="A122" s="43">
        <f ca="1"/>
        <v>120</v>
      </c>
      <c r="B122" s="4">
        <f ca="1"/>
        <v>2.9750000000000002E-2</v>
      </c>
      <c r="D122" s="6">
        <f ca="1"/>
        <v>1.0652542372881357</v>
      </c>
      <c r="E122" s="6">
        <f ca="1"/>
        <v>61.016949152542374</v>
      </c>
      <c r="F122" s="6">
        <f ca="1"/>
        <v>0</v>
      </c>
      <c r="G122" s="42">
        <f ca="1"/>
        <v>0</v>
      </c>
      <c r="H122" s="6">
        <f ca="1"/>
        <v>12.162198813037753</v>
      </c>
      <c r="J122" s="6">
        <f ca="1"/>
        <v>0.96994200691203547</v>
      </c>
      <c r="K122" s="6">
        <f ca="1"/>
        <v>70.682463776769751</v>
      </c>
      <c r="L122" s="6">
        <f ca="1"/>
        <v>1538.9230081267665</v>
      </c>
      <c r="M122" s="42">
        <f ca="1"/>
        <v>-199236.21256017766</v>
      </c>
      <c r="N122" s="6">
        <f ca="1"/>
        <v>34.641054418889226</v>
      </c>
      <c r="P122" s="6">
        <f ca="1"/>
        <v>0.96994200691203547</v>
      </c>
      <c r="Q122" s="6">
        <f ca="1"/>
        <v>70.682463776769751</v>
      </c>
      <c r="R122" s="6">
        <f ca="1"/>
        <v>1538.9230081267665</v>
      </c>
      <c r="S122" s="42">
        <f ca="1"/>
        <v>-199236.21256017766</v>
      </c>
      <c r="T122" s="6">
        <f ca="1"/>
        <v>34.641054418889226</v>
      </c>
    </row>
    <row r="123" spans="1:20">
      <c r="A123" s="43">
        <f ca="1"/>
        <v>121</v>
      </c>
      <c r="B123" s="4">
        <f ca="1"/>
        <v>0.03</v>
      </c>
      <c r="D123" s="6">
        <f ca="1"/>
        <v>1.0805084745762712</v>
      </c>
      <c r="E123" s="6">
        <f ca="1"/>
        <v>61.016949152542374</v>
      </c>
      <c r="F123" s="6">
        <f ca="1"/>
        <v>0</v>
      </c>
      <c r="G123" s="42">
        <f ca="1"/>
        <v>0</v>
      </c>
      <c r="H123" s="6">
        <f ca="1"/>
        <v>11.821944979779618</v>
      </c>
      <c r="J123" s="6">
        <f ca="1"/>
        <v>0.98766019421589146</v>
      </c>
      <c r="K123" s="6">
        <f ca="1"/>
        <v>71.060950188797548</v>
      </c>
      <c r="L123" s="6">
        <f ca="1"/>
        <v>1488.8960991938529</v>
      </c>
      <c r="M123" s="42">
        <f ca="1"/>
        <v>-200968.74620287598</v>
      </c>
      <c r="N123" s="6">
        <f ca="1"/>
        <v>34.062440145976765</v>
      </c>
      <c r="P123" s="6">
        <f ca="1"/>
        <v>0.98766019421589146</v>
      </c>
      <c r="Q123" s="6">
        <f ca="1"/>
        <v>71.060950188797548</v>
      </c>
      <c r="R123" s="6">
        <f ca="1"/>
        <v>1488.8960991938529</v>
      </c>
      <c r="S123" s="42">
        <f ca="1"/>
        <v>-200968.74620287598</v>
      </c>
      <c r="T123" s="6">
        <f ca="1"/>
        <v>34.062440145976765</v>
      </c>
    </row>
    <row r="124" spans="1:20">
      <c r="A124" s="43">
        <f ca="1"/>
        <v>122</v>
      </c>
      <c r="B124" s="4">
        <f ca="1"/>
        <v>3.0249999999999999E-2</v>
      </c>
      <c r="D124" s="6">
        <f ca="1"/>
        <v>1.0957627118644069</v>
      </c>
      <c r="E124" s="6">
        <f ca="1"/>
        <v>61.016949152542374</v>
      </c>
      <c r="F124" s="6">
        <f ca="1"/>
        <v>0</v>
      </c>
      <c r="G124" s="42">
        <f ca="1"/>
        <v>0</v>
      </c>
      <c r="H124" s="6">
        <f ca="1"/>
        <v>11.466686818956536</v>
      </c>
      <c r="J124" s="6">
        <f ca="1"/>
        <v>1.005471435310328</v>
      </c>
      <c r="K124" s="6">
        <f ca="1"/>
        <v>71.42687637645956</v>
      </c>
      <c r="L124" s="6">
        <f ca="1"/>
        <v>1438.4437913754557</v>
      </c>
      <c r="M124" s="42">
        <f ca="1"/>
        <v>-202639.40364404937</v>
      </c>
      <c r="N124" s="6">
        <f ca="1"/>
        <v>33.412184424451098</v>
      </c>
      <c r="P124" s="6">
        <f ca="1"/>
        <v>1.005471435310328</v>
      </c>
      <c r="Q124" s="6">
        <f ca="1"/>
        <v>71.42687637645956</v>
      </c>
      <c r="R124" s="6">
        <f ca="1"/>
        <v>1438.4437913754557</v>
      </c>
      <c r="S124" s="42">
        <f ca="1"/>
        <v>-202639.40364404937</v>
      </c>
      <c r="T124" s="6">
        <f ca="1"/>
        <v>33.412184424451098</v>
      </c>
    </row>
    <row r="125" spans="1:20">
      <c r="A125" s="43">
        <f ca="1"/>
        <v>123</v>
      </c>
      <c r="B125" s="4">
        <f ca="1"/>
        <v>3.0499999999999999E-2</v>
      </c>
      <c r="D125" s="6">
        <f ca="1"/>
        <v>1.1110169491525426</v>
      </c>
      <c r="E125" s="6">
        <f ca="1"/>
        <v>61.016949152542374</v>
      </c>
      <c r="F125" s="6">
        <f ca="1"/>
        <v>0</v>
      </c>
      <c r="G125" s="42">
        <f ca="1"/>
        <v>0</v>
      </c>
      <c r="H125" s="6">
        <f ca="1"/>
        <v>11.108899840384929</v>
      </c>
      <c r="J125" s="6">
        <f ca="1"/>
        <v>1.0233725770066742</v>
      </c>
      <c r="K125" s="6">
        <f ca="1"/>
        <v>71.780137923665677</v>
      </c>
      <c r="L125" s="6">
        <f ca="1"/>
        <v>1387.5815537219555</v>
      </c>
      <c r="M125" s="42">
        <f ca="1"/>
        <v>-204248.18488369777</v>
      </c>
      <c r="N125" s="6">
        <f ca="1"/>
        <v>32.711539752265331</v>
      </c>
      <c r="P125" s="6">
        <f ca="1"/>
        <v>1.0233725770066742</v>
      </c>
      <c r="Q125" s="6">
        <f ca="1"/>
        <v>71.780137923665677</v>
      </c>
      <c r="R125" s="6">
        <f ca="1"/>
        <v>1387.5815537219555</v>
      </c>
      <c r="S125" s="42">
        <f ca="1"/>
        <v>-204248.18488369777</v>
      </c>
      <c r="T125" s="6">
        <f ca="1"/>
        <v>32.711539752265331</v>
      </c>
    </row>
    <row r="126" spans="1:20">
      <c r="A126" s="43">
        <f ca="1"/>
        <v>124</v>
      </c>
      <c r="B126" s="4">
        <f ca="1"/>
        <v>3.075E-2</v>
      </c>
      <c r="D126" s="6">
        <f ca="1"/>
        <v>1.126271186440678</v>
      </c>
      <c r="E126" s="6">
        <f ca="1"/>
        <v>61.016949152542374</v>
      </c>
      <c r="F126" s="6">
        <f ca="1"/>
        <v>0</v>
      </c>
      <c r="G126" s="42">
        <f ca="1"/>
        <v>0</v>
      </c>
      <c r="H126" s="6">
        <f ca="1"/>
        <v>10.744710930166315</v>
      </c>
      <c r="J126" s="6">
        <f ca="1"/>
        <v>1.0413604404956449</v>
      </c>
      <c r="K126" s="6">
        <f ca="1"/>
        <v>72.120634281588465</v>
      </c>
      <c r="L126" s="6">
        <f ca="1"/>
        <v>1336.3248552837335</v>
      </c>
      <c r="M126" s="42">
        <f ca="1"/>
        <v>-205795.08992182123</v>
      </c>
      <c r="N126" s="6">
        <f ca="1"/>
        <v>31.962758550301722</v>
      </c>
      <c r="P126" s="6">
        <f ca="1"/>
        <v>1.0413604404956449</v>
      </c>
      <c r="Q126" s="6">
        <f ca="1"/>
        <v>72.120634281588465</v>
      </c>
      <c r="R126" s="6">
        <f ca="1"/>
        <v>1336.3248552837335</v>
      </c>
      <c r="S126" s="42">
        <f ca="1"/>
        <v>-205795.08992182123</v>
      </c>
      <c r="T126" s="6">
        <f ca="1"/>
        <v>31.962758550301722</v>
      </c>
    </row>
    <row r="127" spans="1:20">
      <c r="A127" s="43">
        <f ca="1"/>
        <v>125</v>
      </c>
      <c r="B127" s="4">
        <f ca="1"/>
        <v>3.1E-2</v>
      </c>
      <c r="D127" s="6">
        <f ca="1"/>
        <v>1.1415254237288137</v>
      </c>
      <c r="E127" s="6">
        <f ca="1"/>
        <v>61.016949152542374</v>
      </c>
      <c r="F127" s="6">
        <f ca="1"/>
        <v>0</v>
      </c>
      <c r="G127" s="42">
        <f ca="1"/>
        <v>0</v>
      </c>
      <c r="H127" s="6">
        <f ca="1"/>
        <v>10.379603068831264</v>
      </c>
      <c r="J127" s="6">
        <f ca="1"/>
        <v>1.0594318223141554</v>
      </c>
      <c r="K127" s="6">
        <f ca="1"/>
        <v>72.448268768663027</v>
      </c>
      <c r="L127" s="6">
        <f ca="1"/>
        <v>1284.6891651111716</v>
      </c>
      <c r="M127" s="42">
        <f ca="1"/>
        <v>-207280.11875841979</v>
      </c>
      <c r="N127" s="6">
        <f ca="1"/>
        <v>31.17412325389704</v>
      </c>
      <c r="P127" s="6">
        <f ca="1"/>
        <v>1.0594318223141554</v>
      </c>
      <c r="Q127" s="6">
        <f ca="1"/>
        <v>72.448268768663027</v>
      </c>
      <c r="R127" s="6">
        <f ca="1"/>
        <v>1284.6891651111716</v>
      </c>
      <c r="S127" s="42">
        <f ca="1"/>
        <v>-207280.11875841979</v>
      </c>
      <c r="T127" s="6">
        <f ca="1"/>
        <v>31.17412325389704</v>
      </c>
    </row>
    <row r="128" spans="1:20">
      <c r="A128" s="43">
        <f ca="1"/>
        <v>126</v>
      </c>
      <c r="B128" s="4">
        <f ca="1"/>
        <v>3.125E-2</v>
      </c>
      <c r="D128" s="6">
        <f ca="1"/>
        <v>1.1567796610169494</v>
      </c>
      <c r="E128" s="6">
        <f ca="1"/>
        <v>61.016949152542374</v>
      </c>
      <c r="F128" s="6">
        <f ca="1"/>
        <v>0</v>
      </c>
      <c r="G128" s="42">
        <f ca="1"/>
        <v>0</v>
      </c>
      <c r="H128" s="6">
        <f ca="1"/>
        <v>10.000107436886472</v>
      </c>
      <c r="J128" s="6">
        <f ca="1"/>
        <v>1.0775834953121382</v>
      </c>
      <c r="K128" s="6">
        <f ca="1"/>
        <v>72.762948570587056</v>
      </c>
      <c r="L128" s="6">
        <f ca="1"/>
        <v>1232.6899522546507</v>
      </c>
      <c r="M128" s="42">
        <f ca="1"/>
        <v>-208703.2713934934</v>
      </c>
      <c r="N128" s="6">
        <f ca="1"/>
        <v>30.31299050196364</v>
      </c>
      <c r="P128" s="6">
        <f ca="1"/>
        <v>1.0775834953121382</v>
      </c>
      <c r="Q128" s="6">
        <f ca="1"/>
        <v>72.762948570587056</v>
      </c>
      <c r="R128" s="6">
        <f ca="1"/>
        <v>1232.6899522546507</v>
      </c>
      <c r="S128" s="42">
        <f ca="1"/>
        <v>-208703.2713934934</v>
      </c>
      <c r="T128" s="6">
        <f ca="1"/>
        <v>30.31299050196364</v>
      </c>
    </row>
    <row r="129" spans="1:20">
      <c r="A129" s="43">
        <f ca="1"/>
        <v>127</v>
      </c>
      <c r="B129" s="4">
        <f ca="1"/>
        <v>3.15E-2</v>
      </c>
      <c r="D129" s="6">
        <f ca="1"/>
        <v>1.1720338983050849</v>
      </c>
      <c r="E129" s="6">
        <f ca="1"/>
        <v>61.016949152542374</v>
      </c>
      <c r="F129" s="6">
        <f ca="1"/>
        <v>0</v>
      </c>
      <c r="G129" s="42">
        <f ca="1"/>
        <v>0</v>
      </c>
      <c r="H129" s="6">
        <f ca="1"/>
        <v>9.6185603358959426</v>
      </c>
      <c r="J129" s="6">
        <f ca="1"/>
        <v>1.0958122096193574</v>
      </c>
      <c r="K129" s="6">
        <f ca="1"/>
        <v>73.064584740320882</v>
      </c>
      <c r="L129" s="6">
        <f ca="1"/>
        <v>1180.342685764552</v>
      </c>
      <c r="M129" s="42">
        <f ca="1"/>
        <v>-210064.54782704209</v>
      </c>
      <c r="N129" s="6">
        <f ca="1"/>
        <v>29.399333687994314</v>
      </c>
      <c r="P129" s="6">
        <f ca="1"/>
        <v>1.0958122096193574</v>
      </c>
      <c r="Q129" s="6">
        <f ca="1"/>
        <v>73.064584740320882</v>
      </c>
      <c r="R129" s="6">
        <f ca="1"/>
        <v>1180.342685764552</v>
      </c>
      <c r="S129" s="42">
        <f ca="1"/>
        <v>-210064.54782704209</v>
      </c>
      <c r="T129" s="6">
        <f ca="1"/>
        <v>29.399333687994314</v>
      </c>
    </row>
    <row r="130" spans="1:20">
      <c r="A130" s="43">
        <f ca="1"/>
        <v>128</v>
      </c>
      <c r="B130" s="4">
        <f ca="1"/>
        <v>3.175E-2</v>
      </c>
      <c r="D130" s="6">
        <f ca="1"/>
        <v>1.1872881355932206</v>
      </c>
      <c r="E130" s="6">
        <f ca="1"/>
        <v>61.016949152542374</v>
      </c>
      <c r="F130" s="6">
        <f ca="1"/>
        <v>0</v>
      </c>
      <c r="G130" s="42">
        <f ca="1"/>
        <v>0</v>
      </c>
      <c r="H130" s="6">
        <f ca="1"/>
        <v>9.2331068086295449</v>
      </c>
      <c r="J130" s="6">
        <f ca="1"/>
        <v>1.1141146936122257</v>
      </c>
      <c r="K130" s="6">
        <f ca="1"/>
        <v>73.35309219808741</v>
      </c>
      <c r="L130" s="6">
        <f ca="1"/>
        <v>1127.6628346912566</v>
      </c>
      <c r="M130" s="42">
        <f ca="1"/>
        <v>-211363.94805906579</v>
      </c>
      <c r="N130" s="6">
        <f ca="1"/>
        <v>28.445922532024746</v>
      </c>
      <c r="P130" s="6">
        <f ca="1"/>
        <v>1.1141146936122257</v>
      </c>
      <c r="Q130" s="6">
        <f ca="1"/>
        <v>73.35309219808741</v>
      </c>
      <c r="R130" s="6">
        <f ca="1"/>
        <v>1127.6628346912566</v>
      </c>
      <c r="S130" s="42">
        <f ca="1"/>
        <v>-211363.94805906579</v>
      </c>
      <c r="T130" s="6">
        <f ca="1"/>
        <v>28.445922532024746</v>
      </c>
    </row>
    <row r="131" spans="1:20">
      <c r="A131" s="43">
        <f ca="1"/>
        <v>129</v>
      </c>
      <c r="B131" s="4">
        <f ca="1"/>
        <v>3.2000000000000001E-2</v>
      </c>
      <c r="D131" s="6">
        <f ca="1"/>
        <v>1.2025423728813562</v>
      </c>
      <c r="E131" s="6">
        <f ca="1"/>
        <v>61.016949152542374</v>
      </c>
      <c r="F131" s="6">
        <f ca="1"/>
        <v>0</v>
      </c>
      <c r="G131" s="42">
        <f ca="1"/>
        <v>0</v>
      </c>
      <c r="H131" s="6">
        <f ca="1"/>
        <v>8.8442407536517393</v>
      </c>
      <c r="J131" s="6">
        <f ca="1"/>
        <v>1.1324876548806186</v>
      </c>
      <c r="K131" s="6">
        <f ca="1"/>
        <v>73.62838973137211</v>
      </c>
      <c r="L131" s="6">
        <f ca="1"/>
        <v>1074.6658680851463</v>
      </c>
      <c r="M131" s="42">
        <f ca="1"/>
        <v>-212601.47208956457</v>
      </c>
      <c r="N131" s="6">
        <f ca="1"/>
        <v>27.452160237798388</v>
      </c>
      <c r="P131" s="6">
        <f ca="1"/>
        <v>1.1324876548806186</v>
      </c>
      <c r="Q131" s="6">
        <f ca="1"/>
        <v>73.62838973137211</v>
      </c>
      <c r="R131" s="6">
        <f ca="1"/>
        <v>1074.6658680851463</v>
      </c>
      <c r="S131" s="42">
        <f ca="1"/>
        <v>-212601.47208956457</v>
      </c>
      <c r="T131" s="6">
        <f ca="1"/>
        <v>27.452160237798388</v>
      </c>
    </row>
    <row r="132" spans="1:20">
      <c r="A132" s="43">
        <f ca="1"/>
        <v>130</v>
      </c>
      <c r="B132" s="4">
        <f ca="1"/>
        <v>3.2250000000000001E-2</v>
      </c>
      <c r="D132" s="6">
        <f ca="1"/>
        <v>1.2177966101694917</v>
      </c>
      <c r="E132" s="6">
        <f ca="1"/>
        <v>61.016949152542374</v>
      </c>
      <c r="F132" s="6">
        <f ca="1"/>
        <v>0</v>
      </c>
      <c r="G132" s="42">
        <f ca="1"/>
        <v>0</v>
      </c>
      <c r="H132" s="6">
        <f ca="1"/>
        <v>8.4461148416477787</v>
      </c>
      <c r="J132" s="6">
        <f ca="1"/>
        <v>1.1509277811946914</v>
      </c>
      <c r="K132" s="6">
        <f ca="1"/>
        <v>73.890399994923115</v>
      </c>
      <c r="L132" s="6">
        <f ca="1"/>
        <v>1021.3672549966016</v>
      </c>
      <c r="M132" s="42">
        <f ca="1"/>
        <v>-213777.11991853846</v>
      </c>
      <c r="N132" s="6">
        <f ca="1"/>
        <v>26.389400495508276</v>
      </c>
      <c r="P132" s="6">
        <f ca="1"/>
        <v>1.1509277811946914</v>
      </c>
      <c r="Q132" s="6">
        <f ca="1"/>
        <v>73.890399994923115</v>
      </c>
      <c r="R132" s="6">
        <f ca="1"/>
        <v>1021.3672549966016</v>
      </c>
      <c r="S132" s="42">
        <f ca="1"/>
        <v>-213777.11991853846</v>
      </c>
      <c r="T132" s="6">
        <f ca="1"/>
        <v>26.389400495508276</v>
      </c>
    </row>
    <row r="133" spans="1:20">
      <c r="A133" s="43">
        <f ca="1"/>
        <v>131</v>
      </c>
      <c r="B133" s="4">
        <f ca="1"/>
        <v>3.2500000000000001E-2</v>
      </c>
      <c r="D133" s="6">
        <f ca="1"/>
        <v>1.2330508474576274</v>
      </c>
      <c r="E133" s="6">
        <f ca="1"/>
        <v>61.016949152542374</v>
      </c>
      <c r="F133" s="6">
        <f ca="1"/>
        <v>0</v>
      </c>
      <c r="G133" s="42">
        <f ca="1"/>
        <v>0</v>
      </c>
      <c r="H133" s="6">
        <f ca="1"/>
        <v>8.0485366716539275</v>
      </c>
      <c r="J133" s="6">
        <f ca="1"/>
        <v>1.1694317414716942</v>
      </c>
      <c r="K133" s="6">
        <f ca="1"/>
        <v>74.139049510751079</v>
      </c>
      <c r="L133" s="6">
        <f ca="1"/>
        <v>967.78246447600407</v>
      </c>
      <c r="M133" s="42">
        <f ca="1"/>
        <v>-214890.89154598734</v>
      </c>
      <c r="N133" s="6">
        <f ca="1"/>
        <v>25.286129013669637</v>
      </c>
      <c r="P133" s="6">
        <f ca="1"/>
        <v>1.1694317414716942</v>
      </c>
      <c r="Q133" s="6">
        <f ca="1"/>
        <v>74.139049510751079</v>
      </c>
      <c r="R133" s="6">
        <f ca="1"/>
        <v>967.78246447600407</v>
      </c>
      <c r="S133" s="42">
        <f ca="1"/>
        <v>-214890.89154598734</v>
      </c>
      <c r="T133" s="6">
        <f ca="1"/>
        <v>25.286129013669637</v>
      </c>
    </row>
    <row r="134" spans="1:20">
      <c r="A134" s="43">
        <f ca="1"/>
        <v>132</v>
      </c>
      <c r="B134" s="4">
        <f ca="1"/>
        <v>3.2750000000000001E-2</v>
      </c>
      <c r="D134" s="6">
        <f ca="1"/>
        <v>1.2483050847457631</v>
      </c>
      <c r="E134" s="6">
        <f ca="1"/>
        <v>61.016949152542374</v>
      </c>
      <c r="F134" s="6">
        <f ca="1"/>
        <v>0</v>
      </c>
      <c r="G134" s="42">
        <f ca="1"/>
        <v>0</v>
      </c>
      <c r="H134" s="6">
        <f ca="1"/>
        <v>7.6445992489967338</v>
      </c>
      <c r="J134" s="6">
        <f ca="1"/>
        <v>1.1879961867427871</v>
      </c>
      <c r="K134" s="6">
        <f ca="1"/>
        <v>74.374268668129304</v>
      </c>
      <c r="L134" s="6">
        <f ca="1"/>
        <v>913.92696557373495</v>
      </c>
      <c r="M134" s="42">
        <f ca="1"/>
        <v>-215942.78697191132</v>
      </c>
      <c r="N134" s="6">
        <f ca="1"/>
        <v>24.150168743338913</v>
      </c>
      <c r="P134" s="6">
        <f ca="1"/>
        <v>1.1879961867427871</v>
      </c>
      <c r="Q134" s="6">
        <f ca="1"/>
        <v>74.374268668129304</v>
      </c>
      <c r="R134" s="6">
        <f ca="1"/>
        <v>913.92696557373495</v>
      </c>
      <c r="S134" s="42">
        <f ca="1"/>
        <v>-215942.78697191132</v>
      </c>
      <c r="T134" s="6">
        <f ca="1"/>
        <v>24.150168743338913</v>
      </c>
    </row>
    <row r="135" spans="1:20">
      <c r="A135" s="43">
        <f ca="1"/>
        <v>133</v>
      </c>
      <c r="B135" s="4">
        <f ca="1"/>
        <v>3.3000000000000002E-2</v>
      </c>
      <c r="D135" s="6">
        <f ca="1"/>
        <v>1.2635593220338985</v>
      </c>
      <c r="E135" s="6">
        <f ca="1"/>
        <v>61.016949152542374</v>
      </c>
      <c r="F135" s="6">
        <f ca="1"/>
        <v>0</v>
      </c>
      <c r="G135" s="42">
        <f ca="1"/>
        <v>0</v>
      </c>
      <c r="H135" s="6">
        <f ca="1"/>
        <v>7.2353193414280241</v>
      </c>
      <c r="J135" s="6">
        <f ca="1"/>
        <v>1.206617751119857</v>
      </c>
      <c r="K135" s="6">
        <f ca="1"/>
        <v>74.59599172359367</v>
      </c>
      <c r="L135" s="6">
        <f ca="1"/>
        <v>859.81622734017526</v>
      </c>
      <c r="M135" s="42">
        <f ca="1"/>
        <v>-216932.80619631032</v>
      </c>
      <c r="N135" s="6">
        <f ca="1"/>
        <v>22.967841591875882</v>
      </c>
      <c r="P135" s="6">
        <f ca="1"/>
        <v>1.206617751119857</v>
      </c>
      <c r="Q135" s="6">
        <f ca="1"/>
        <v>74.59599172359367</v>
      </c>
      <c r="R135" s="6">
        <f ca="1"/>
        <v>859.81622734017526</v>
      </c>
      <c r="S135" s="42">
        <f ca="1"/>
        <v>-216932.80619631032</v>
      </c>
      <c r="T135" s="6">
        <f ca="1"/>
        <v>22.967841591875882</v>
      </c>
    </row>
    <row r="136" spans="1:20">
      <c r="A136" s="43">
        <f ca="1"/>
        <v>134</v>
      </c>
      <c r="B136" s="4">
        <f ca="1"/>
        <v>3.3250000000000002E-2</v>
      </c>
      <c r="D136" s="6">
        <f ca="1"/>
        <v>1.2788135593220342</v>
      </c>
      <c r="E136" s="6">
        <f ca="1"/>
        <v>61.016949152542374</v>
      </c>
      <c r="F136" s="6">
        <f ca="1"/>
        <v>0</v>
      </c>
      <c r="G136" s="42">
        <f ca="1"/>
        <v>0</v>
      </c>
      <c r="H136" s="6">
        <f ca="1"/>
        <v>6.8185537190220158</v>
      </c>
      <c r="J136" s="6">
        <f ca="1"/>
        <v>1.225293052762332</v>
      </c>
      <c r="K136" s="6">
        <f ca="1"/>
        <v>74.80415680094265</v>
      </c>
      <c r="L136" s="6">
        <f ca="1"/>
        <v>805.46571882570663</v>
      </c>
      <c r="M136" s="42">
        <f ca="1"/>
        <v>-217860.94921918443</v>
      </c>
      <c r="N136" s="6">
        <f ca="1"/>
        <v>21.73878539815253</v>
      </c>
      <c r="P136" s="6">
        <f ca="1"/>
        <v>1.225293052762332</v>
      </c>
      <c r="Q136" s="6">
        <f ca="1"/>
        <v>74.80415680094265</v>
      </c>
      <c r="R136" s="6">
        <f ca="1"/>
        <v>805.46571882570663</v>
      </c>
      <c r="S136" s="42">
        <f ca="1"/>
        <v>-217860.94921918443</v>
      </c>
      <c r="T136" s="6">
        <f ca="1"/>
        <v>21.73878539815253</v>
      </c>
    </row>
    <row r="137" spans="1:20">
      <c r="A137" s="43">
        <f ca="1"/>
        <v>135</v>
      </c>
      <c r="B137" s="4">
        <f ca="1"/>
        <v>3.3500000000000002E-2</v>
      </c>
      <c r="D137" s="6">
        <f ca="1"/>
        <v>1.2940677966101697</v>
      </c>
      <c r="E137" s="6">
        <f ca="1"/>
        <v>61.016949152542374</v>
      </c>
      <c r="F137" s="6">
        <f ca="1"/>
        <v>0</v>
      </c>
      <c r="G137" s="42">
        <f ca="1"/>
        <v>0</v>
      </c>
      <c r="H137" s="6">
        <f ca="1"/>
        <v>6.398464131764924</v>
      </c>
      <c r="J137" s="6">
        <f ca="1"/>
        <v>1.244018694843998</v>
      </c>
      <c r="K137" s="6">
        <f ca="1"/>
        <v>74.998705891237307</v>
      </c>
      <c r="L137" s="6">
        <f ca="1"/>
        <v>750.89090908071023</v>
      </c>
      <c r="M137" s="42">
        <f ca="1"/>
        <v>-218727.21604053359</v>
      </c>
      <c r="N137" s="6">
        <f ca="1"/>
        <v>20.469994669780228</v>
      </c>
      <c r="P137" s="6">
        <f ca="1"/>
        <v>1.244018694843998</v>
      </c>
      <c r="Q137" s="6">
        <f ca="1"/>
        <v>74.998705891237307</v>
      </c>
      <c r="R137" s="6">
        <f ca="1"/>
        <v>750.89090908071023</v>
      </c>
      <c r="S137" s="42">
        <f ca="1"/>
        <v>-218727.21604053359</v>
      </c>
      <c r="T137" s="6">
        <f ca="1"/>
        <v>20.469994669780228</v>
      </c>
    </row>
    <row r="138" spans="1:20">
      <c r="A138" s="43">
        <f ca="1"/>
        <v>136</v>
      </c>
      <c r="B138" s="4">
        <f ca="1"/>
        <v>3.3750000000000002E-2</v>
      </c>
      <c r="D138" s="6">
        <f ca="1"/>
        <v>1.3093220338983054</v>
      </c>
      <c r="E138" s="6">
        <f ca="1"/>
        <v>61.016949152542374</v>
      </c>
      <c r="F138" s="6">
        <f ca="1"/>
        <v>0</v>
      </c>
      <c r="G138" s="42">
        <f ca="1"/>
        <v>0</v>
      </c>
      <c r="H138" s="6">
        <f ca="1"/>
        <v>5.9781065100605613</v>
      </c>
      <c r="J138" s="6">
        <f ca="1"/>
        <v>1.262791266519814</v>
      </c>
      <c r="K138" s="6">
        <f ca="1"/>
        <v>75.179584852801327</v>
      </c>
      <c r="L138" s="6">
        <f ca="1"/>
        <v>696.10726715556689</v>
      </c>
      <c r="M138" s="42">
        <f ca="1"/>
        <v>-219531.60666035782</v>
      </c>
      <c r="N138" s="6">
        <f ca="1"/>
        <v>19.179920119976416</v>
      </c>
      <c r="P138" s="6">
        <f ca="1"/>
        <v>1.262791266519814</v>
      </c>
      <c r="Q138" s="6">
        <f ca="1"/>
        <v>75.179584852801327</v>
      </c>
      <c r="R138" s="6">
        <f ca="1"/>
        <v>696.107267155567</v>
      </c>
      <c r="S138" s="42">
        <f ca="1"/>
        <v>-219531.60666035782</v>
      </c>
      <c r="T138" s="6">
        <f ca="1"/>
        <v>19.179920119976416</v>
      </c>
    </row>
    <row r="139" spans="1:20">
      <c r="A139" s="43">
        <f ca="1"/>
        <v>137</v>
      </c>
      <c r="B139" s="4">
        <f ca="1"/>
        <v>3.4000000000000002E-2</v>
      </c>
      <c r="D139" s="6">
        <f ca="1"/>
        <v>1.3245762711864408</v>
      </c>
      <c r="E139" s="6">
        <f ca="1"/>
        <v>61.016949152542374</v>
      </c>
      <c r="F139" s="6">
        <f ca="1"/>
        <v>0</v>
      </c>
      <c r="G139" s="42">
        <f ca="1"/>
        <v>0</v>
      </c>
      <c r="H139" s="6">
        <f ca="1"/>
        <v>5.5516907761881304</v>
      </c>
      <c r="J139" s="6">
        <f ca="1"/>
        <v>1.2816073438927276</v>
      </c>
      <c r="K139" s="6">
        <f ca="1"/>
        <v>75.346743411220956</v>
      </c>
      <c r="L139" s="6">
        <f ca="1"/>
        <v>641.13026210065823</v>
      </c>
      <c r="M139" s="42">
        <f ca="1"/>
        <v>-220274.12107865707</v>
      </c>
      <c r="N139" s="6">
        <f ca="1"/>
        <v>17.837300437188375</v>
      </c>
      <c r="P139" s="6">
        <f ca="1"/>
        <v>1.2816073438927276</v>
      </c>
      <c r="Q139" s="6">
        <f ca="1"/>
        <v>75.346743411220956</v>
      </c>
      <c r="R139" s="6">
        <f ca="1"/>
        <v>641.13026210065823</v>
      </c>
      <c r="S139" s="42">
        <f ca="1"/>
        <v>-220274.12107865707</v>
      </c>
      <c r="T139" s="6">
        <f ca="1"/>
        <v>17.837300437188375</v>
      </c>
    </row>
    <row r="140" spans="1:20">
      <c r="A140" s="43">
        <f ca="1"/>
        <v>138</v>
      </c>
      <c r="B140" s="4">
        <f ca="1"/>
        <v>3.4250000000000003E-2</v>
      </c>
      <c r="D140" s="6">
        <f ca="1"/>
        <v>1.3398305084745765</v>
      </c>
      <c r="E140" s="6">
        <f ca="1"/>
        <v>61.016949152542374</v>
      </c>
      <c r="F140" s="6">
        <f ca="1"/>
        <v>0</v>
      </c>
      <c r="G140" s="42">
        <f ca="1"/>
        <v>0</v>
      </c>
      <c r="H140" s="6">
        <f ca="1"/>
        <v>5.1273199973920116</v>
      </c>
      <c r="J140" s="6">
        <f ca="1"/>
        <v>1.3004634909804909</v>
      </c>
      <c r="K140" s="6">
        <f ca="1"/>
        <v>75.500135159345035</v>
      </c>
      <c r="L140" s="6">
        <f ca="1"/>
        <v>585.97536296636531</v>
      </c>
      <c r="M140" s="42">
        <f ca="1"/>
        <v>-220954.7592954314</v>
      </c>
      <c r="N140" s="6">
        <f ca="1"/>
        <v>16.462517449164402</v>
      </c>
      <c r="P140" s="6">
        <f ca="1"/>
        <v>1.3004634909804909</v>
      </c>
      <c r="Q140" s="6">
        <f ca="1"/>
        <v>75.500135159345035</v>
      </c>
      <c r="R140" s="6">
        <f ca="1"/>
        <v>585.97536296636531</v>
      </c>
      <c r="S140" s="42">
        <f ca="1"/>
        <v>-220954.7592954314</v>
      </c>
      <c r="T140" s="6">
        <f ca="1"/>
        <v>16.462517449164402</v>
      </c>
    </row>
    <row r="141" spans="1:20">
      <c r="A141" s="43">
        <f ca="1"/>
        <v>139</v>
      </c>
      <c r="B141" s="4">
        <f ca="1"/>
        <v>3.4500000000000003E-2</v>
      </c>
      <c r="D141" s="6">
        <f ca="1"/>
        <v>1.3550847457627122</v>
      </c>
      <c r="E141" s="6">
        <f ca="1"/>
        <v>61.016949152542374</v>
      </c>
      <c r="F141" s="6">
        <f ca="1"/>
        <v>0</v>
      </c>
      <c r="G141" s="42">
        <f ca="1"/>
        <v>0</v>
      </c>
      <c r="H141" s="6">
        <f ca="1"/>
        <v>4.6917089372239111</v>
      </c>
      <c r="J141" s="6">
        <f ca="1"/>
        <v>1.3193562606824758</v>
      </c>
      <c r="K141" s="6">
        <f ca="1"/>
        <v>75.639717557285053</v>
      </c>
      <c r="L141" s="6">
        <f ca="1"/>
        <v>530.65803880306953</v>
      </c>
      <c r="M141" s="42">
        <f ca="1"/>
        <v>-221573.52131068081</v>
      </c>
      <c r="N141" s="6">
        <f ca="1"/>
        <v>15.073010499729747</v>
      </c>
      <c r="P141" s="6">
        <f ca="1"/>
        <v>1.3193562606824758</v>
      </c>
      <c r="Q141" s="6">
        <f ca="1"/>
        <v>75.639717557285053</v>
      </c>
      <c r="R141" s="6">
        <f ca="1"/>
        <v>530.65803880306953</v>
      </c>
      <c r="S141" s="42">
        <f ca="1"/>
        <v>-221573.52131068081</v>
      </c>
      <c r="T141" s="6">
        <f ca="1"/>
        <v>15.073010499729747</v>
      </c>
    </row>
    <row r="142" spans="1:20">
      <c r="A142" s="43">
        <f ca="1"/>
        <v>140</v>
      </c>
      <c r="B142" s="4">
        <f ca="1"/>
        <v>3.4750000000000003E-2</v>
      </c>
      <c r="D142" s="6">
        <f ca="1"/>
        <v>1.3703389830508477</v>
      </c>
      <c r="E142" s="6">
        <f ca="1"/>
        <v>61.016949152542374</v>
      </c>
      <c r="F142" s="6">
        <f ca="1"/>
        <v>0</v>
      </c>
      <c r="G142" s="42">
        <f ca="1"/>
        <v>0</v>
      </c>
      <c r="H142" s="6">
        <f ca="1"/>
        <v>4.2611484132203987</v>
      </c>
      <c r="J142" s="6">
        <f ca="1"/>
        <v>1.3382821957464901</v>
      </c>
      <c r="K142" s="6">
        <f ca="1"/>
        <v>75.765451932415019</v>
      </c>
      <c r="L142" s="6">
        <f ca="1"/>
        <v>475.193758661152</v>
      </c>
      <c r="M142" s="42">
        <f ca="1"/>
        <v>-222130.40712440526</v>
      </c>
      <c r="N142" s="6">
        <f ca="1"/>
        <v>13.646657066337287</v>
      </c>
      <c r="P142" s="6">
        <f ca="1"/>
        <v>1.3382821957464901</v>
      </c>
      <c r="Q142" s="6">
        <f ca="1"/>
        <v>75.765451932415019</v>
      </c>
      <c r="R142" s="6">
        <f ca="1"/>
        <v>475.193758661152</v>
      </c>
      <c r="S142" s="42">
        <f ca="1"/>
        <v>-222130.40712440526</v>
      </c>
      <c r="T142" s="6">
        <f ca="1"/>
        <v>13.646657066337287</v>
      </c>
    </row>
    <row r="143" spans="1:20">
      <c r="A143" s="43">
        <f ca="1"/>
        <v>141</v>
      </c>
      <c r="B143" s="4">
        <f ca="1"/>
        <v>3.5000000000000003E-2</v>
      </c>
      <c r="D143" s="6">
        <f ca="1"/>
        <v>1.3855932203389834</v>
      </c>
      <c r="E143" s="6">
        <f ca="1"/>
        <v>61.016949152542374</v>
      </c>
      <c r="F143" s="6">
        <f ca="1"/>
        <v>0</v>
      </c>
      <c r="G143" s="42">
        <f ca="1"/>
        <v>0</v>
      </c>
      <c r="H143" s="6">
        <f ca="1"/>
        <v>3.8236206859473474</v>
      </c>
      <c r="J143" s="6">
        <f ca="1"/>
        <v>1.3572378297355931</v>
      </c>
      <c r="K143" s="6">
        <f ca="1"/>
        <v>75.877303479371605</v>
      </c>
      <c r="L143" s="6">
        <f ca="1"/>
        <v>419.59799159099396</v>
      </c>
      <c r="M143" s="42">
        <f ca="1"/>
        <v>-222625.41673660476</v>
      </c>
      <c r="N143" s="6">
        <f ca="1"/>
        <v>12.190201465816699</v>
      </c>
      <c r="P143" s="6">
        <f ca="1"/>
        <v>1.3572378297355931</v>
      </c>
      <c r="Q143" s="6">
        <f ca="1"/>
        <v>75.877303479371605</v>
      </c>
      <c r="R143" s="6">
        <f ca="1"/>
        <v>419.59799159099396</v>
      </c>
      <c r="S143" s="42">
        <f ca="1"/>
        <v>-222625.41673660476</v>
      </c>
      <c r="T143" s="6">
        <f ca="1"/>
        <v>12.190201465816699</v>
      </c>
    </row>
    <row r="144" spans="1:20">
      <c r="A144" s="43">
        <f ca="1"/>
        <v>142</v>
      </c>
      <c r="B144" s="4">
        <f ca="1"/>
        <v>3.5250000000000004E-2</v>
      </c>
      <c r="D144" s="6">
        <f ca="1"/>
        <v>1.400847457627119</v>
      </c>
      <c r="E144" s="6">
        <f ca="1"/>
        <v>61.016949152542374</v>
      </c>
      <c r="F144" s="6">
        <f ca="1"/>
        <v>0</v>
      </c>
      <c r="G144" s="42">
        <f ca="1"/>
        <v>0</v>
      </c>
      <c r="H144" s="6">
        <f ca="1"/>
        <v>3.3952936878881639</v>
      </c>
      <c r="J144" s="6">
        <f ca="1"/>
        <v>1.3762196879949107</v>
      </c>
      <c r="K144" s="6">
        <f ca="1"/>
        <v>75.97524126005402</v>
      </c>
      <c r="L144" s="6">
        <f ca="1"/>
        <v>363.88620664297662</v>
      </c>
      <c r="M144" s="42">
        <f ca="1"/>
        <v>-223058.55014727931</v>
      </c>
      <c r="N144" s="6">
        <f ca="1"/>
        <v>10.720552384393393</v>
      </c>
      <c r="P144" s="6">
        <f ca="1"/>
        <v>1.3762196879949107</v>
      </c>
      <c r="Q144" s="6">
        <f ca="1"/>
        <v>75.97524126005402</v>
      </c>
      <c r="R144" s="6">
        <f ca="1"/>
        <v>363.88620664297662</v>
      </c>
      <c r="S144" s="42">
        <f ca="1"/>
        <v>-223058.55014727931</v>
      </c>
      <c r="T144" s="6">
        <f ca="1"/>
        <v>10.720552384393393</v>
      </c>
    </row>
    <row r="145" spans="1:20">
      <c r="A145" s="43">
        <f ca="1"/>
        <v>143</v>
      </c>
      <c r="B145" s="4">
        <f ca="1"/>
        <v>3.5500000000000004E-2</v>
      </c>
      <c r="D145" s="6">
        <f ca="1"/>
        <v>1.4161016949152545</v>
      </c>
      <c r="E145" s="6">
        <f ca="1"/>
        <v>61.016949152542374</v>
      </c>
      <c r="F145" s="6">
        <f ca="1"/>
        <v>0</v>
      </c>
      <c r="G145" s="42">
        <f ca="1"/>
        <v>0</v>
      </c>
      <c r="H145" s="6">
        <f ca="1"/>
        <v>2.9580291880405802</v>
      </c>
      <c r="J145" s="6">
        <f ca="1"/>
        <v>1.3952242886184518</v>
      </c>
      <c r="K145" s="6">
        <f ca="1"/>
        <v>76.059238203624133</v>
      </c>
      <c r="L145" s="6">
        <f ca="1"/>
        <v>308.07387286748127</v>
      </c>
      <c r="M145" s="42">
        <f ca="1"/>
        <v>-223429.80735642897</v>
      </c>
      <c r="N145" s="6">
        <f ca="1"/>
        <v>9.2369855256752498</v>
      </c>
      <c r="P145" s="6">
        <f ca="1"/>
        <v>1.3952242886184518</v>
      </c>
      <c r="Q145" s="6">
        <f ca="1"/>
        <v>76.059238203624133</v>
      </c>
      <c r="R145" s="6">
        <f ca="1"/>
        <v>308.07387286748127</v>
      </c>
      <c r="S145" s="42">
        <f ca="1"/>
        <v>-223429.80735642897</v>
      </c>
      <c r="T145" s="6">
        <f ca="1"/>
        <v>9.2369855256752498</v>
      </c>
    </row>
    <row r="146" spans="1:20">
      <c r="A146" s="43">
        <f ca="1"/>
        <v>144</v>
      </c>
      <c r="B146" s="4">
        <f ca="1"/>
        <v>3.5750000000000004E-2</v>
      </c>
      <c r="D146" s="6">
        <f ca="1"/>
        <v>1.4313559322033902</v>
      </c>
      <c r="E146" s="6">
        <f ca="1"/>
        <v>61.016949152542374</v>
      </c>
      <c r="F146" s="6">
        <f ca="1"/>
        <v>0</v>
      </c>
      <c r="G146" s="42">
        <f ca="1"/>
        <v>0</v>
      </c>
      <c r="H146" s="6">
        <f ca="1"/>
        <v>2.5167497536072316</v>
      </c>
      <c r="J146" s="6">
        <f ca="1"/>
        <v>1.4142481434159231</v>
      </c>
      <c r="K146" s="6">
        <f ca="1"/>
        <v>76.129271106506337</v>
      </c>
      <c r="L146" s="6">
        <f ca="1"/>
        <v>252.17645931488914</v>
      </c>
      <c r="M146" s="42">
        <f ca="1"/>
        <v>-223739.18836405364</v>
      </c>
      <c r="N146" s="6">
        <f ca="1"/>
        <v>7.7213489585575878</v>
      </c>
      <c r="P146" s="6">
        <f ca="1"/>
        <v>1.4142481434159231</v>
      </c>
      <c r="Q146" s="6">
        <f ca="1"/>
        <v>76.129271106506337</v>
      </c>
      <c r="R146" s="6">
        <f ca="1"/>
        <v>252.17645931488914</v>
      </c>
      <c r="S146" s="42">
        <f ca="1"/>
        <v>-223739.18836405364</v>
      </c>
      <c r="T146" s="6">
        <f ca="1"/>
        <v>7.7213489585575878</v>
      </c>
    </row>
    <row r="147" spans="1:20">
      <c r="A147" s="43">
        <f ca="1"/>
        <v>145</v>
      </c>
      <c r="B147" s="4">
        <f ca="1"/>
        <v>3.6000000000000004E-2</v>
      </c>
      <c r="D147" s="6">
        <f ca="1"/>
        <v>1.4466101694915259</v>
      </c>
      <c r="E147" s="6">
        <f ca="1"/>
        <v>61.016949152542374</v>
      </c>
      <c r="F147" s="6">
        <f ca="1"/>
        <v>0</v>
      </c>
      <c r="G147" s="42">
        <f ca="1"/>
        <v>0</v>
      </c>
      <c r="H147" s="6">
        <f ca="1"/>
        <v>2.0786427767351117</v>
      </c>
      <c r="J147" s="6">
        <f ca="1"/>
        <v>1.4332877588795458</v>
      </c>
      <c r="K147" s="6">
        <f ca="1"/>
        <v>76.185320632387686</v>
      </c>
      <c r="L147" s="6">
        <f ca="1"/>
        <v>196.20943503558146</v>
      </c>
      <c r="M147" s="42">
        <f ca="1"/>
        <v>-223986.69317015342</v>
      </c>
      <c r="N147" s="6">
        <f ca="1"/>
        <v>6.2103496819340167</v>
      </c>
      <c r="P147" s="6">
        <f ca="1"/>
        <v>1.4332877588795458</v>
      </c>
      <c r="Q147" s="6">
        <f ca="1"/>
        <v>76.185320632387686</v>
      </c>
      <c r="R147" s="6">
        <f ca="1"/>
        <v>196.20943503558146</v>
      </c>
      <c r="S147" s="42">
        <f ca="1"/>
        <v>-223986.69317015342</v>
      </c>
      <c r="T147" s="6">
        <f ca="1"/>
        <v>6.2103496819340167</v>
      </c>
    </row>
    <row r="148" spans="1:20">
      <c r="A148" s="43">
        <f ca="1"/>
        <v>146</v>
      </c>
      <c r="B148" s="4">
        <f ca="1"/>
        <v>3.6249999999999998E-2</v>
      </c>
      <c r="D148" s="6">
        <f ca="1"/>
        <v>1.4618644067796609</v>
      </c>
      <c r="E148" s="6">
        <f ca="1"/>
        <v>61.016949152542374</v>
      </c>
      <c r="F148" s="6">
        <f ca="1"/>
        <v>0</v>
      </c>
      <c r="G148" s="42">
        <f ca="1"/>
        <v>0</v>
      </c>
      <c r="H148" s="6">
        <f ca="1"/>
        <v>1.6365127729845512</v>
      </c>
      <c r="J148" s="6">
        <f ca="1"/>
        <v>1.4523396371508697</v>
      </c>
      <c r="K148" s="6">
        <f ca="1"/>
        <v>76.22737131221777</v>
      </c>
      <c r="L148" s="6">
        <f ca="1"/>
        <v>140.18826907994128</v>
      </c>
      <c r="M148" s="42">
        <f ca="1"/>
        <v>-224172.32177472822</v>
      </c>
      <c r="N148" s="6">
        <f ca="1"/>
        <v>4.6569058282739313</v>
      </c>
      <c r="P148" s="6">
        <f ca="1"/>
        <v>1.4523396371508697</v>
      </c>
      <c r="Q148" s="6">
        <f ca="1"/>
        <v>76.22737131221777</v>
      </c>
      <c r="R148" s="6">
        <f ca="1"/>
        <v>140.18826907994128</v>
      </c>
      <c r="S148" s="42">
        <f ca="1"/>
        <v>-224172.32177472822</v>
      </c>
      <c r="T148" s="6">
        <f ca="1"/>
        <v>4.6569058282739313</v>
      </c>
    </row>
    <row r="149" spans="1:20">
      <c r="A149" s="43">
        <f ca="1"/>
        <v>147</v>
      </c>
      <c r="B149" s="4">
        <f ca="1"/>
        <v>3.6499999999999998E-2</v>
      </c>
      <c r="D149" s="6">
        <f ca="1"/>
        <v>1.4771186440677964</v>
      </c>
      <c r="E149" s="6">
        <f ca="1"/>
        <v>61.016949152542374</v>
      </c>
      <c r="F149" s="6">
        <f ca="1"/>
        <v>0</v>
      </c>
      <c r="G149" s="42">
        <f ca="1"/>
        <v>0</v>
      </c>
      <c r="H149" s="6">
        <f ca="1"/>
        <v>1.1930988153129261</v>
      </c>
      <c r="J149" s="6">
        <f ca="1"/>
        <v>1.4714002769875918</v>
      </c>
      <c r="K149" s="6">
        <f ca="1"/>
        <v>76.255411544208826</v>
      </c>
      <c r="L149" s="6">
        <f ca="1"/>
        <v>84.128430498346191</v>
      </c>
      <c r="M149" s="42">
        <f ca="1"/>
        <v>-224296.07417777812</v>
      </c>
      <c r="N149" s="6">
        <f ca="1"/>
        <v>3.1127316471567026</v>
      </c>
      <c r="P149" s="6">
        <f ca="1"/>
        <v>1.4714002769875918</v>
      </c>
      <c r="Q149" s="6">
        <f ca="1"/>
        <v>76.255411544208826</v>
      </c>
      <c r="R149" s="6">
        <f ca="1"/>
        <v>84.128430498346191</v>
      </c>
      <c r="S149" s="42">
        <f ca="1"/>
        <v>-224296.07417777812</v>
      </c>
      <c r="T149" s="6">
        <f ca="1"/>
        <v>3.1127316471567026</v>
      </c>
    </row>
    <row r="150" spans="1:20">
      <c r="A150" s="43">
        <f ca="1"/>
        <v>148</v>
      </c>
      <c r="B150" s="4">
        <f ca="1"/>
        <v>3.6749999999999998E-2</v>
      </c>
      <c r="D150" s="6">
        <f ca="1"/>
        <v>1.492372881355932</v>
      </c>
      <c r="E150" s="6">
        <f ca="1"/>
        <v>61.016949152542374</v>
      </c>
      <c r="F150" s="6">
        <f ca="1"/>
        <v>0</v>
      </c>
      <c r="G150" s="42">
        <f ca="1"/>
        <v>0</v>
      </c>
      <c r="H150" s="6">
        <f ca="1"/>
        <v>0.74706614361298962</v>
      </c>
      <c r="J150" s="6">
        <f ca="1"/>
        <v>1.490466174730368</v>
      </c>
      <c r="K150" s="6">
        <f ca="1"/>
        <v>76.269433593835657</v>
      </c>
      <c r="L150" s="6">
        <f ca="1"/>
        <v>28.045388341179244</v>
      </c>
      <c r="M150" s="42">
        <f ca="1"/>
        <v>-224357.95037930307</v>
      </c>
      <c r="N150" s="6">
        <f ca="1"/>
        <v>1.5749046310330517</v>
      </c>
      <c r="P150" s="6">
        <f ca="1"/>
        <v>1.490466174730368</v>
      </c>
      <c r="Q150" s="6">
        <f ca="1"/>
        <v>76.269433593835657</v>
      </c>
      <c r="R150" s="6">
        <f ca="1"/>
        <v>28.045388341179244</v>
      </c>
      <c r="S150" s="42">
        <f ca="1"/>
        <v>-224357.95037930307</v>
      </c>
      <c r="T150" s="6">
        <f ca="1"/>
        <v>1.5749046310330517</v>
      </c>
    </row>
    <row r="151" spans="1:20">
      <c r="A151" s="43">
        <f ca="1"/>
        <v>149</v>
      </c>
      <c r="B151" s="4">
        <f ca="1"/>
        <v>3.6999999999999998E-2</v>
      </c>
      <c r="D151" s="6">
        <f ca="1"/>
        <v>1.5076271186440677</v>
      </c>
      <c r="E151" s="6">
        <f ca="1"/>
        <v>61.016949152542374</v>
      </c>
      <c r="F151" s="6">
        <f ca="1"/>
        <v>0</v>
      </c>
      <c r="G151" s="42">
        <f ca="1"/>
        <v>0</v>
      </c>
      <c r="H151" s="6">
        <f ca="1"/>
        <v>0.29427204560685633</v>
      </c>
      <c r="J151" s="6">
        <f ca="1"/>
        <v>1.5095338252696318</v>
      </c>
      <c r="K151" s="6">
        <f ca="1"/>
        <v>76.269433593835657</v>
      </c>
      <c r="L151" s="6">
        <f ca="1"/>
        <v>-28.045388341178324</v>
      </c>
      <c r="M151" s="42">
        <f ca="1"/>
        <v>-224357.95037930307</v>
      </c>
      <c r="N151" s="6">
        <f ca="1"/>
        <v>3.2689004226648111E-3</v>
      </c>
      <c r="P151" s="6">
        <f ca="1"/>
        <v>1.5095338252696318</v>
      </c>
      <c r="Q151" s="6">
        <f ca="1"/>
        <v>76.269433593835657</v>
      </c>
      <c r="R151" s="6">
        <f ca="1"/>
        <v>-28.045388341178324</v>
      </c>
      <c r="S151" s="42">
        <f ca="1"/>
        <v>-224357.95037930307</v>
      </c>
      <c r="T151" s="6">
        <f ca="1"/>
        <v>3.2689004226648111E-3</v>
      </c>
    </row>
    <row r="152" spans="1:20">
      <c r="A152" s="43">
        <f ca="1"/>
        <v>150</v>
      </c>
      <c r="B152" s="4">
        <f ca="1"/>
        <v>3.7249999999999998E-2</v>
      </c>
      <c r="D152" s="6">
        <f ca="1"/>
        <v>1.5228813559322036</v>
      </c>
      <c r="E152" s="6">
        <f ca="1"/>
        <v>61.016949152542374</v>
      </c>
      <c r="F152" s="6">
        <f ca="1"/>
        <v>0</v>
      </c>
      <c r="G152" s="42">
        <f ca="1"/>
        <v>0</v>
      </c>
      <c r="H152" s="6">
        <f ca="1"/>
        <v>-0.15383284176578566</v>
      </c>
      <c r="J152" s="6">
        <f ca="1"/>
        <v>1.5285997230124082</v>
      </c>
      <c r="K152" s="6">
        <f ca="1"/>
        <v>76.255411544208826</v>
      </c>
      <c r="L152" s="6">
        <f ca="1"/>
        <v>-84.128430498346191</v>
      </c>
      <c r="M152" s="42">
        <f ca="1"/>
        <v>-224296.07417777812</v>
      </c>
      <c r="N152" s="6">
        <f ca="1"/>
        <v>-1.5495714830420511</v>
      </c>
      <c r="P152" s="6">
        <f ca="1"/>
        <v>1.5285997230124082</v>
      </c>
      <c r="Q152" s="6">
        <f ca="1"/>
        <v>76.255411544208826</v>
      </c>
      <c r="R152" s="6">
        <f ca="1"/>
        <v>-84.128430498346191</v>
      </c>
      <c r="S152" s="42">
        <f ca="1"/>
        <v>-224296.07417777812</v>
      </c>
      <c r="T152" s="6">
        <f ca="1"/>
        <v>-1.5495714830420511</v>
      </c>
    </row>
    <row r="153" spans="1:20">
      <c r="A153" s="43">
        <f ca="1"/>
        <v>151</v>
      </c>
      <c r="B153" s="4">
        <f ca="1"/>
        <v>3.7499999999999999E-2</v>
      </c>
      <c r="D153" s="6">
        <f ca="1"/>
        <v>1.5381355932203389</v>
      </c>
      <c r="E153" s="6">
        <f ca="1"/>
        <v>61.016949152542374</v>
      </c>
      <c r="F153" s="6">
        <f ca="1"/>
        <v>0</v>
      </c>
      <c r="G153" s="42">
        <f ca="1"/>
        <v>0</v>
      </c>
      <c r="H153" s="6">
        <f ca="1"/>
        <v>-0.59976443510651001</v>
      </c>
      <c r="J153" s="6">
        <f ca="1"/>
        <v>1.5476603628491299</v>
      </c>
      <c r="K153" s="6">
        <f ca="1"/>
        <v>76.22737131221777</v>
      </c>
      <c r="L153" s="6">
        <f ca="1"/>
        <v>-140.18826907994037</v>
      </c>
      <c r="M153" s="42">
        <f ca="1"/>
        <v>-224172.32177472825</v>
      </c>
      <c r="N153" s="6">
        <f ca="1"/>
        <v>-3.0911929237624114</v>
      </c>
      <c r="P153" s="6">
        <f ca="1"/>
        <v>1.5476603628491299</v>
      </c>
      <c r="Q153" s="6">
        <f ca="1"/>
        <v>76.22737131221777</v>
      </c>
      <c r="R153" s="6">
        <f ca="1"/>
        <v>-140.18826907994037</v>
      </c>
      <c r="S153" s="42">
        <f ca="1"/>
        <v>-224172.32177472825</v>
      </c>
      <c r="T153" s="6">
        <f ca="1"/>
        <v>-3.0911929237624114</v>
      </c>
    </row>
    <row r="154" spans="1:20">
      <c r="A154" s="43">
        <f ca="1"/>
        <v>152</v>
      </c>
      <c r="B154" s="4">
        <f ca="1"/>
        <v>3.7749999999999999E-2</v>
      </c>
      <c r="D154" s="6">
        <f ca="1"/>
        <v>1.5533898305084748</v>
      </c>
      <c r="E154" s="6">
        <f ca="1"/>
        <v>61.016949152542374</v>
      </c>
      <c r="F154" s="6">
        <f ca="1"/>
        <v>0</v>
      </c>
      <c r="G154" s="42">
        <f ca="1"/>
        <v>0</v>
      </c>
      <c r="H154" s="6">
        <f ca="1"/>
        <v>-1.0455739306750902</v>
      </c>
      <c r="J154" s="6">
        <f ca="1"/>
        <v>1.5667122411204548</v>
      </c>
      <c r="K154" s="6">
        <f ca="1"/>
        <v>76.185320632387686</v>
      </c>
      <c r="L154" s="6">
        <f ca="1"/>
        <v>-196.20943503558331</v>
      </c>
      <c r="M154" s="42">
        <f ca="1"/>
        <v>-223986.69317015339</v>
      </c>
      <c r="N154" s="6">
        <f ca="1"/>
        <v>-4.6530460858148253</v>
      </c>
      <c r="P154" s="6">
        <f ca="1"/>
        <v>1.5667122411204548</v>
      </c>
      <c r="Q154" s="6">
        <f ca="1"/>
        <v>76.185320632387686</v>
      </c>
      <c r="R154" s="6">
        <f ca="1"/>
        <v>-196.20943503558331</v>
      </c>
      <c r="S154" s="42">
        <f ca="1"/>
        <v>-223986.69317015339</v>
      </c>
      <c r="T154" s="6">
        <f ca="1"/>
        <v>-4.6530460858148253</v>
      </c>
    </row>
    <row r="155" spans="1:20">
      <c r="A155" s="43">
        <f ca="1"/>
        <v>153</v>
      </c>
      <c r="B155" s="4">
        <f ca="1"/>
        <v>3.7999999999999999E-2</v>
      </c>
      <c r="D155" s="6">
        <f ca="1"/>
        <v>1.56864406779661</v>
      </c>
      <c r="E155" s="6">
        <f ca="1"/>
        <v>61.016949152542374</v>
      </c>
      <c r="F155" s="6">
        <f ca="1"/>
        <v>0</v>
      </c>
      <c r="G155" s="42">
        <f ca="1"/>
        <v>0</v>
      </c>
      <c r="H155" s="6">
        <f ca="1"/>
        <v>-1.4868663000582294</v>
      </c>
      <c r="J155" s="6">
        <f ca="1"/>
        <v>1.5857518565840771</v>
      </c>
      <c r="K155" s="6">
        <f ca="1"/>
        <v>76.129271106506337</v>
      </c>
      <c r="L155" s="6">
        <f ca="1"/>
        <v>-252.17645931489008</v>
      </c>
      <c r="M155" s="42">
        <f ca="1"/>
        <v>-223739.18836405364</v>
      </c>
      <c r="N155" s="6">
        <f ca="1"/>
        <v>-6.1867512592907694</v>
      </c>
      <c r="P155" s="6">
        <f ca="1"/>
        <v>1.5857518565840771</v>
      </c>
      <c r="Q155" s="6">
        <f ca="1"/>
        <v>76.129271106506337</v>
      </c>
      <c r="R155" s="6">
        <f ca="1"/>
        <v>-252.17645931489008</v>
      </c>
      <c r="S155" s="42">
        <f ca="1"/>
        <v>-223739.18836405364</v>
      </c>
      <c r="T155" s="6">
        <f ca="1"/>
        <v>-6.1867512592907694</v>
      </c>
    </row>
    <row r="156" spans="1:20">
      <c r="A156" s="43">
        <f ca="1"/>
        <v>154</v>
      </c>
      <c r="B156" s="4">
        <f ca="1"/>
        <v>3.8249999999999999E-2</v>
      </c>
      <c r="D156" s="6">
        <f ca="1"/>
        <v>1.5838983050847459</v>
      </c>
      <c r="E156" s="6">
        <f ca="1"/>
        <v>61.016949152542374</v>
      </c>
      <c r="F156" s="6">
        <f ca="1"/>
        <v>0</v>
      </c>
      <c r="G156" s="42">
        <f ca="1"/>
        <v>0</v>
      </c>
      <c r="H156" s="6">
        <f ca="1"/>
        <v>-1.9328616772887197</v>
      </c>
      <c r="J156" s="6">
        <f ca="1"/>
        <v>1.6047757113815488</v>
      </c>
      <c r="K156" s="6">
        <f ca="1"/>
        <v>76.059238203624133</v>
      </c>
      <c r="L156" s="6">
        <f ca="1"/>
        <v>-308.07387286748309</v>
      </c>
      <c r="M156" s="42">
        <f ca="1"/>
        <v>-223429.80735642897</v>
      </c>
      <c r="N156" s="6">
        <f ca="1"/>
        <v>-7.710299851413752</v>
      </c>
      <c r="P156" s="6">
        <f ca="1"/>
        <v>1.6047757113815488</v>
      </c>
      <c r="Q156" s="6">
        <f ca="1"/>
        <v>76.059238203624133</v>
      </c>
      <c r="R156" s="6">
        <f ca="1"/>
        <v>-308.07387286748309</v>
      </c>
      <c r="S156" s="42">
        <f ca="1"/>
        <v>-223429.80735642897</v>
      </c>
      <c r="T156" s="6">
        <f ca="1"/>
        <v>-7.710299851413752</v>
      </c>
    </row>
    <row r="157" spans="1:20">
      <c r="A157" s="43">
        <f ca="1"/>
        <v>155</v>
      </c>
      <c r="B157" s="4">
        <f ca="1"/>
        <v>3.85E-2</v>
      </c>
      <c r="D157" s="6">
        <f ca="1"/>
        <v>1.5991525423728814</v>
      </c>
      <c r="E157" s="6">
        <f ca="1"/>
        <v>61.016949152542374</v>
      </c>
      <c r="F157" s="6">
        <f ca="1"/>
        <v>0</v>
      </c>
      <c r="G157" s="42">
        <f ca="1"/>
        <v>0</v>
      </c>
      <c r="H157" s="6">
        <f ca="1"/>
        <v>-2.3747902488732588</v>
      </c>
      <c r="J157" s="6">
        <f ca="1"/>
        <v>1.6237803120050895</v>
      </c>
      <c r="K157" s="6">
        <f ca="1"/>
        <v>75.97524126005402</v>
      </c>
      <c r="L157" s="6">
        <f ca="1"/>
        <v>-363.88620664297753</v>
      </c>
      <c r="M157" s="42">
        <f ca="1"/>
        <v>-223058.55014727931</v>
      </c>
      <c r="N157" s="6">
        <f ca="1"/>
        <v>-9.225330873686886</v>
      </c>
      <c r="P157" s="6">
        <f ca="1"/>
        <v>1.6237803120050895</v>
      </c>
      <c r="Q157" s="6">
        <f ca="1"/>
        <v>75.97524126005402</v>
      </c>
      <c r="R157" s="6">
        <f ca="1"/>
        <v>-363.88620664297753</v>
      </c>
      <c r="S157" s="42">
        <f ca="1"/>
        <v>-223058.55014727931</v>
      </c>
      <c r="T157" s="6">
        <f ca="1"/>
        <v>-9.225330873686886</v>
      </c>
    </row>
    <row r="158" spans="1:20">
      <c r="A158" s="43">
        <f ca="1"/>
        <v>156</v>
      </c>
      <c r="B158" s="4">
        <f ca="1"/>
        <v>3.875E-2</v>
      </c>
      <c r="D158" s="6">
        <f ca="1"/>
        <v>1.6144067796610171</v>
      </c>
      <c r="E158" s="6">
        <f ca="1"/>
        <v>61.016949152542374</v>
      </c>
      <c r="F158" s="6">
        <f ca="1"/>
        <v>0</v>
      </c>
      <c r="G158" s="42">
        <f ca="1"/>
        <v>0</v>
      </c>
      <c r="H158" s="6">
        <f ca="1"/>
        <v>-2.8193275393719026</v>
      </c>
      <c r="J158" s="6">
        <f ca="1"/>
        <v>1.6427621702644075</v>
      </c>
      <c r="K158" s="6">
        <f ca="1"/>
        <v>75.877303479371605</v>
      </c>
      <c r="L158" s="6">
        <f ca="1"/>
        <v>-419.59799159099578</v>
      </c>
      <c r="M158" s="42">
        <f ca="1"/>
        <v>-222625.41673660476</v>
      </c>
      <c r="N158" s="6">
        <f ca="1"/>
        <v>-10.727299193090527</v>
      </c>
      <c r="P158" s="6">
        <f ca="1"/>
        <v>1.6427621702644075</v>
      </c>
      <c r="Q158" s="6">
        <f ca="1"/>
        <v>75.877303479371605</v>
      </c>
      <c r="R158" s="6">
        <f ca="1"/>
        <v>-419.59799159099578</v>
      </c>
      <c r="S158" s="42">
        <f ca="1"/>
        <v>-222625.41673660476</v>
      </c>
      <c r="T158" s="6">
        <f ca="1"/>
        <v>-10.727299193090527</v>
      </c>
    </row>
    <row r="159" spans="1:20">
      <c r="A159" s="43">
        <f ca="1"/>
        <v>157</v>
      </c>
      <c r="B159" s="4">
        <f ca="1"/>
        <v>3.9E-2</v>
      </c>
      <c r="D159" s="6">
        <f ca="1"/>
        <v>1.6296610169491526</v>
      </c>
      <c r="E159" s="6">
        <f ca="1"/>
        <v>61.016949152542374</v>
      </c>
      <c r="F159" s="6">
        <f ca="1"/>
        <v>0</v>
      </c>
      <c r="G159" s="42">
        <f ca="1"/>
        <v>0</v>
      </c>
      <c r="H159" s="6">
        <f ca="1"/>
        <v>-3.2603030672810158</v>
      </c>
      <c r="J159" s="6">
        <f ca="1"/>
        <v>1.6617178042535101</v>
      </c>
      <c r="K159" s="6">
        <f ca="1"/>
        <v>75.765451932415019</v>
      </c>
      <c r="L159" s="6">
        <f ca="1"/>
        <v>-475.19375866115291</v>
      </c>
      <c r="M159" s="42">
        <f ca="1"/>
        <v>-222130.40712440526</v>
      </c>
      <c r="N159" s="6">
        <f ca="1"/>
        <v>-12.207931579743587</v>
      </c>
      <c r="P159" s="6">
        <f ca="1"/>
        <v>1.6617178042535101</v>
      </c>
      <c r="Q159" s="6">
        <f ca="1"/>
        <v>75.765451932415019</v>
      </c>
      <c r="R159" s="6">
        <f ca="1"/>
        <v>-475.19375866115291</v>
      </c>
      <c r="S159" s="42">
        <f ca="1"/>
        <v>-222130.40712440526</v>
      </c>
      <c r="T159" s="6">
        <f ca="1"/>
        <v>-12.207931579743587</v>
      </c>
    </row>
    <row r="160" spans="1:20">
      <c r="A160" s="43">
        <f ca="1"/>
        <v>158</v>
      </c>
      <c r="B160" s="4">
        <f ca="1"/>
        <v>3.925E-2</v>
      </c>
      <c r="D160" s="6">
        <f ca="1"/>
        <v>1.6449152542372882</v>
      </c>
      <c r="E160" s="6">
        <f ca="1"/>
        <v>61.016949152542374</v>
      </c>
      <c r="F160" s="6">
        <f ca="1"/>
        <v>0</v>
      </c>
      <c r="G160" s="42">
        <f ca="1"/>
        <v>0</v>
      </c>
      <c r="H160" s="6">
        <f ca="1"/>
        <v>-3.7015857297036323</v>
      </c>
      <c r="J160" s="6">
        <f ca="1"/>
        <v>1.6806437393175249</v>
      </c>
      <c r="K160" s="6">
        <f ca="1"/>
        <v>75.639717557285039</v>
      </c>
      <c r="L160" s="6">
        <f ca="1"/>
        <v>-530.65803880307146</v>
      </c>
      <c r="M160" s="42">
        <f ca="1"/>
        <v>-221573.52131068078</v>
      </c>
      <c r="N160" s="6">
        <f ca="1"/>
        <v>-13.653487325853256</v>
      </c>
      <c r="P160" s="6">
        <f ca="1"/>
        <v>1.6806437393175249</v>
      </c>
      <c r="Q160" s="6">
        <f ca="1"/>
        <v>75.639717557285039</v>
      </c>
      <c r="R160" s="6">
        <f ca="1"/>
        <v>-530.65803880307146</v>
      </c>
      <c r="S160" s="42">
        <f ca="1"/>
        <v>-221573.52131068078</v>
      </c>
      <c r="T160" s="6">
        <f ca="1"/>
        <v>-13.653487325853256</v>
      </c>
    </row>
    <row r="161" spans="1:20">
      <c r="A161" s="43">
        <f ca="1"/>
        <v>159</v>
      </c>
      <c r="B161" s="4">
        <f ca="1"/>
        <v>3.95E-2</v>
      </c>
      <c r="D161" s="6">
        <f ca="1"/>
        <v>1.6601694915254237</v>
      </c>
      <c r="E161" s="6">
        <f ca="1"/>
        <v>61.016949152542374</v>
      </c>
      <c r="F161" s="6">
        <f ca="1"/>
        <v>0</v>
      </c>
      <c r="G161" s="42">
        <f ca="1"/>
        <v>0</v>
      </c>
      <c r="H161" s="6">
        <f ca="1"/>
        <v>-4.1401795648380348</v>
      </c>
      <c r="J161" s="6">
        <f ca="1"/>
        <v>1.6995365090195094</v>
      </c>
      <c r="K161" s="6">
        <f ca="1"/>
        <v>75.500135159345035</v>
      </c>
      <c r="L161" s="6">
        <f ca="1"/>
        <v>-585.97536296636622</v>
      </c>
      <c r="M161" s="42">
        <f ca="1"/>
        <v>-220954.7592954314</v>
      </c>
      <c r="N161" s="6">
        <f ca="1"/>
        <v>-15.09558791906835</v>
      </c>
      <c r="P161" s="6">
        <f ca="1"/>
        <v>1.6995365090195094</v>
      </c>
      <c r="Q161" s="6">
        <f ca="1"/>
        <v>75.500135159345035</v>
      </c>
      <c r="R161" s="6">
        <f ca="1"/>
        <v>-585.97536296636622</v>
      </c>
      <c r="S161" s="42">
        <f ca="1"/>
        <v>-220954.7592954314</v>
      </c>
      <c r="T161" s="6">
        <f ca="1"/>
        <v>-15.09558791906835</v>
      </c>
    </row>
    <row r="162" spans="1:20">
      <c r="A162" s="43">
        <f ca="1"/>
        <v>160</v>
      </c>
      <c r="B162" s="4">
        <f ca="1"/>
        <v>3.9750000000000001E-2</v>
      </c>
      <c r="D162" s="6">
        <f ca="1"/>
        <v>1.6754237288135596</v>
      </c>
      <c r="E162" s="6">
        <f ca="1"/>
        <v>61.016949152542374</v>
      </c>
      <c r="F162" s="6">
        <f ca="1"/>
        <v>0</v>
      </c>
      <c r="G162" s="42">
        <f ca="1"/>
        <v>0</v>
      </c>
      <c r="H162" s="6">
        <f ca="1"/>
        <v>-4.5766289202287611</v>
      </c>
      <c r="J162" s="6">
        <f ca="1"/>
        <v>1.7183926561072731</v>
      </c>
      <c r="K162" s="6">
        <f ca="1"/>
        <v>75.346743411220942</v>
      </c>
      <c r="L162" s="6">
        <f ca="1"/>
        <v>-641.13026210065993</v>
      </c>
      <c r="M162" s="42">
        <f ca="1"/>
        <v>-220274.12107865704</v>
      </c>
      <c r="N162" s="6">
        <f ca="1"/>
        <v>-16.502890005753081</v>
      </c>
      <c r="P162" s="6">
        <f ca="1"/>
        <v>1.7183926561072731</v>
      </c>
      <c r="Q162" s="6">
        <f ca="1"/>
        <v>75.346743411220942</v>
      </c>
      <c r="R162" s="6">
        <f ca="1"/>
        <v>-641.13026210065993</v>
      </c>
      <c r="S162" s="42">
        <f ca="1"/>
        <v>-220274.12107865704</v>
      </c>
      <c r="T162" s="6">
        <f ca="1"/>
        <v>-16.502890005753081</v>
      </c>
    </row>
    <row r="163" spans="1:20">
      <c r="A163" s="43">
        <f ca="1"/>
        <v>161</v>
      </c>
      <c r="B163" s="4">
        <f ca="1"/>
        <v>0.04</v>
      </c>
      <c r="D163" s="6">
        <f ca="1"/>
        <v>1.6906779661016949</v>
      </c>
      <c r="E163" s="6">
        <f ca="1"/>
        <v>61.016949152542374</v>
      </c>
      <c r="F163" s="6">
        <f ca="1"/>
        <v>0</v>
      </c>
      <c r="G163" s="42">
        <f ca="1"/>
        <v>0</v>
      </c>
      <c r="H163" s="6">
        <f ca="1"/>
        <v>-5.0083435483389103</v>
      </c>
      <c r="J163" s="6">
        <f ca="1"/>
        <v>1.7372087334801862</v>
      </c>
      <c r="K163" s="6">
        <f ca="1"/>
        <v>75.179584852801327</v>
      </c>
      <c r="L163" s="6">
        <f ca="1"/>
        <v>-696.1072671555678</v>
      </c>
      <c r="M163" s="42">
        <f ca="1"/>
        <v>-219531.60666035776</v>
      </c>
      <c r="N163" s="6">
        <f ca="1"/>
        <v>-17.86422111780972</v>
      </c>
      <c r="P163" s="6">
        <f ca="1"/>
        <v>1.7372087334801862</v>
      </c>
      <c r="Q163" s="6">
        <f ca="1"/>
        <v>75.179584852801327</v>
      </c>
      <c r="R163" s="6">
        <f ca="1"/>
        <v>-696.1072671555678</v>
      </c>
      <c r="S163" s="42">
        <f ca="1"/>
        <v>-219531.60666035776</v>
      </c>
      <c r="T163" s="6">
        <f ca="1"/>
        <v>-17.86422111780972</v>
      </c>
    </row>
    <row r="164" spans="1:20">
      <c r="A164" s="43">
        <f ca="1"/>
        <v>162</v>
      </c>
      <c r="B164" s="4">
        <f ca="1"/>
        <v>4.0250000000000001E-2</v>
      </c>
      <c r="D164" s="6">
        <f ca="1"/>
        <v>1.7059322033898308</v>
      </c>
      <c r="E164" s="6">
        <f ca="1"/>
        <v>61.016949152542374</v>
      </c>
      <c r="F164" s="6">
        <f ca="1"/>
        <v>0</v>
      </c>
      <c r="G164" s="42">
        <f ca="1"/>
        <v>0</v>
      </c>
      <c r="H164" s="6">
        <f ca="1"/>
        <v>-5.4387726402033989</v>
      </c>
      <c r="J164" s="6">
        <f ca="1"/>
        <v>1.7559813051560025</v>
      </c>
      <c r="K164" s="6">
        <f ca="1"/>
        <v>74.998705891237307</v>
      </c>
      <c r="L164" s="6">
        <f ca="1"/>
        <v>-750.89090908071194</v>
      </c>
      <c r="M164" s="42">
        <f ca="1"/>
        <v>-218727.21604053353</v>
      </c>
      <c r="N164" s="6">
        <f ca="1"/>
        <v>-19.221794382861646</v>
      </c>
      <c r="P164" s="6">
        <f ca="1"/>
        <v>1.7559813051560025</v>
      </c>
      <c r="Q164" s="6">
        <f ca="1"/>
        <v>74.998705891237307</v>
      </c>
      <c r="R164" s="6">
        <f ca="1"/>
        <v>-750.89090908071194</v>
      </c>
      <c r="S164" s="42">
        <f ca="1"/>
        <v>-218727.21604053353</v>
      </c>
      <c r="T164" s="6">
        <f ca="1"/>
        <v>-19.221794382861646</v>
      </c>
    </row>
    <row r="165" spans="1:20">
      <c r="A165" s="43">
        <f ca="1"/>
        <v>163</v>
      </c>
      <c r="B165" s="4">
        <f ca="1"/>
        <v>4.0500000000000001E-2</v>
      </c>
      <c r="D165" s="6">
        <f ca="1"/>
        <v>1.721186440677966</v>
      </c>
      <c r="E165" s="6">
        <f ca="1"/>
        <v>61.016949152542374</v>
      </c>
      <c r="F165" s="6">
        <f ca="1"/>
        <v>0</v>
      </c>
      <c r="G165" s="42">
        <f ca="1"/>
        <v>0</v>
      </c>
      <c r="H165" s="6">
        <f ca="1"/>
        <v>-5.8656522583762785</v>
      </c>
      <c r="J165" s="6">
        <f ca="1"/>
        <v>1.7747069472376684</v>
      </c>
      <c r="K165" s="6">
        <f ca="1"/>
        <v>74.80415680094265</v>
      </c>
      <c r="L165" s="6">
        <f ca="1"/>
        <v>-805.46571882570754</v>
      </c>
      <c r="M165" s="42">
        <f ca="1"/>
        <v>-217860.9492191844</v>
      </c>
      <c r="N165" s="6">
        <f ca="1"/>
        <v>-20.523943362675951</v>
      </c>
      <c r="P165" s="6">
        <f ca="1"/>
        <v>1.7747069472376684</v>
      </c>
      <c r="Q165" s="6">
        <f ca="1"/>
        <v>74.80415680094265</v>
      </c>
      <c r="R165" s="6">
        <f ca="1"/>
        <v>-805.46571882570754</v>
      </c>
      <c r="S165" s="42">
        <f ca="1"/>
        <v>-217860.9492191844</v>
      </c>
      <c r="T165" s="6">
        <f ca="1"/>
        <v>-20.523943362675951</v>
      </c>
    </row>
    <row r="166" spans="1:20">
      <c r="A166" s="43">
        <f ca="1"/>
        <v>164</v>
      </c>
      <c r="B166" s="4">
        <f ca="1"/>
        <v>4.0750000000000001E-2</v>
      </c>
      <c r="D166" s="6">
        <f ca="1"/>
        <v>1.7364406779661019</v>
      </c>
      <c r="E166" s="6">
        <f ca="1"/>
        <v>61.016949152542374</v>
      </c>
      <c r="F166" s="6">
        <f ca="1"/>
        <v>0</v>
      </c>
      <c r="G166" s="42">
        <f ca="1"/>
        <v>0</v>
      </c>
      <c r="H166" s="6">
        <f ca="1"/>
        <v>-6.2863720863448327</v>
      </c>
      <c r="J166" s="6">
        <f ca="1"/>
        <v>1.7933822488801436</v>
      </c>
      <c r="K166" s="6">
        <f ca="1"/>
        <v>74.59599172359367</v>
      </c>
      <c r="L166" s="6">
        <f ca="1"/>
        <v>-859.81622734017708</v>
      </c>
      <c r="M166" s="42">
        <f ca="1"/>
        <v>-216932.8061963103</v>
      </c>
      <c r="N166" s="6">
        <f ca="1"/>
        <v>-21.792236095910056</v>
      </c>
      <c r="P166" s="6">
        <f ca="1"/>
        <v>1.7933822488801436</v>
      </c>
      <c r="Q166" s="6">
        <f ca="1"/>
        <v>74.59599172359367</v>
      </c>
      <c r="R166" s="6">
        <f ca="1"/>
        <v>-859.81622734017708</v>
      </c>
      <c r="S166" s="42">
        <f ca="1"/>
        <v>-216932.8061963103</v>
      </c>
      <c r="T166" s="6">
        <f ca="1"/>
        <v>-21.792236095910056</v>
      </c>
    </row>
    <row r="167" spans="1:20">
      <c r="A167" s="43">
        <f ca="1"/>
        <v>165</v>
      </c>
      <c r="B167" s="4">
        <f ca="1"/>
        <v>4.1000000000000002E-2</v>
      </c>
      <c r="D167" s="6">
        <f ca="1"/>
        <v>1.7516949152542374</v>
      </c>
      <c r="E167" s="6">
        <f ca="1"/>
        <v>61.016949152542374</v>
      </c>
      <c r="F167" s="6">
        <f ca="1"/>
        <v>0</v>
      </c>
      <c r="G167" s="42">
        <f ca="1"/>
        <v>0</v>
      </c>
      <c r="H167" s="6">
        <f ca="1"/>
        <v>-6.7087997185614237</v>
      </c>
      <c r="J167" s="6">
        <f ca="1"/>
        <v>1.8120038132572132</v>
      </c>
      <c r="K167" s="6">
        <f ca="1"/>
        <v>74.374268668129304</v>
      </c>
      <c r="L167" s="6">
        <f ca="1"/>
        <v>-913.92696557373563</v>
      </c>
      <c r="M167" s="42">
        <f ca="1"/>
        <v>-215942.78697191129</v>
      </c>
      <c r="N167" s="6">
        <f ca="1"/>
        <v>-23.016391482220968</v>
      </c>
      <c r="P167" s="6">
        <f ca="1"/>
        <v>1.8120038132572132</v>
      </c>
      <c r="Q167" s="6">
        <f ca="1"/>
        <v>74.374268668129304</v>
      </c>
      <c r="R167" s="6">
        <f ca="1"/>
        <v>-913.92696557373563</v>
      </c>
      <c r="S167" s="42">
        <f ca="1"/>
        <v>-215942.78697191129</v>
      </c>
      <c r="T167" s="6">
        <f ca="1"/>
        <v>-23.016391482220968</v>
      </c>
    </row>
    <row r="168" spans="1:20">
      <c r="A168" s="43">
        <f ca="1"/>
        <v>166</v>
      </c>
      <c r="B168" s="4">
        <f ca="1"/>
        <v>4.1250000000000002E-2</v>
      </c>
      <c r="D168" s="6">
        <f ca="1"/>
        <v>1.7669491525423733</v>
      </c>
      <c r="E168" s="6">
        <f ca="1"/>
        <v>61.016949152542374</v>
      </c>
      <c r="F168" s="6">
        <f ca="1"/>
        <v>0</v>
      </c>
      <c r="G168" s="42">
        <f ca="1"/>
        <v>0</v>
      </c>
      <c r="H168" s="6">
        <f ca="1"/>
        <v>-7.1253158508516785</v>
      </c>
      <c r="J168" s="6">
        <f ca="1"/>
        <v>1.8305682585283063</v>
      </c>
      <c r="K168" s="6">
        <f ca="1"/>
        <v>74.139049510751065</v>
      </c>
      <c r="L168" s="6">
        <f ca="1"/>
        <v>-967.78246447600566</v>
      </c>
      <c r="M168" s="42">
        <f ca="1"/>
        <v>-214890.89154598731</v>
      </c>
      <c r="N168" s="6">
        <f ca="1"/>
        <v>-24.211665405951948</v>
      </c>
      <c r="P168" s="6">
        <f ca="1"/>
        <v>1.8305682585283063</v>
      </c>
      <c r="Q168" s="6">
        <f ca="1"/>
        <v>74.139049510751065</v>
      </c>
      <c r="R168" s="6">
        <f ca="1"/>
        <v>-967.78246447600566</v>
      </c>
      <c r="S168" s="42">
        <f ca="1"/>
        <v>-214890.89154598731</v>
      </c>
      <c r="T168" s="6">
        <f ca="1"/>
        <v>-24.211665405951948</v>
      </c>
    </row>
    <row r="169" spans="1:20">
      <c r="A169" s="43">
        <f ca="1"/>
        <v>167</v>
      </c>
      <c r="B169" s="4">
        <f ca="1"/>
        <v>4.1500000000000002E-2</v>
      </c>
      <c r="D169" s="6">
        <f ca="1"/>
        <v>1.7822033898305085</v>
      </c>
      <c r="E169" s="6">
        <f ca="1"/>
        <v>61.016949152542374</v>
      </c>
      <c r="F169" s="6">
        <f ca="1"/>
        <v>0</v>
      </c>
      <c r="G169" s="42">
        <f ca="1"/>
        <v>0</v>
      </c>
      <c r="H169" s="6">
        <f ca="1"/>
        <v>-7.5404841971053793</v>
      </c>
      <c r="J169" s="6">
        <f ca="1"/>
        <v>1.8490722188053088</v>
      </c>
      <c r="K169" s="6">
        <f ca="1"/>
        <v>73.890399994923101</v>
      </c>
      <c r="L169" s="6">
        <f ca="1"/>
        <v>-1021.3672549966022</v>
      </c>
      <c r="M169" s="42">
        <f ca="1"/>
        <v>-213777.1199185384</v>
      </c>
      <c r="N169" s="6">
        <f ca="1"/>
        <v>-25.360330533110826</v>
      </c>
      <c r="P169" s="6">
        <f ca="1"/>
        <v>1.8490722188053088</v>
      </c>
      <c r="Q169" s="6">
        <f ca="1"/>
        <v>73.890399994923101</v>
      </c>
      <c r="R169" s="6">
        <f ca="1"/>
        <v>-1021.3672549966022</v>
      </c>
      <c r="S169" s="42">
        <f ca="1"/>
        <v>-213777.1199185384</v>
      </c>
      <c r="T169" s="6">
        <f ca="1"/>
        <v>-25.360330533110826</v>
      </c>
    </row>
    <row r="170" spans="1:20">
      <c r="A170" s="43">
        <f ca="1"/>
        <v>168</v>
      </c>
      <c r="B170" s="4">
        <f ca="1"/>
        <v>4.1750000000000002E-2</v>
      </c>
      <c r="D170" s="6">
        <f ca="1"/>
        <v>1.7974576271186444</v>
      </c>
      <c r="E170" s="6">
        <f ca="1"/>
        <v>61.016949152542374</v>
      </c>
      <c r="F170" s="6">
        <f ca="1"/>
        <v>0</v>
      </c>
      <c r="G170" s="42">
        <f ca="1"/>
        <v>0</v>
      </c>
      <c r="H170" s="6">
        <f ca="1"/>
        <v>-7.9484194314064016</v>
      </c>
      <c r="J170" s="6">
        <f ca="1"/>
        <v>1.867512345119382</v>
      </c>
      <c r="K170" s="6">
        <f ca="1"/>
        <v>73.628389731372096</v>
      </c>
      <c r="L170" s="6">
        <f ca="1"/>
        <v>-1074.6658680851481</v>
      </c>
      <c r="M170" s="42">
        <f ca="1"/>
        <v>-212601.47208956454</v>
      </c>
      <c r="N170" s="6">
        <f ca="1"/>
        <v>-26.448729736154373</v>
      </c>
      <c r="P170" s="6">
        <f ca="1"/>
        <v>1.867512345119382</v>
      </c>
      <c r="Q170" s="6">
        <f ca="1"/>
        <v>73.628389731372096</v>
      </c>
      <c r="R170" s="6">
        <f ca="1"/>
        <v>-1074.6658680851481</v>
      </c>
      <c r="S170" s="42">
        <f ca="1"/>
        <v>-212601.47208956454</v>
      </c>
      <c r="T170" s="6">
        <f ca="1"/>
        <v>-26.448729736154373</v>
      </c>
    </row>
    <row r="171" spans="1:20">
      <c r="A171" s="43">
        <f ca="1"/>
        <v>169</v>
      </c>
      <c r="B171" s="4">
        <f ca="1"/>
        <v>4.2000000000000003E-2</v>
      </c>
      <c r="D171" s="6">
        <f ca="1"/>
        <v>1.8127118644067797</v>
      </c>
      <c r="E171" s="6">
        <f ca="1"/>
        <v>61.016949152542374</v>
      </c>
      <c r="F171" s="6">
        <f ca="1"/>
        <v>0</v>
      </c>
      <c r="G171" s="42">
        <f ca="1"/>
        <v>0</v>
      </c>
      <c r="H171" s="6">
        <f ca="1"/>
        <v>-8.3597220136989439</v>
      </c>
      <c r="J171" s="6">
        <f ca="1"/>
        <v>1.8858853063877747</v>
      </c>
      <c r="K171" s="6">
        <f ca="1"/>
        <v>73.353092198087396</v>
      </c>
      <c r="L171" s="6">
        <f ca="1"/>
        <v>-1127.6628346912578</v>
      </c>
      <c r="M171" s="42">
        <f ca="1"/>
        <v>-211363.94805906579</v>
      </c>
      <c r="N171" s="6">
        <f ca="1"/>
        <v>-27.509357691808788</v>
      </c>
      <c r="P171" s="6">
        <f ca="1"/>
        <v>1.8858853063877747</v>
      </c>
      <c r="Q171" s="6">
        <f ca="1"/>
        <v>73.353092198087396</v>
      </c>
      <c r="R171" s="6">
        <f ca="1"/>
        <v>-1127.6628346912578</v>
      </c>
      <c r="S171" s="42">
        <f ca="1"/>
        <v>-211363.94805906579</v>
      </c>
      <c r="T171" s="6">
        <f ca="1"/>
        <v>-27.509357691808788</v>
      </c>
    </row>
    <row r="172" spans="1:20">
      <c r="A172" s="43">
        <f ca="1"/>
        <v>170</v>
      </c>
      <c r="B172" s="4">
        <f ca="1"/>
        <v>4.2250000000000003E-2</v>
      </c>
      <c r="D172" s="6">
        <f ca="1"/>
        <v>1.8279661016949156</v>
      </c>
      <c r="E172" s="6">
        <f ca="1"/>
        <v>61.016949152542374</v>
      </c>
      <c r="F172" s="6">
        <f ca="1"/>
        <v>0</v>
      </c>
      <c r="G172" s="42">
        <f ca="1"/>
        <v>0</v>
      </c>
      <c r="H172" s="6">
        <f ca="1"/>
        <v>-8.7638290073297807</v>
      </c>
      <c r="J172" s="6">
        <f ca="1"/>
        <v>1.9041877903806432</v>
      </c>
      <c r="K172" s="6">
        <f ca="1"/>
        <v>73.064584740320882</v>
      </c>
      <c r="L172" s="6">
        <f ca="1"/>
        <v>-1180.3426857645536</v>
      </c>
      <c r="M172" s="42">
        <f ca="1"/>
        <v>-210064.547827042</v>
      </c>
      <c r="N172" s="6">
        <f ca="1"/>
        <v>-28.513979531422329</v>
      </c>
      <c r="P172" s="6">
        <f ca="1"/>
        <v>1.9041877903806432</v>
      </c>
      <c r="Q172" s="6">
        <f ca="1"/>
        <v>73.064584740320882</v>
      </c>
      <c r="R172" s="6">
        <f ca="1"/>
        <v>-1180.3426857645538</v>
      </c>
      <c r="S172" s="42">
        <f ca="1"/>
        <v>-210064.547827042</v>
      </c>
      <c r="T172" s="6">
        <f ca="1"/>
        <v>-28.513979531422329</v>
      </c>
    </row>
    <row r="173" spans="1:20">
      <c r="A173" s="43">
        <f ca="1"/>
        <v>171</v>
      </c>
      <c r="B173" s="4">
        <f ca="1"/>
        <v>4.2500000000000003E-2</v>
      </c>
      <c r="D173" s="6">
        <f ca="1"/>
        <v>1.843220338983051</v>
      </c>
      <c r="E173" s="6">
        <f ca="1"/>
        <v>61.016949152542374</v>
      </c>
      <c r="F173" s="6">
        <f ca="1"/>
        <v>0</v>
      </c>
      <c r="G173" s="42">
        <f ca="1"/>
        <v>0</v>
      </c>
      <c r="H173" s="6">
        <f ca="1"/>
        <v>-9.1587440325243001</v>
      </c>
      <c r="J173" s="6">
        <f ca="1"/>
        <v>1.9224165046878623</v>
      </c>
      <c r="K173" s="6">
        <f ca="1"/>
        <v>72.762948570587056</v>
      </c>
      <c r="L173" s="6">
        <f ca="1"/>
        <v>-1232.6899522546516</v>
      </c>
      <c r="M173" s="42">
        <f ca="1"/>
        <v>-208703.27139349337</v>
      </c>
      <c r="N173" s="6">
        <f ca="1"/>
        <v>-29.472386347687923</v>
      </c>
      <c r="P173" s="6">
        <f ca="1"/>
        <v>1.9224165046878623</v>
      </c>
      <c r="Q173" s="6">
        <f ca="1"/>
        <v>72.762948570587056</v>
      </c>
      <c r="R173" s="6">
        <f ca="1"/>
        <v>-1232.6899522546516</v>
      </c>
      <c r="S173" s="42">
        <f ca="1"/>
        <v>-208703.27139349337</v>
      </c>
      <c r="T173" s="6">
        <f ca="1"/>
        <v>-29.472386347687923</v>
      </c>
    </row>
    <row r="174" spans="1:20">
      <c r="A174" s="43">
        <f ca="1"/>
        <v>172</v>
      </c>
      <c r="B174" s="4">
        <f ca="1"/>
        <v>4.2750000000000003E-2</v>
      </c>
      <c r="D174" s="6">
        <f ca="1"/>
        <v>1.8584745762711867</v>
      </c>
      <c r="E174" s="6">
        <f ca="1"/>
        <v>61.016949152542374</v>
      </c>
      <c r="F174" s="6">
        <f ca="1"/>
        <v>0</v>
      </c>
      <c r="G174" s="42">
        <f ca="1"/>
        <v>0</v>
      </c>
      <c r="H174" s="6">
        <f ca="1"/>
        <v>-9.5479926108544433</v>
      </c>
      <c r="J174" s="6">
        <f ca="1"/>
        <v>1.9405681776858452</v>
      </c>
      <c r="K174" s="6">
        <f ca="1"/>
        <v>72.448268768663013</v>
      </c>
      <c r="L174" s="6">
        <f ca="1"/>
        <v>-1284.6891651111735</v>
      </c>
      <c r="M174" s="42">
        <f ca="1"/>
        <v>-207280.11875841976</v>
      </c>
      <c r="N174" s="6">
        <f ca="1"/>
        <v>-30.365391271958877</v>
      </c>
      <c r="P174" s="6">
        <f ca="1"/>
        <v>1.9405681776858452</v>
      </c>
      <c r="Q174" s="6">
        <f ca="1"/>
        <v>72.448268768663013</v>
      </c>
      <c r="R174" s="6">
        <f ca="1"/>
        <v>-1284.6891651111735</v>
      </c>
      <c r="S174" s="42">
        <f ca="1"/>
        <v>-207280.11875841976</v>
      </c>
      <c r="T174" s="6">
        <f ca="1"/>
        <v>-30.365391271958877</v>
      </c>
    </row>
    <row r="175" spans="1:20">
      <c r="A175" s="43">
        <f ca="1"/>
        <v>173</v>
      </c>
      <c r="B175" s="4">
        <f ca="1"/>
        <v>4.3000000000000003E-2</v>
      </c>
      <c r="D175" s="6">
        <f ca="1"/>
        <v>1.8737288135593222</v>
      </c>
      <c r="E175" s="6">
        <f ca="1"/>
        <v>61.016949152542374</v>
      </c>
      <c r="F175" s="6">
        <f ca="1"/>
        <v>0</v>
      </c>
      <c r="G175" s="42">
        <f ca="1"/>
        <v>0</v>
      </c>
      <c r="H175" s="6">
        <f ca="1"/>
        <v>-9.9282776804459907</v>
      </c>
      <c r="J175" s="6">
        <f ca="1"/>
        <v>1.9586395595043555</v>
      </c>
      <c r="K175" s="6">
        <f ca="1"/>
        <v>72.120634281588465</v>
      </c>
      <c r="L175" s="6">
        <f ca="1"/>
        <v>-1336.3248552837345</v>
      </c>
      <c r="M175" s="42">
        <f ca="1"/>
        <v>-205795.08992182123</v>
      </c>
      <c r="N175" s="6">
        <f ca="1"/>
        <v>-31.228212626630302</v>
      </c>
      <c r="P175" s="6">
        <f ca="1"/>
        <v>1.9586395595043555</v>
      </c>
      <c r="Q175" s="6">
        <f ca="1"/>
        <v>72.120634281588465</v>
      </c>
      <c r="R175" s="6">
        <f ca="1"/>
        <v>-1336.3248552837345</v>
      </c>
      <c r="S175" s="42">
        <f ca="1"/>
        <v>-205795.08992182123</v>
      </c>
      <c r="T175" s="6">
        <f ca="1"/>
        <v>-31.228212626630302</v>
      </c>
    </row>
    <row r="176" spans="1:20">
      <c r="A176" s="43">
        <f ca="1"/>
        <v>174</v>
      </c>
      <c r="B176" s="4">
        <f ca="1"/>
        <v>4.3250000000000004E-2</v>
      </c>
      <c r="D176" s="6">
        <f ca="1"/>
        <v>1.8889830508474579</v>
      </c>
      <c r="E176" s="6">
        <f ca="1"/>
        <v>61.016949152542374</v>
      </c>
      <c r="F176" s="6">
        <f ca="1"/>
        <v>0</v>
      </c>
      <c r="G176" s="42">
        <f ca="1"/>
        <v>0</v>
      </c>
      <c r="H176" s="6">
        <f ca="1"/>
        <v>-10.306403961869792</v>
      </c>
      <c r="J176" s="6">
        <f ca="1"/>
        <v>1.9766274229933263</v>
      </c>
      <c r="K176" s="6">
        <f ca="1"/>
        <v>71.780137923665677</v>
      </c>
      <c r="L176" s="6">
        <f ca="1"/>
        <v>-1387.5815537219571</v>
      </c>
      <c r="M176" s="42">
        <f ca="1"/>
        <v>-204248.18488369772</v>
      </c>
      <c r="N176" s="6">
        <f ca="1"/>
        <v>-32.022072587872657</v>
      </c>
      <c r="P176" s="6">
        <f ca="1"/>
        <v>1.9766274229933263</v>
      </c>
      <c r="Q176" s="6">
        <f ca="1"/>
        <v>71.780137923665677</v>
      </c>
      <c r="R176" s="6">
        <f ca="1"/>
        <v>-1387.5815537219571</v>
      </c>
      <c r="S176" s="42">
        <f ca="1"/>
        <v>-204248.18488369772</v>
      </c>
      <c r="T176" s="6">
        <f ca="1"/>
        <v>-32.022072587872657</v>
      </c>
    </row>
    <row r="177" spans="1:20">
      <c r="A177" s="43">
        <f ca="1"/>
        <v>175</v>
      </c>
      <c r="B177" s="4">
        <f ca="1"/>
        <v>4.3500000000000004E-2</v>
      </c>
      <c r="D177" s="6">
        <f ca="1"/>
        <v>1.9042372881355938</v>
      </c>
      <c r="E177" s="6">
        <f ca="1"/>
        <v>61.016949152542374</v>
      </c>
      <c r="F177" s="6">
        <f ca="1"/>
        <v>0</v>
      </c>
      <c r="G177" s="42">
        <f ca="1"/>
        <v>0</v>
      </c>
      <c r="H177" s="6">
        <f ca="1"/>
        <v>-10.673263337734555</v>
      </c>
      <c r="J177" s="6">
        <f ca="1"/>
        <v>1.9945285646896729</v>
      </c>
      <c r="K177" s="6">
        <f ca="1"/>
        <v>71.426876376459532</v>
      </c>
      <c r="L177" s="6">
        <f ca="1"/>
        <v>-1438.4437913754582</v>
      </c>
      <c r="M177" s="42">
        <f ca="1"/>
        <v>-202639.40364404928</v>
      </c>
      <c r="N177" s="6">
        <f ca="1"/>
        <v>-32.765981858348482</v>
      </c>
      <c r="P177" s="6">
        <f ca="1"/>
        <v>1.9945285646896729</v>
      </c>
      <c r="Q177" s="6">
        <f ca="1"/>
        <v>71.426876376459532</v>
      </c>
      <c r="R177" s="6">
        <f ca="1"/>
        <v>-1438.4437913754582</v>
      </c>
      <c r="S177" s="42">
        <f ca="1"/>
        <v>-202639.40364404928</v>
      </c>
      <c r="T177" s="6">
        <f ca="1"/>
        <v>-32.765981858348482</v>
      </c>
    </row>
    <row r="178" spans="1:20">
      <c r="A178" s="43">
        <f ca="1"/>
        <v>176</v>
      </c>
      <c r="B178" s="4">
        <f ca="1"/>
        <v>4.3750000000000004E-2</v>
      </c>
      <c r="D178" s="6">
        <f ca="1"/>
        <v>1.9194915254237293</v>
      </c>
      <c r="E178" s="6">
        <f ca="1"/>
        <v>61.016949152542374</v>
      </c>
      <c r="F178" s="6">
        <f ca="1"/>
        <v>0</v>
      </c>
      <c r="G178" s="42">
        <f ca="1"/>
        <v>0</v>
      </c>
      <c r="H178" s="6">
        <f ca="1"/>
        <v>-11.03817429420263</v>
      </c>
      <c r="J178" s="6">
        <f ca="1"/>
        <v>2.0123398057841091</v>
      </c>
      <c r="K178" s="6">
        <f ca="1"/>
        <v>71.060950188797534</v>
      </c>
      <c r="L178" s="6">
        <f ca="1"/>
        <v>-1488.8960991938548</v>
      </c>
      <c r="M178" s="42">
        <f ca="1"/>
        <v>-200968.74620287592</v>
      </c>
      <c r="N178" s="6">
        <f ca="1"/>
        <v>-33.449088705638601</v>
      </c>
      <c r="P178" s="6">
        <f ca="1"/>
        <v>2.0123398057841091</v>
      </c>
      <c r="Q178" s="6">
        <f ca="1"/>
        <v>71.060950188797534</v>
      </c>
      <c r="R178" s="6">
        <f ca="1"/>
        <v>-1488.8960991938548</v>
      </c>
      <c r="S178" s="42">
        <f ca="1"/>
        <v>-200968.74620287592</v>
      </c>
      <c r="T178" s="6">
        <f ca="1"/>
        <v>-33.449088705638601</v>
      </c>
    </row>
    <row r="179" spans="1:20">
      <c r="A179" s="43">
        <f ca="1"/>
        <v>177</v>
      </c>
      <c r="B179" s="4">
        <f ca="1"/>
        <v>4.3999999999999997E-2</v>
      </c>
      <c r="D179" s="6">
        <f ca="1"/>
        <v>1.9347457627118645</v>
      </c>
      <c r="E179" s="6">
        <f ca="1"/>
        <v>61.016949152542374</v>
      </c>
      <c r="F179" s="6">
        <f ca="1"/>
        <v>0</v>
      </c>
      <c r="G179" s="42">
        <f ca="1"/>
        <v>0</v>
      </c>
      <c r="H179" s="6">
        <f ca="1"/>
        <v>-11.393498581618662</v>
      </c>
      <c r="J179" s="6">
        <f ca="1"/>
        <v>2.030057993087965</v>
      </c>
      <c r="K179" s="6">
        <f ca="1"/>
        <v>70.682463776769737</v>
      </c>
      <c r="L179" s="6">
        <f ca="1"/>
        <v>-1538.9230081267672</v>
      </c>
      <c r="M179" s="42">
        <f ca="1"/>
        <v>-199236.21256017764</v>
      </c>
      <c r="N179" s="6">
        <f ca="1"/>
        <v>-34.076163653106114</v>
      </c>
      <c r="P179" s="6">
        <f ca="1"/>
        <v>2.030057993087965</v>
      </c>
      <c r="Q179" s="6">
        <f ca="1"/>
        <v>70.682463776769737</v>
      </c>
      <c r="R179" s="6">
        <f ca="1"/>
        <v>-1538.9230081267672</v>
      </c>
      <c r="S179" s="42">
        <f ca="1"/>
        <v>-199236.21256017764</v>
      </c>
      <c r="T179" s="6">
        <f ca="1"/>
        <v>-34.076163653106114</v>
      </c>
    </row>
    <row r="180" spans="1:20">
      <c r="A180" s="43">
        <f ca="1"/>
        <v>178</v>
      </c>
      <c r="B180" s="4">
        <f ca="1"/>
        <v>4.4249999999999998E-2</v>
      </c>
      <c r="D180" s="6">
        <f ca="1"/>
        <v>1.95</v>
      </c>
      <c r="E180" s="6">
        <f ca="1"/>
        <v>61.016949152542374</v>
      </c>
      <c r="F180" s="6">
        <f ca="1"/>
        <v>0</v>
      </c>
      <c r="G180" s="42">
        <f ca="1"/>
        <v>0</v>
      </c>
      <c r="H180" s="6">
        <f ca="1"/>
        <v>-11.743181948714124</v>
      </c>
      <c r="J180" s="6">
        <f ca="1"/>
        <v>2.0476799999999997</v>
      </c>
      <c r="K180" s="6">
        <f ca="1"/>
        <v>70.291525423728814</v>
      </c>
      <c r="L180" s="6">
        <f ca="1"/>
        <v>-1588.509049123815</v>
      </c>
      <c r="M180" s="42">
        <f ca="1"/>
        <v>-197441.80271595443</v>
      </c>
      <c r="N180" s="6">
        <f ca="1"/>
        <v>-34.662181427675151</v>
      </c>
      <c r="P180" s="6">
        <f ca="1"/>
        <v>2.0476799999999997</v>
      </c>
      <c r="Q180" s="6">
        <f ca="1"/>
        <v>70.291525423728814</v>
      </c>
      <c r="R180" s="6">
        <f ca="1"/>
        <v>-1588.509049123815</v>
      </c>
      <c r="S180" s="42">
        <f ca="1"/>
        <v>-197441.80271595443</v>
      </c>
      <c r="T180" s="6">
        <f ca="1"/>
        <v>-34.662181427675151</v>
      </c>
    </row>
    <row r="181" spans="1:20">
      <c r="A181" s="43">
        <f ca="1"/>
        <v>179</v>
      </c>
      <c r="B181" s="4">
        <f ca="1"/>
        <v>4.4499999999999998E-2</v>
      </c>
      <c r="D181" s="6">
        <f ca="1"/>
        <v>1.9652542372881356</v>
      </c>
      <c r="E181" s="6">
        <f ca="1"/>
        <v>61.016949152542374</v>
      </c>
      <c r="F181" s="6">
        <f ca="1"/>
        <v>0</v>
      </c>
      <c r="G181" s="42">
        <f ca="1"/>
        <v>0</v>
      </c>
      <c r="H181" s="6">
        <f ca="1"/>
        <v>-12.084436840469307</v>
      </c>
      <c r="J181" s="6">
        <f ca="1"/>
        <v>2.0652027274732205</v>
      </c>
      <c r="K181" s="6">
        <f ca="1"/>
        <v>69.888247280290017</v>
      </c>
      <c r="L181" s="6">
        <f ca="1"/>
        <v>-1637.6387531346177</v>
      </c>
      <c r="M181" s="42">
        <f ca="1"/>
        <v>-195585.51667020621</v>
      </c>
      <c r="N181" s="6">
        <f ca="1"/>
        <v>-35.177940962742284</v>
      </c>
      <c r="P181" s="6">
        <f ca="1"/>
        <v>2.0652027274732205</v>
      </c>
      <c r="Q181" s="6">
        <f ca="1"/>
        <v>69.888247280290017</v>
      </c>
      <c r="R181" s="6">
        <f ca="1"/>
        <v>-1637.6387531346177</v>
      </c>
      <c r="S181" s="42">
        <f ca="1"/>
        <v>-195585.51667020621</v>
      </c>
      <c r="T181" s="6">
        <f ca="1"/>
        <v>-35.177940962742284</v>
      </c>
    </row>
    <row r="182" spans="1:20">
      <c r="A182" s="43">
        <f ca="1"/>
        <v>180</v>
      </c>
      <c r="B182" s="4">
        <f ca="1"/>
        <v>4.4749999999999998E-2</v>
      </c>
      <c r="D182" s="6">
        <f ca="1"/>
        <v>1.9805084745762711</v>
      </c>
      <c r="E182" s="6">
        <f ca="1"/>
        <v>61.016949152542374</v>
      </c>
      <c r="F182" s="6">
        <f ca="1"/>
        <v>0</v>
      </c>
      <c r="G182" s="42">
        <f ca="1"/>
        <v>0</v>
      </c>
      <c r="H182" s="6">
        <f ca="1"/>
        <v>-12.415889586141372</v>
      </c>
      <c r="J182" s="6">
        <f ca="1"/>
        <v>2.0826231049816926</v>
      </c>
      <c r="K182" s="6">
        <f ca="1"/>
        <v>69.472745364331232</v>
      </c>
      <c r="L182" s="6">
        <f ca="1"/>
        <v>-1686.2966511087909</v>
      </c>
      <c r="M182" s="42">
        <f ca="1"/>
        <v>-193667.35442293313</v>
      </c>
      <c r="N182" s="6">
        <f ca="1"/>
        <v>-35.644975803075027</v>
      </c>
      <c r="P182" s="6">
        <f ca="1"/>
        <v>2.0826231049816926</v>
      </c>
      <c r="Q182" s="6">
        <f ca="1"/>
        <v>69.472745364331232</v>
      </c>
      <c r="R182" s="6">
        <f ca="1"/>
        <v>-1686.2966511087909</v>
      </c>
      <c r="S182" s="42">
        <f ca="1"/>
        <v>-193667.35442293313</v>
      </c>
      <c r="T182" s="6">
        <f ca="1"/>
        <v>-35.644975803075027</v>
      </c>
    </row>
    <row r="183" spans="1:20">
      <c r="A183" s="43">
        <f ca="1"/>
        <v>181</v>
      </c>
      <c r="B183" s="4">
        <f ca="1"/>
        <v>4.4999999999999998E-2</v>
      </c>
      <c r="D183" s="6">
        <f ca="1"/>
        <v>1.995762711864407</v>
      </c>
      <c r="E183" s="6">
        <f ca="1"/>
        <v>61.016949152542374</v>
      </c>
      <c r="F183" s="6">
        <f ca="1"/>
        <v>0</v>
      </c>
      <c r="G183" s="42">
        <f ca="1"/>
        <v>0</v>
      </c>
      <c r="H183" s="6">
        <f ca="1"/>
        <v>-12.73781426404129</v>
      </c>
      <c r="J183" s="6">
        <f ca="1"/>
        <v>2.099938091487362</v>
      </c>
      <c r="K183" s="6">
        <f ca="1"/>
        <v>69.04513956099288</v>
      </c>
      <c r="L183" s="6">
        <f ca="1"/>
        <v>-1734.4672739959569</v>
      </c>
      <c r="M183" s="42">
        <f ca="1"/>
        <v>-191687.31597413504</v>
      </c>
      <c r="N183" s="6">
        <f ca="1"/>
        <v>-36.043937857752724</v>
      </c>
      <c r="P183" s="6">
        <f ca="1"/>
        <v>2.099938091487362</v>
      </c>
      <c r="Q183" s="6">
        <f ca="1"/>
        <v>69.04513956099288</v>
      </c>
      <c r="R183" s="6">
        <f ca="1"/>
        <v>-1734.4672739959569</v>
      </c>
      <c r="S183" s="42">
        <f ca="1"/>
        <v>-191687.31597413504</v>
      </c>
      <c r="T183" s="6">
        <f ca="1"/>
        <v>-36.043937857752724</v>
      </c>
    </row>
    <row r="184" spans="1:20">
      <c r="A184" s="43">
        <f ca="1"/>
        <v>182</v>
      </c>
      <c r="B184" s="4">
        <f ca="1"/>
        <v>4.5249999999999999E-2</v>
      </c>
      <c r="D184" s="6">
        <f ca="1"/>
        <v>2.011016949152542</v>
      </c>
      <c r="E184" s="6">
        <f ca="1"/>
        <v>61.016949152542374</v>
      </c>
      <c r="F184" s="6">
        <f ca="1"/>
        <v>0</v>
      </c>
      <c r="G184" s="42">
        <f ca="1"/>
        <v>0</v>
      </c>
      <c r="H184" s="6">
        <f ca="1"/>
        <v>-13.050796546022442</v>
      </c>
      <c r="J184" s="6">
        <f ca="1"/>
        <v>2.1171446764068653</v>
      </c>
      <c r="K184" s="6">
        <f ca="1"/>
        <v>68.60555362267803</v>
      </c>
      <c r="L184" s="6">
        <f ca="1"/>
        <v>-1782.1351527457314</v>
      </c>
      <c r="M184" s="42">
        <f ca="1"/>
        <v>-189645.40132381208</v>
      </c>
      <c r="N184" s="6">
        <f ca="1"/>
        <v>-36.396840401735219</v>
      </c>
      <c r="P184" s="6">
        <f ca="1"/>
        <v>2.1171446764068653</v>
      </c>
      <c r="Q184" s="6">
        <f ca="1"/>
        <v>68.60555362267803</v>
      </c>
      <c r="R184" s="6">
        <f ca="1"/>
        <v>-1782.1351527457314</v>
      </c>
      <c r="S184" s="42">
        <f ca="1"/>
        <v>-189645.40132381208</v>
      </c>
      <c r="T184" s="6">
        <f ca="1"/>
        <v>-36.396840401735219</v>
      </c>
    </row>
    <row r="185" spans="1:20">
      <c r="A185" s="43">
        <f ca="1"/>
        <v>183</v>
      </c>
      <c r="B185" s="4">
        <f ca="1"/>
        <v>4.5499999999999999E-2</v>
      </c>
      <c r="D185" s="6">
        <f ca="1"/>
        <v>2.0262711864406784</v>
      </c>
      <c r="E185" s="6">
        <f ca="1"/>
        <v>61.016949152542374</v>
      </c>
      <c r="F185" s="6">
        <f ca="1"/>
        <v>0</v>
      </c>
      <c r="G185" s="42">
        <f ca="1"/>
        <v>0</v>
      </c>
      <c r="H185" s="6">
        <f ca="1"/>
        <v>-13.354492123872072</v>
      </c>
      <c r="J185" s="6">
        <f ca="1"/>
        <v>2.1342398805783493</v>
      </c>
      <c r="K185" s="6">
        <f ca="1"/>
        <v>68.154115169052332</v>
      </c>
      <c r="L185" s="6">
        <f ca="1"/>
        <v>-1829.284818307736</v>
      </c>
      <c r="M185" s="42">
        <f ca="1"/>
        <v>-187541.61047196412</v>
      </c>
      <c r="N185" s="6">
        <f ca="1"/>
        <v>-36.706106817799196</v>
      </c>
      <c r="P185" s="6">
        <f ca="1"/>
        <v>2.1342398805783493</v>
      </c>
      <c r="Q185" s="6">
        <f ca="1"/>
        <v>68.154115169052332</v>
      </c>
      <c r="R185" s="6">
        <f ca="1"/>
        <v>-1829.284818307736</v>
      </c>
      <c r="S185" s="42">
        <f ca="1"/>
        <v>-187541.61047196412</v>
      </c>
      <c r="T185" s="6">
        <f ca="1"/>
        <v>-36.706106817799196</v>
      </c>
    </row>
    <row r="186" spans="1:20">
      <c r="A186" s="43">
        <f ca="1"/>
        <v>184</v>
      </c>
      <c r="B186" s="4">
        <f ca="1"/>
        <v>4.5749999999999999E-2</v>
      </c>
      <c r="D186" s="6">
        <f ca="1"/>
        <v>2.0415254237288134</v>
      </c>
      <c r="E186" s="6">
        <f ca="1"/>
        <v>61.016949152542374</v>
      </c>
      <c r="F186" s="6">
        <f ca="1"/>
        <v>0</v>
      </c>
      <c r="G186" s="42">
        <f ca="1"/>
        <v>0</v>
      </c>
      <c r="H186" s="6">
        <f ca="1"/>
        <v>-13.644967892898167</v>
      </c>
      <c r="J186" s="6">
        <f ca="1"/>
        <v>2.151220757228284</v>
      </c>
      <c r="K186" s="6">
        <f ca="1"/>
        <v>67.69095568704401</v>
      </c>
      <c r="L186" s="6">
        <f ca="1"/>
        <v>-1875.9008016315868</v>
      </c>
      <c r="M186" s="42">
        <f ca="1"/>
        <v>-185375.94341859125</v>
      </c>
      <c r="N186" s="6">
        <f ca="1"/>
        <v>-36.945588080314181</v>
      </c>
      <c r="P186" s="6">
        <f ca="1"/>
        <v>2.151220757228284</v>
      </c>
      <c r="Q186" s="6">
        <f ca="1"/>
        <v>67.69095568704401</v>
      </c>
      <c r="R186" s="6">
        <f ca="1"/>
        <v>-1875.9008016315868</v>
      </c>
      <c r="S186" s="42">
        <f ca="1"/>
        <v>-185375.94341859125</v>
      </c>
      <c r="T186" s="6">
        <f ca="1"/>
        <v>-36.945588080314181</v>
      </c>
    </row>
    <row r="187" spans="1:20">
      <c r="A187" s="43">
        <f ca="1"/>
        <v>185</v>
      </c>
      <c r="B187" s="4">
        <f ca="1"/>
        <v>4.5999999999999999E-2</v>
      </c>
      <c r="D187" s="6">
        <f ca="1"/>
        <v>2.0567796610169493</v>
      </c>
      <c r="E187" s="6">
        <f ca="1"/>
        <v>61.016949152542374</v>
      </c>
      <c r="F187" s="6">
        <f ca="1"/>
        <v>0</v>
      </c>
      <c r="G187" s="42">
        <f ca="1"/>
        <v>0</v>
      </c>
      <c r="H187" s="6">
        <f ca="1"/>
        <v>-13.929668175225514</v>
      </c>
      <c r="J187" s="6">
        <f ca="1"/>
        <v>2.1680843929382796</v>
      </c>
      <c r="K187" s="6">
        <f ca="1"/>
        <v>67.21621053084391</v>
      </c>
      <c r="L187" s="6">
        <f ca="1"/>
        <v>-1921.9676336669047</v>
      </c>
      <c r="M187" s="42">
        <f ca="1"/>
        <v>-183148.40016369341</v>
      </c>
      <c r="N187" s="6">
        <f ca="1"/>
        <v>-37.137379447363173</v>
      </c>
      <c r="P187" s="6">
        <f ca="1"/>
        <v>2.1680843929382796</v>
      </c>
      <c r="Q187" s="6">
        <f ca="1"/>
        <v>67.21621053084391</v>
      </c>
      <c r="R187" s="6">
        <f ca="1"/>
        <v>-1921.9676336669047</v>
      </c>
      <c r="S187" s="42">
        <f ca="1"/>
        <v>-183148.40016369341</v>
      </c>
      <c r="T187" s="6">
        <f ca="1"/>
        <v>-37.137379447363173</v>
      </c>
    </row>
    <row r="188" spans="1:20">
      <c r="A188" s="43">
        <f ca="1"/>
        <v>186</v>
      </c>
      <c r="B188" s="4">
        <f ca="1"/>
        <v>4.6249999999999999E-2</v>
      </c>
      <c r="D188" s="6">
        <f ca="1"/>
        <v>2.0720338983050848</v>
      </c>
      <c r="E188" s="6">
        <f ca="1"/>
        <v>61.016949152542374</v>
      </c>
      <c r="F188" s="6">
        <f ca="1"/>
        <v>0</v>
      </c>
      <c r="G188" s="42">
        <f ca="1"/>
        <v>0</v>
      </c>
      <c r="H188" s="6">
        <f ca="1"/>
        <v>-14.200715709769959</v>
      </c>
      <c r="J188" s="6">
        <f ca="1"/>
        <v>2.1848279086119016</v>
      </c>
      <c r="K188" s="6">
        <f ca="1"/>
        <v>66.730018921905469</v>
      </c>
      <c r="L188" s="6">
        <f ca="1"/>
        <v>-1967.4698453633059</v>
      </c>
      <c r="M188" s="42">
        <f ca="1"/>
        <v>-180858.98070727068</v>
      </c>
      <c r="N188" s="6">
        <f ca="1"/>
        <v>-37.274054224935796</v>
      </c>
      <c r="P188" s="6">
        <f ca="1"/>
        <v>2.1848279086119016</v>
      </c>
      <c r="Q188" s="6">
        <f ca="1"/>
        <v>66.730018921905469</v>
      </c>
      <c r="R188" s="6">
        <f ca="1"/>
        <v>-1967.4698453633061</v>
      </c>
      <c r="S188" s="42">
        <f ca="1"/>
        <v>-180858.98070727068</v>
      </c>
      <c r="T188" s="6">
        <f ca="1"/>
        <v>-37.274054224935796</v>
      </c>
    </row>
    <row r="189" spans="1:20">
      <c r="A189" s="43">
        <f ca="1"/>
        <v>187</v>
      </c>
      <c r="B189" s="4">
        <f ca="1"/>
        <v>4.65E-2</v>
      </c>
      <c r="D189" s="6">
        <f ca="1"/>
        <v>2.0872881355932207</v>
      </c>
      <c r="E189" s="6">
        <f ca="1"/>
        <v>61.016949152542374</v>
      </c>
      <c r="F189" s="6">
        <f ca="1"/>
        <v>0</v>
      </c>
      <c r="G189" s="42">
        <f ca="1"/>
        <v>0</v>
      </c>
      <c r="H189" s="6">
        <f ca="1"/>
        <v>-14.463023298227283</v>
      </c>
      <c r="J189" s="6">
        <f ca="1"/>
        <v>2.2014484604414881</v>
      </c>
      <c r="K189" s="6">
        <f ca="1"/>
        <v>66.232523948944689</v>
      </c>
      <c r="L189" s="6">
        <f ca="1"/>
        <v>-2012.3919676704131</v>
      </c>
      <c r="M189" s="42">
        <f ca="1"/>
        <v>-178507.68504932296</v>
      </c>
      <c r="N189" s="6">
        <f ca="1"/>
        <v>-37.357666243094116</v>
      </c>
      <c r="P189" s="6">
        <f ca="1"/>
        <v>2.2014484604414881</v>
      </c>
      <c r="Q189" s="6">
        <f ca="1"/>
        <v>66.232523948944689</v>
      </c>
      <c r="R189" s="6">
        <f ca="1"/>
        <v>-2012.3919676704131</v>
      </c>
      <c r="S189" s="42">
        <f ca="1"/>
        <v>-178507.68504932296</v>
      </c>
      <c r="T189" s="6">
        <f ca="1"/>
        <v>-37.357666243094116</v>
      </c>
    </row>
    <row r="190" spans="1:20">
      <c r="A190" s="43">
        <f ca="1"/>
        <v>188</v>
      </c>
      <c r="B190" s="4">
        <f ca="1"/>
        <v>4.675E-2</v>
      </c>
      <c r="D190" s="6">
        <f ca="1"/>
        <v>2.1025423728813557</v>
      </c>
      <c r="E190" s="6">
        <f ca="1"/>
        <v>61.016949152542374</v>
      </c>
      <c r="F190" s="6">
        <f ca="1"/>
        <v>0</v>
      </c>
      <c r="G190" s="42">
        <f ca="1"/>
        <v>0</v>
      </c>
      <c r="H190" s="6">
        <f ca="1"/>
        <v>-14.719631315357248</v>
      </c>
      <c r="J190" s="6">
        <f ca="1"/>
        <v>2.2179432408749618</v>
      </c>
      <c r="K190" s="6">
        <f ca="1"/>
        <v>65.723872567940234</v>
      </c>
      <c r="L190" s="6">
        <f ca="1"/>
        <v>-2056.7185315378406</v>
      </c>
      <c r="M190" s="42">
        <f ca="1"/>
        <v>-176094.51318985035</v>
      </c>
      <c r="N190" s="6">
        <f ca="1"/>
        <v>-37.391798478988989</v>
      </c>
      <c r="P190" s="6">
        <f ca="1"/>
        <v>2.2179432408749618</v>
      </c>
      <c r="Q190" s="6">
        <f ca="1"/>
        <v>65.723872567940234</v>
      </c>
      <c r="R190" s="6">
        <f ca="1"/>
        <v>-2056.7185315378406</v>
      </c>
      <c r="S190" s="42">
        <f ca="1"/>
        <v>-176094.51318985035</v>
      </c>
      <c r="T190" s="6">
        <f ca="1"/>
        <v>-37.391798478988989</v>
      </c>
    </row>
    <row r="191" spans="1:20">
      <c r="A191" s="43">
        <f ca="1"/>
        <v>189</v>
      </c>
      <c r="B191" s="4">
        <f ca="1"/>
        <v>4.7E-2</v>
      </c>
      <c r="D191" s="6">
        <f ca="1"/>
        <v>2.1177966101694921</v>
      </c>
      <c r="E191" s="6">
        <f ca="1"/>
        <v>61.016949152542374</v>
      </c>
      <c r="F191" s="6">
        <f ca="1"/>
        <v>0</v>
      </c>
      <c r="G191" s="42">
        <f ca="1"/>
        <v>0</v>
      </c>
      <c r="H191" s="6">
        <f ca="1"/>
        <v>-14.956427166393842</v>
      </c>
      <c r="J191" s="6">
        <f ca="1"/>
        <v>2.2343094795826492</v>
      </c>
      <c r="K191" s="6">
        <f ca="1"/>
        <v>65.204215602133289</v>
      </c>
      <c r="L191" s="6">
        <f ca="1"/>
        <v>-2100.434067915211</v>
      </c>
      <c r="M191" s="42">
        <f ca="1"/>
        <v>-173619.46512885272</v>
      </c>
      <c r="N191" s="6">
        <f ca="1"/>
        <v>-37.38923586031855</v>
      </c>
      <c r="P191" s="6">
        <f ca="1"/>
        <v>2.2343094795826492</v>
      </c>
      <c r="Q191" s="6">
        <f ca="1"/>
        <v>65.204215602133289</v>
      </c>
      <c r="R191" s="6">
        <f ca="1"/>
        <v>-2100.434067915211</v>
      </c>
      <c r="S191" s="42">
        <f ca="1"/>
        <v>-173619.46512885272</v>
      </c>
      <c r="T191" s="6">
        <f ca="1"/>
        <v>-37.38923586031855</v>
      </c>
    </row>
    <row r="192" spans="1:20">
      <c r="A192" s="43">
        <f ca="1"/>
        <v>190</v>
      </c>
      <c r="B192" s="4">
        <f ca="1"/>
        <v>4.725E-2</v>
      </c>
      <c r="D192" s="6">
        <f ca="1"/>
        <v>2.1330508474576271</v>
      </c>
      <c r="E192" s="6">
        <f ca="1"/>
        <v>61.016949152542374</v>
      </c>
      <c r="F192" s="6">
        <f ca="1"/>
        <v>0</v>
      </c>
      <c r="G192" s="42">
        <f ca="1"/>
        <v>0</v>
      </c>
      <c r="H192" s="6">
        <f ca="1"/>
        <v>-15.188373335172422</v>
      </c>
      <c r="J192" s="6">
        <f ca="1"/>
        <v>2.2505444444240941</v>
      </c>
      <c r="K192" s="6">
        <f ca="1"/>
        <v>64.673707742027673</v>
      </c>
      <c r="L192" s="6">
        <f ca="1"/>
        <v>-2143.5231077521398</v>
      </c>
      <c r="M192" s="42">
        <f ca="1"/>
        <v>-171082.54086633024</v>
      </c>
      <c r="N192" s="6">
        <f ca="1"/>
        <v>-37.331239277931289</v>
      </c>
      <c r="P192" s="6">
        <f ca="1"/>
        <v>2.2505444444240941</v>
      </c>
      <c r="Q192" s="6">
        <f ca="1"/>
        <v>64.673707742027673</v>
      </c>
      <c r="R192" s="6">
        <f ca="1"/>
        <v>-2143.5231077521398</v>
      </c>
      <c r="S192" s="42">
        <f ca="1"/>
        <v>-171082.54086633024</v>
      </c>
      <c r="T192" s="6">
        <f ca="1"/>
        <v>-37.331239277931289</v>
      </c>
    </row>
    <row r="193" spans="1:20">
      <c r="A193" s="43">
        <f ca="1"/>
        <v>191</v>
      </c>
      <c r="B193" s="4">
        <f ca="1"/>
        <v>4.7500000000000001E-2</v>
      </c>
      <c r="D193" s="6">
        <f ca="1"/>
        <v>2.148305084745763</v>
      </c>
      <c r="E193" s="6">
        <f ca="1"/>
        <v>61.016949152542374</v>
      </c>
      <c r="F193" s="6">
        <f ca="1"/>
        <v>0</v>
      </c>
      <c r="G193" s="42">
        <f ca="1"/>
        <v>0</v>
      </c>
      <c r="H193" s="6">
        <f ca="1"/>
        <v>-15.403131091696379</v>
      </c>
      <c r="J193" s="6">
        <f ca="1"/>
        <v>2.2666454424148763</v>
      </c>
      <c r="K193" s="6">
        <f ca="1"/>
        <v>64.132507545389771</v>
      </c>
      <c r="L193" s="6">
        <f ca="1"/>
        <v>-2185.9701819982492</v>
      </c>
      <c r="M193" s="42">
        <f ca="1"/>
        <v>-168483.74040228274</v>
      </c>
      <c r="N193" s="6">
        <f ca="1"/>
        <v>-37.224889957683345</v>
      </c>
      <c r="P193" s="6">
        <f ca="1"/>
        <v>2.2666454424148763</v>
      </c>
      <c r="Q193" s="6">
        <f ca="1"/>
        <v>64.132507545389771</v>
      </c>
      <c r="R193" s="6">
        <f ca="1"/>
        <v>-2185.9701819982492</v>
      </c>
      <c r="S193" s="42">
        <f ca="1"/>
        <v>-168483.74040228274</v>
      </c>
      <c r="T193" s="6">
        <f ca="1"/>
        <v>-37.224889957683345</v>
      </c>
    </row>
    <row r="194" spans="1:20">
      <c r="A194" s="43">
        <f ca="1"/>
        <v>192</v>
      </c>
      <c r="B194" s="4">
        <f ca="1"/>
        <v>4.7750000000000001E-2</v>
      </c>
      <c r="D194" s="6">
        <f ca="1"/>
        <v>2.1635593220338984</v>
      </c>
      <c r="E194" s="6">
        <f ca="1"/>
        <v>61.016949152542374</v>
      </c>
      <c r="F194" s="6">
        <f ca="1"/>
        <v>0</v>
      </c>
      <c r="G194" s="42">
        <f ca="1"/>
        <v>0</v>
      </c>
      <c r="H194" s="6">
        <f ca="1"/>
        <v>-15.604343924130282</v>
      </c>
      <c r="J194" s="6">
        <f ca="1"/>
        <v>2.2826098206934216</v>
      </c>
      <c r="K194" s="6">
        <f ca="1"/>
        <v>63.580777437248642</v>
      </c>
      <c r="L194" s="6">
        <f ca="1"/>
        <v>-2227.7598216031547</v>
      </c>
      <c r="M194" s="42">
        <f ca="1"/>
        <v>-165823.06373671041</v>
      </c>
      <c r="N194" s="6">
        <f ca="1"/>
        <v>-37.078324127021368</v>
      </c>
      <c r="P194" s="6">
        <f ca="1"/>
        <v>2.2826098206934216</v>
      </c>
      <c r="Q194" s="6">
        <f ca="1"/>
        <v>63.580777437248642</v>
      </c>
      <c r="R194" s="6">
        <f ca="1"/>
        <v>-2227.7598216031547</v>
      </c>
      <c r="S194" s="42">
        <f ca="1"/>
        <v>-165823.06373671041</v>
      </c>
      <c r="T194" s="6">
        <f ca="1"/>
        <v>-37.078324127021368</v>
      </c>
    </row>
    <row r="195" spans="1:20">
      <c r="A195" s="43">
        <f ca="1"/>
        <v>193</v>
      </c>
      <c r="B195" s="4">
        <f ca="1"/>
        <v>4.8000000000000001E-2</v>
      </c>
      <c r="D195" s="6">
        <f ca="1"/>
        <v>2.1788135593220339</v>
      </c>
      <c r="E195" s="6">
        <f ca="1"/>
        <v>61.016949152542374</v>
      </c>
      <c r="F195" s="6">
        <f ca="1"/>
        <v>0</v>
      </c>
      <c r="G195" s="42">
        <f ca="1"/>
        <v>0</v>
      </c>
      <c r="H195" s="6">
        <f ca="1"/>
        <v>-15.79084580575231</v>
      </c>
      <c r="J195" s="6">
        <f ca="1"/>
        <v>2.2984349674878239</v>
      </c>
      <c r="K195" s="6">
        <f ca="1"/>
        <v>63.018683709895832</v>
      </c>
      <c r="L195" s="6">
        <f ca="1"/>
        <v>-2268.8765575164771</v>
      </c>
      <c r="M195" s="42">
        <f ca="1"/>
        <v>-163100.51086961303</v>
      </c>
      <c r="N195" s="6">
        <f ca="1"/>
        <v>-36.890341775196724</v>
      </c>
      <c r="P195" s="6">
        <f ca="1"/>
        <v>2.2984349674878239</v>
      </c>
      <c r="Q195" s="6">
        <f ca="1"/>
        <v>63.018683709895832</v>
      </c>
      <c r="R195" s="6">
        <f ca="1"/>
        <v>-2268.8765575164771</v>
      </c>
      <c r="S195" s="42">
        <f ca="1"/>
        <v>-163100.51086961303</v>
      </c>
      <c r="T195" s="6">
        <f ca="1"/>
        <v>-36.890341775196724</v>
      </c>
    </row>
    <row r="196" spans="1:20">
      <c r="A196" s="43">
        <f ca="1"/>
        <v>194</v>
      </c>
      <c r="B196" s="4">
        <f ca="1"/>
        <v>4.8250000000000001E-2</v>
      </c>
      <c r="D196" s="6">
        <f ca="1"/>
        <v>2.1940677966101694</v>
      </c>
      <c r="E196" s="6">
        <f ca="1"/>
        <v>61.016949152542374</v>
      </c>
      <c r="F196" s="6">
        <f ca="1"/>
        <v>0</v>
      </c>
      <c r="G196" s="42">
        <f ca="1"/>
        <v>0</v>
      </c>
      <c r="H196" s="6">
        <f ca="1"/>
        <v>-15.962711334061536</v>
      </c>
      <c r="J196" s="6">
        <f ca="1"/>
        <v>2.3141183130826555</v>
      </c>
      <c r="K196" s="6">
        <f ca="1"/>
        <v>62.446396522885564</v>
      </c>
      <c r="L196" s="6">
        <f ca="1"/>
        <v>-2309.3049206878341</v>
      </c>
      <c r="M196" s="42">
        <f ca="1"/>
        <v>-160316.08180099083</v>
      </c>
      <c r="N196" s="6">
        <f ca="1"/>
        <v>-36.663777569406051</v>
      </c>
      <c r="P196" s="6">
        <f ca="1"/>
        <v>2.3141183130826555</v>
      </c>
      <c r="Q196" s="6">
        <f ca="1"/>
        <v>62.446396522885564</v>
      </c>
      <c r="R196" s="6">
        <f ca="1"/>
        <v>-2309.3049206878341</v>
      </c>
      <c r="S196" s="42">
        <f ca="1"/>
        <v>-160316.08180099083</v>
      </c>
      <c r="T196" s="6">
        <f ca="1"/>
        <v>-36.663777569406051</v>
      </c>
    </row>
    <row r="197" spans="1:20">
      <c r="A197" s="43">
        <f ca="1"/>
        <v>195</v>
      </c>
      <c r="B197" s="4">
        <f ca="1"/>
        <v>4.8500000000000001E-2</v>
      </c>
      <c r="D197" s="6">
        <f ca="1"/>
        <v>2.2093220338983053</v>
      </c>
      <c r="E197" s="6">
        <f ca="1"/>
        <v>61.016949152542374</v>
      </c>
      <c r="F197" s="6">
        <f ca="1"/>
        <v>0</v>
      </c>
      <c r="G197" s="42">
        <f ca="1"/>
        <v>0</v>
      </c>
      <c r="H197" s="6">
        <f ca="1"/>
        <v>-16.123442485814085</v>
      </c>
      <c r="J197" s="6">
        <f ca="1"/>
        <v>2.3296573307857873</v>
      </c>
      <c r="K197" s="6">
        <f ca="1"/>
        <v>61.864089903034603</v>
      </c>
      <c r="L197" s="6">
        <f ca="1"/>
        <v>-2349.0294420668456</v>
      </c>
      <c r="M197" s="42">
        <f ca="1"/>
        <v>-157469.77653084355</v>
      </c>
      <c r="N197" s="6">
        <f ca="1"/>
        <v>-36.397859266294162</v>
      </c>
      <c r="P197" s="6">
        <f ca="1"/>
        <v>2.3296573307857873</v>
      </c>
      <c r="Q197" s="6">
        <f ca="1"/>
        <v>61.864089903034603</v>
      </c>
      <c r="R197" s="6">
        <f ca="1"/>
        <v>-2349.0294420668456</v>
      </c>
      <c r="S197" s="42">
        <f ca="1"/>
        <v>-157469.77653084355</v>
      </c>
      <c r="T197" s="6">
        <f ca="1"/>
        <v>-36.397859266294162</v>
      </c>
    </row>
    <row r="198" spans="1:20">
      <c r="A198" s="43">
        <f ca="1"/>
        <v>196</v>
      </c>
      <c r="B198" s="4">
        <f ca="1"/>
        <v>4.8750000000000002E-2</v>
      </c>
      <c r="D198" s="6">
        <f ca="1"/>
        <v>2.2245762711864407</v>
      </c>
      <c r="E198" s="6">
        <f ca="1"/>
        <v>61.016949152542374</v>
      </c>
      <c r="F198" s="6">
        <f ca="1"/>
        <v>0</v>
      </c>
      <c r="G198" s="42">
        <f ca="1"/>
        <v>0</v>
      </c>
      <c r="H198" s="6">
        <f ca="1"/>
        <v>-16.270120729899478</v>
      </c>
      <c r="J198" s="6">
        <f ca="1"/>
        <v>2.3450495378952003</v>
      </c>
      <c r="K198" s="6">
        <f ca="1"/>
        <v>61.271941744422364</v>
      </c>
      <c r="L198" s="6">
        <f ca="1"/>
        <v>-2388.0346526031285</v>
      </c>
      <c r="M198" s="42">
        <f ca="1"/>
        <v>-154561.59505917144</v>
      </c>
      <c r="N198" s="6">
        <f ca="1"/>
        <v>-36.097453201909232</v>
      </c>
      <c r="P198" s="6">
        <f ca="1"/>
        <v>2.3450495378952003</v>
      </c>
      <c r="Q198" s="6">
        <f ca="1"/>
        <v>61.271941744422364</v>
      </c>
      <c r="R198" s="6">
        <f ca="1"/>
        <v>-2388.0346526031285</v>
      </c>
      <c r="S198" s="42">
        <f ca="1"/>
        <v>-154561.59505917144</v>
      </c>
      <c r="T198" s="6">
        <f ca="1"/>
        <v>-36.097453201909232</v>
      </c>
    </row>
    <row r="199" spans="1:20">
      <c r="A199" s="43">
        <f ca="1"/>
        <v>197</v>
      </c>
      <c r="B199" s="4">
        <f ca="1"/>
        <v>4.9000000000000002E-2</v>
      </c>
      <c r="D199" s="6">
        <f ca="1"/>
        <v>2.2398305084745767</v>
      </c>
      <c r="E199" s="6">
        <f ca="1"/>
        <v>61.016949152542374</v>
      </c>
      <c r="F199" s="6">
        <f ca="1"/>
        <v>0</v>
      </c>
      <c r="G199" s="42">
        <f ca="1"/>
        <v>-4964090.7785119181</v>
      </c>
      <c r="H199" s="6">
        <f ca="1"/>
        <v>-16.402738632822313</v>
      </c>
      <c r="J199" s="6">
        <f ca="1"/>
        <v>2.3602924966658048</v>
      </c>
      <c r="K199" s="6">
        <f ca="1"/>
        <v>60.670133808390801</v>
      </c>
      <c r="L199" s="6">
        <f ca="1"/>
        <v>-2426.3050832463041</v>
      </c>
      <c r="M199" s="42">
        <f ca="1"/>
        <v>-151591.53738597428</v>
      </c>
      <c r="N199" s="6">
        <f ca="1"/>
        <v>-35.762363177354018</v>
      </c>
      <c r="P199" s="6">
        <f ca="1"/>
        <v>2.3602924966658048</v>
      </c>
      <c r="Q199" s="6">
        <f ca="1"/>
        <v>60.670133808390801</v>
      </c>
      <c r="R199" s="6">
        <f ca="1"/>
        <v>-2426.3050832463041</v>
      </c>
      <c r="S199" s="42">
        <f ca="1"/>
        <v>-151591.53738597428</v>
      </c>
      <c r="T199" s="6">
        <f ca="1"/>
        <v>-35.762363177354018</v>
      </c>
    </row>
    <row r="200" spans="1:20">
      <c r="A200" s="43">
        <f ca="1"/>
        <v>198</v>
      </c>
      <c r="B200" s="4">
        <f ca="1"/>
        <v>4.9250000000000002E-2</v>
      </c>
      <c r="D200" s="6">
        <f ca="1"/>
        <v>2.2550761275495548</v>
      </c>
      <c r="E200" s="6">
        <f ca="1"/>
        <v>60.810112036771045</v>
      </c>
      <c r="F200" s="6">
        <f ca="1"/>
        <v>-2482.0453892559613</v>
      </c>
      <c r="G200" s="42">
        <f ca="1"/>
        <v>-4964090.7785119181</v>
      </c>
      <c r="H200" s="6">
        <f ca="1"/>
        <v>-38.174444145143994</v>
      </c>
      <c r="J200" s="6">
        <f ca="1"/>
        <v>2.3753838152762521</v>
      </c>
      <c r="K200" s="6">
        <f ca="1"/>
        <v>60.058851723544507</v>
      </c>
      <c r="L200" s="6">
        <f ca="1"/>
        <v>-2463.8252649459891</v>
      </c>
      <c r="M200" s="42">
        <f ca="1"/>
        <v>-148559.60351125229</v>
      </c>
      <c r="N200" s="6">
        <f ca="1"/>
        <v>-35.399235530691072</v>
      </c>
      <c r="P200" s="6">
        <f ca="1"/>
        <v>2.3753838152762521</v>
      </c>
      <c r="Q200" s="6">
        <f ca="1"/>
        <v>60.058851723544507</v>
      </c>
      <c r="R200" s="6">
        <f ca="1"/>
        <v>-2463.8252649459891</v>
      </c>
      <c r="S200" s="42">
        <f ca="1"/>
        <v>-148559.60351125229</v>
      </c>
      <c r="T200" s="6">
        <f ca="1"/>
        <v>-35.399235530691072</v>
      </c>
    </row>
    <row r="201" spans="1:20">
      <c r="A201" s="43">
        <f ca="1"/>
        <v>199</v>
      </c>
      <c r="B201" s="4">
        <f ca="1"/>
        <v>4.9500000000000002E-2</v>
      </c>
      <c r="D201" s="6">
        <f ca="1"/>
        <v>2.2702010916403337</v>
      </c>
      <c r="E201" s="6">
        <f ca="1"/>
        <v>60.189600689457038</v>
      </c>
      <c r="F201" s="6">
        <f ca="1"/>
        <v>-2482.0453892559613</v>
      </c>
      <c r="G201" s="42">
        <f ca="1"/>
        <v>0</v>
      </c>
      <c r="H201" s="6">
        <f ca="1"/>
        <v>-37.628839136085524</v>
      </c>
      <c r="J201" s="6">
        <f ca="1"/>
        <v>2.3903211487957554</v>
      </c>
      <c r="K201" s="6">
        <f ca="1"/>
        <v>59.438284985750627</v>
      </c>
      <c r="L201" s="6">
        <f ca="1"/>
        <v>-2500.5797286518032</v>
      </c>
      <c r="M201" s="42">
        <f ca="1"/>
        <v>-145465.7934350053</v>
      </c>
      <c r="N201" s="6">
        <f ca="1"/>
        <v>-35.005379041628316</v>
      </c>
      <c r="P201" s="6">
        <f ca="1"/>
        <v>2.3903211487957554</v>
      </c>
      <c r="Q201" s="6">
        <f ca="1"/>
        <v>59.438284985750627</v>
      </c>
      <c r="R201" s="6">
        <f ca="1"/>
        <v>-2500.5797286518032</v>
      </c>
      <c r="S201" s="42">
        <f ca="1"/>
        <v>-145465.7934350053</v>
      </c>
      <c r="T201" s="6">
        <f ca="1"/>
        <v>-35.005379041628316</v>
      </c>
    </row>
    <row r="202" spans="1:20">
      <c r="A202" s="43">
        <f ca="1"/>
        <v>200</v>
      </c>
      <c r="B202" s="4">
        <f ca="1"/>
        <v>4.9750000000000003E-2</v>
      </c>
      <c r="D202" s="6">
        <f ca="1"/>
        <v>2.2851709278942831</v>
      </c>
      <c r="E202" s="6">
        <f ca="1"/>
        <v>59.569089342143066</v>
      </c>
      <c r="F202" s="6">
        <f ca="1"/>
        <v>-2482.0453892559613</v>
      </c>
      <c r="G202" s="42">
        <f ca="1"/>
        <v>0</v>
      </c>
      <c r="H202" s="6">
        <f ca="1"/>
        <v>-37.068079540292324</v>
      </c>
      <c r="J202" s="6">
        <f ca="1"/>
        <v>2.4051022001509006</v>
      </c>
      <c r="K202" s="6">
        <f ca="1"/>
        <v>58.808626958138966</v>
      </c>
      <c r="L202" s="6">
        <f ca="1"/>
        <v>-2536.5530053133643</v>
      </c>
      <c r="M202" s="42">
        <f ca="1"/>
        <v>-142310.10715723343</v>
      </c>
      <c r="N202" s="6">
        <f ca="1"/>
        <v>-34.585396067934099</v>
      </c>
      <c r="P202" s="6">
        <f ca="1"/>
        <v>2.4051022001509006</v>
      </c>
      <c r="Q202" s="6">
        <f ca="1"/>
        <v>58.808626958138966</v>
      </c>
      <c r="R202" s="6">
        <f ca="1"/>
        <v>-2536.5530053133643</v>
      </c>
      <c r="S202" s="42">
        <f ca="1"/>
        <v>-142310.10715723343</v>
      </c>
      <c r="T202" s="6">
        <f ca="1"/>
        <v>-34.585396067934099</v>
      </c>
    </row>
    <row r="203" spans="1:20">
      <c r="A203" s="43">
        <f ca="1"/>
        <v>201</v>
      </c>
      <c r="B203" s="4">
        <f ca="1"/>
        <v>0.05</v>
      </c>
      <c r="D203" s="6">
        <f ca="1"/>
        <v>2.2999856363114053</v>
      </c>
      <c r="E203" s="6">
        <f ca="1"/>
        <v>58.948577994829058</v>
      </c>
      <c r="F203" s="6">
        <f ca="1"/>
        <v>-2482.0453892559613</v>
      </c>
      <c r="G203" s="42">
        <f ca="1"/>
        <v>0</v>
      </c>
      <c r="H203" s="6">
        <f ca="1"/>
        <v>-36.49478052938651</v>
      </c>
      <c r="J203" s="6">
        <f ca="1"/>
        <v>2.4197247210924639</v>
      </c>
      <c r="K203" s="6">
        <f ca="1"/>
        <v>58.170074871101825</v>
      </c>
      <c r="L203" s="6">
        <f ca="1"/>
        <v>-2571.729625880293</v>
      </c>
      <c r="M203" s="42">
        <f ca="1"/>
        <v>-139092.54467793653</v>
      </c>
      <c r="N203" s="6">
        <f ca="1"/>
        <v>-34.144177645256256</v>
      </c>
      <c r="P203" s="6">
        <f ca="1"/>
        <v>2.4197247210924639</v>
      </c>
      <c r="Q203" s="6">
        <f ca="1"/>
        <v>58.170074871101825</v>
      </c>
      <c r="R203" s="6">
        <f ca="1"/>
        <v>-2571.729625880293</v>
      </c>
      <c r="S203" s="42">
        <f ca="1"/>
        <v>-139092.54467793653</v>
      </c>
      <c r="T203" s="6">
        <f ca="1"/>
        <v>-34.144177645256256</v>
      </c>
    </row>
    <row r="204" spans="1:20">
      <c r="A204" s="43">
        <f ca="1"/>
        <v>202</v>
      </c>
      <c r="B204" s="4">
        <f ca="1"/>
        <v>5.0250000000000003E-2</v>
      </c>
      <c r="D204" s="6">
        <f ca="1"/>
        <v>2.314645216891698</v>
      </c>
      <c r="E204" s="6">
        <f ca="1"/>
        <v>58.328066647515087</v>
      </c>
      <c r="F204" s="6">
        <f ca="1"/>
        <v>-2482.0453892559613</v>
      </c>
      <c r="G204" s="42">
        <f ca="1"/>
        <v>0</v>
      </c>
      <c r="H204" s="6">
        <f ca="1"/>
        <v>-35.909744675790293</v>
      </c>
      <c r="J204" s="6">
        <f ca="1"/>
        <v>2.4341865131622278</v>
      </c>
      <c r="K204" s="6">
        <f ca="1"/>
        <v>57.522829822294227</v>
      </c>
      <c r="L204" s="6">
        <f ca="1"/>
        <v>-2606.0941213022056</v>
      </c>
      <c r="M204" s="42">
        <f ca="1"/>
        <v>-135813.10599711479</v>
      </c>
      <c r="N204" s="6">
        <f ca="1"/>
        <v>-33.679431458975145</v>
      </c>
      <c r="P204" s="6">
        <f ca="1"/>
        <v>2.4341865131622278</v>
      </c>
      <c r="Q204" s="6">
        <f ca="1"/>
        <v>57.522829822294241</v>
      </c>
      <c r="R204" s="6">
        <f ca="1"/>
        <v>-2606.0941213022056</v>
      </c>
      <c r="S204" s="42">
        <f ca="1"/>
        <v>-135813.10599711479</v>
      </c>
      <c r="T204" s="6">
        <f ca="1"/>
        <v>-33.679431458975152</v>
      </c>
    </row>
    <row r="205" spans="1:20">
      <c r="A205" s="43">
        <f ca="1"/>
        <v>203</v>
      </c>
      <c r="B205" s="4">
        <f ca="1"/>
        <v>5.0500000000000003E-2</v>
      </c>
      <c r="D205" s="6">
        <f ca="1"/>
        <v>2.3291496696351626</v>
      </c>
      <c r="E205" s="6">
        <f ca="1"/>
        <v>57.707555300201072</v>
      </c>
      <c r="F205" s="6">
        <f ca="1"/>
        <v>-2482.0453892559613</v>
      </c>
      <c r="G205" s="42">
        <f ca="1"/>
        <v>0</v>
      </c>
      <c r="H205" s="6">
        <f ca="1"/>
        <v>-35.314827348615601</v>
      </c>
      <c r="J205" s="6">
        <f ca="1"/>
        <v>2.4484854286597977</v>
      </c>
      <c r="K205" s="6">
        <f ca="1"/>
        <v>56.867096776633673</v>
      </c>
      <c r="L205" s="6">
        <f ca="1"/>
        <v>-2639.6310225287234</v>
      </c>
      <c r="M205" s="42">
        <f ca="1"/>
        <v>-132471.79111476801</v>
      </c>
      <c r="N205" s="6">
        <f ca="1"/>
        <v>-33.195295213083085</v>
      </c>
      <c r="P205" s="6">
        <f ca="1"/>
        <v>2.4484854286597977</v>
      </c>
      <c r="Q205" s="6">
        <f ca="1"/>
        <v>56.867096776633673</v>
      </c>
      <c r="R205" s="6">
        <f ca="1"/>
        <v>-2639.6310225287234</v>
      </c>
      <c r="S205" s="42">
        <f ca="1"/>
        <v>-132471.79111476801</v>
      </c>
      <c r="T205" s="6">
        <f ca="1"/>
        <v>-33.195295213083085</v>
      </c>
    </row>
    <row r="206" spans="1:20">
      <c r="A206" s="43">
        <f ca="1"/>
        <v>204</v>
      </c>
      <c r="B206" s="4">
        <f ca="1"/>
        <v>5.0750000000000003E-2</v>
      </c>
      <c r="D206" s="6">
        <f ca="1"/>
        <v>2.3434989945417986</v>
      </c>
      <c r="E206" s="6">
        <f ca="1"/>
        <v>57.0870439528871</v>
      </c>
      <c r="F206" s="6">
        <f ca="1"/>
        <v>-2482.0453892559613</v>
      </c>
      <c r="G206" s="42">
        <f ca="1"/>
        <v>0</v>
      </c>
      <c r="H206" s="6">
        <f ca="1"/>
        <v>-34.712109120361731</v>
      </c>
      <c r="J206" s="6">
        <f ca="1"/>
        <v>2.4626193716094127</v>
      </c>
      <c r="K206" s="6">
        <f ca="1"/>
        <v>56.203084566300355</v>
      </c>
      <c r="L206" s="6">
        <f ca="1"/>
        <v>-2672.3248605094623</v>
      </c>
      <c r="M206" s="42">
        <f ca="1"/>
        <v>-129068.60003089638</v>
      </c>
      <c r="N206" s="6">
        <f ca="1"/>
        <v>-32.696277573176232</v>
      </c>
      <c r="P206" s="6">
        <f ca="1"/>
        <v>2.4626193716094127</v>
      </c>
      <c r="Q206" s="6">
        <f ca="1"/>
        <v>56.203084566300355</v>
      </c>
      <c r="R206" s="6">
        <f ca="1"/>
        <v>-2672.3248605094623</v>
      </c>
      <c r="S206" s="42">
        <f ca="1"/>
        <v>-129068.60003089638</v>
      </c>
      <c r="T206" s="6">
        <f ca="1"/>
        <v>-32.696277573176232</v>
      </c>
    </row>
    <row r="207" spans="1:20">
      <c r="A207" s="43">
        <f ca="1"/>
        <v>205</v>
      </c>
      <c r="B207" s="4">
        <f ca="1"/>
        <v>5.1000000000000004E-2</v>
      </c>
      <c r="D207" s="6">
        <f ca="1"/>
        <v>2.357693191611606</v>
      </c>
      <c r="E207" s="6">
        <f ca="1"/>
        <v>56.466532605573093</v>
      </c>
      <c r="F207" s="6">
        <f ca="1"/>
        <v>-2482.0453892559613</v>
      </c>
      <c r="G207" s="42">
        <f ca="1"/>
        <v>0</v>
      </c>
      <c r="H207" s="6">
        <f ca="1"/>
        <v>-34.102130314432813</v>
      </c>
      <c r="J207" s="6">
        <f ca="1"/>
        <v>2.4765862987267697</v>
      </c>
      <c r="K207" s="6">
        <f ca="1"/>
        <v>55.531005890736957</v>
      </c>
      <c r="L207" s="6">
        <f ca="1"/>
        <v>-2704.1601661940449</v>
      </c>
      <c r="M207" s="42">
        <f ca="1"/>
        <v>-125603.53274549975</v>
      </c>
      <c r="N207" s="6">
        <f ca="1"/>
        <v>-32.180591212494377</v>
      </c>
      <c r="P207" s="6">
        <f ca="1"/>
        <v>2.4765862987267697</v>
      </c>
      <c r="Q207" s="6">
        <f ca="1"/>
        <v>55.531005890736957</v>
      </c>
      <c r="R207" s="6">
        <f ca="1"/>
        <v>-2704.160166194044</v>
      </c>
      <c r="S207" s="42">
        <f ca="1"/>
        <v>-125603.53274549975</v>
      </c>
      <c r="T207" s="6">
        <f ca="1"/>
        <v>-32.180591212494377</v>
      </c>
    </row>
    <row r="208" spans="1:20">
      <c r="A208" s="43">
        <f ca="1"/>
        <v>206</v>
      </c>
      <c r="B208" s="4">
        <f ca="1"/>
        <v>5.1250000000000004E-2</v>
      </c>
      <c r="D208" s="6">
        <f ca="1"/>
        <v>2.3717322608445852</v>
      </c>
      <c r="E208" s="6">
        <f ca="1"/>
        <v>55.846021258259121</v>
      </c>
      <c r="F208" s="6">
        <f ca="1"/>
        <v>-2482.0453892559613</v>
      </c>
      <c r="G208" s="42">
        <f ca="1"/>
        <v>0</v>
      </c>
      <c r="H208" s="6">
        <f ca="1"/>
        <v>-33.486421568149908</v>
      </c>
      <c r="J208" s="6">
        <f ca="1"/>
        <v>2.4903842203858289</v>
      </c>
      <c r="K208" s="6">
        <f ca="1"/>
        <v>54.851077316648876</v>
      </c>
      <c r="L208" s="6">
        <f ca="1"/>
        <v>-2735.1214705320854</v>
      </c>
      <c r="M208" s="42">
        <f ca="1"/>
        <v>-122076.58925857824</v>
      </c>
      <c r="N208" s="6">
        <f ca="1"/>
        <v>-31.651852402543053</v>
      </c>
      <c r="P208" s="6">
        <f ca="1"/>
        <v>2.4903842203858289</v>
      </c>
      <c r="Q208" s="6">
        <f ca="1"/>
        <v>54.851077316648876</v>
      </c>
      <c r="R208" s="6">
        <f ca="1"/>
        <v>-2735.1214705320854</v>
      </c>
      <c r="S208" s="42">
        <f ca="1"/>
        <v>-122076.58925857824</v>
      </c>
      <c r="T208" s="6">
        <f ca="1"/>
        <v>-31.651852402543053</v>
      </c>
    </row>
    <row r="209" spans="1:20">
      <c r="A209" s="43">
        <f ca="1"/>
        <v>207</v>
      </c>
      <c r="B209" s="4">
        <f ca="1"/>
        <v>5.1500000000000004E-2</v>
      </c>
      <c r="D209" s="6">
        <f ca="1"/>
        <v>2.3856162022407359</v>
      </c>
      <c r="E209" s="6">
        <f ca="1"/>
        <v>55.225509910945114</v>
      </c>
      <c r="F209" s="6">
        <f ca="1"/>
        <v>-2482.0453892559613</v>
      </c>
      <c r="G209" s="42">
        <f ca="1"/>
        <v>0</v>
      </c>
      <c r="H209" s="6">
        <f ca="1"/>
        <v>-32.865562749638187</v>
      </c>
      <c r="J209" s="6">
        <f ca="1"/>
        <v>2.5040112015856382</v>
      </c>
      <c r="K209" s="6">
        <f ca="1"/>
        <v>54.163519278003989</v>
      </c>
      <c r="L209" s="6">
        <f ca="1"/>
        <v>-2765.1933044732068</v>
      </c>
      <c r="M209" s="42">
        <f ca="1"/>
        <v>-118487.76957013168</v>
      </c>
      <c r="N209" s="6">
        <f ca="1"/>
        <v>-31.112666540758013</v>
      </c>
      <c r="P209" s="6">
        <f ca="1"/>
        <v>2.5040112015856382</v>
      </c>
      <c r="Q209" s="6">
        <f ca="1"/>
        <v>54.163519278003989</v>
      </c>
      <c r="R209" s="6">
        <f ca="1"/>
        <v>-2765.1933044732068</v>
      </c>
      <c r="S209" s="42">
        <f ca="1"/>
        <v>-118487.7695701317</v>
      </c>
      <c r="T209" s="6">
        <f ca="1"/>
        <v>-31.112666540758013</v>
      </c>
    </row>
    <row r="210" spans="1:20">
      <c r="A210" s="43">
        <f ca="1"/>
        <v>208</v>
      </c>
      <c r="B210" s="4">
        <f ca="1"/>
        <v>5.1750000000000004E-2</v>
      </c>
      <c r="D210" s="6">
        <f ca="1"/>
        <v>2.399345015800058</v>
      </c>
      <c r="E210" s="6">
        <f ca="1"/>
        <v>54.604998563631113</v>
      </c>
      <c r="F210" s="6">
        <f ca="1"/>
        <v>-2482.0453892559613</v>
      </c>
      <c r="G210" s="42">
        <f ca="1"/>
        <v>0</v>
      </c>
      <c r="H210" s="6">
        <f ca="1"/>
        <v>-32.242350670151069</v>
      </c>
      <c r="J210" s="6">
        <f ca="1"/>
        <v>2.5174653629171448</v>
      </c>
      <c r="K210" s="6">
        <f ca="1"/>
        <v>53.468556076032861</v>
      </c>
      <c r="L210" s="6">
        <f ca="1"/>
        <v>-2794.3601989670256</v>
      </c>
      <c r="M210" s="42">
        <f ca="1"/>
        <v>-114837.07368016022</v>
      </c>
      <c r="N210" s="6">
        <f ca="1"/>
        <v>-30.564490748719741</v>
      </c>
      <c r="P210" s="6">
        <f ca="1"/>
        <v>2.5174653629171448</v>
      </c>
      <c r="Q210" s="6">
        <f ca="1"/>
        <v>53.468556076032861</v>
      </c>
      <c r="R210" s="6">
        <f ca="1"/>
        <v>-2794.3601989670256</v>
      </c>
      <c r="S210" s="42">
        <f ca="1"/>
        <v>-114837.0736801602</v>
      </c>
      <c r="T210" s="6">
        <f ca="1"/>
        <v>-30.564490748719741</v>
      </c>
    </row>
    <row r="211" spans="1:20">
      <c r="A211" s="43">
        <f ca="1"/>
        <v>209</v>
      </c>
      <c r="B211" s="4">
        <f ca="1"/>
        <v>5.2000000000000005E-2</v>
      </c>
      <c r="D211" s="6">
        <f ca="1"/>
        <v>2.4129187015225515</v>
      </c>
      <c r="E211" s="6">
        <f ca="1"/>
        <v>53.984487216317135</v>
      </c>
      <c r="F211" s="6">
        <f ca="1"/>
        <v>-2482.0453892559613</v>
      </c>
      <c r="G211" s="42">
        <f ca="1"/>
        <v>0</v>
      </c>
      <c r="H211" s="6">
        <f ca="1"/>
        <v>-31.61737635824786</v>
      </c>
      <c r="J211" s="6">
        <f ca="1"/>
        <v>2.5307448815300098</v>
      </c>
      <c r="K211" s="6">
        <f ca="1"/>
        <v>52.766415879228624</v>
      </c>
      <c r="L211" s="6">
        <f ca="1"/>
        <v>-2822.6066849631598</v>
      </c>
      <c r="M211" s="42">
        <f ca="1"/>
        <v>-111124.50158866392</v>
      </c>
      <c r="N211" s="6">
        <f ca="1"/>
        <v>-30.009224553858772</v>
      </c>
      <c r="P211" s="6">
        <f ca="1"/>
        <v>2.5307448815300098</v>
      </c>
      <c r="Q211" s="6">
        <f ca="1"/>
        <v>52.766415879228617</v>
      </c>
      <c r="R211" s="6">
        <f ca="1"/>
        <v>-2822.6066849631598</v>
      </c>
      <c r="S211" s="42">
        <f ca="1"/>
        <v>-111124.50158866392</v>
      </c>
      <c r="T211" s="6">
        <f ca="1"/>
        <v>-30.009224553858765</v>
      </c>
    </row>
    <row r="212" spans="1:20">
      <c r="A212" s="43">
        <f ca="1"/>
        <v>210</v>
      </c>
      <c r="B212" s="4">
        <f ca="1"/>
        <v>5.2249999999999998E-2</v>
      </c>
      <c r="D212" s="6">
        <f ca="1"/>
        <v>2.426337259408216</v>
      </c>
      <c r="E212" s="6">
        <f ca="1"/>
        <v>53.363975869003156</v>
      </c>
      <c r="F212" s="6">
        <f ca="1"/>
        <v>-2482.0453892559613</v>
      </c>
      <c r="G212" s="42">
        <f ca="1"/>
        <v>0</v>
      </c>
      <c r="H212" s="6">
        <f ca="1"/>
        <v>-30.993367564964622</v>
      </c>
      <c r="J212" s="6">
        <f ca="1"/>
        <v>2.5438479920994266</v>
      </c>
      <c r="K212" s="6">
        <f ca="1"/>
        <v>52.057330723346972</v>
      </c>
      <c r="L212" s="6">
        <f ca="1"/>
        <v>-2849.9172934112289</v>
      </c>
      <c r="M212" s="42">
        <f ca="1"/>
        <v>-107350.05329564266</v>
      </c>
      <c r="N212" s="6">
        <f ca="1"/>
        <v>-29.448866286349872</v>
      </c>
      <c r="P212" s="6">
        <f ca="1"/>
        <v>2.5438479920994266</v>
      </c>
      <c r="Q212" s="6">
        <f ca="1"/>
        <v>52.057330723346965</v>
      </c>
      <c r="R212" s="6">
        <f ca="1"/>
        <v>-2849.9172934112289</v>
      </c>
      <c r="S212" s="42">
        <f ca="1"/>
        <v>-107350.05329564266</v>
      </c>
      <c r="T212" s="6">
        <f ca="1"/>
        <v>-29.448866286349869</v>
      </c>
    </row>
    <row r="213" spans="1:20">
      <c r="A213" s="43">
        <f ca="1"/>
        <v>211</v>
      </c>
      <c r="B213" s="4">
        <f ca="1"/>
        <v>5.2499999999999998E-2</v>
      </c>
      <c r="D213" s="6">
        <f ca="1"/>
        <v>2.4396006894570528</v>
      </c>
      <c r="E213" s="6">
        <f ca="1"/>
        <v>52.743464521689177</v>
      </c>
      <c r="F213" s="6">
        <f ca="1"/>
        <v>-2482.0453892559613</v>
      </c>
      <c r="G213" s="42">
        <f ca="1"/>
        <v>0</v>
      </c>
      <c r="H213" s="6">
        <f ca="1"/>
        <v>-30.368843481753515</v>
      </c>
      <c r="J213" s="6">
        <f ca="1"/>
        <v>2.5567729877929355</v>
      </c>
      <c r="K213" s="6">
        <f ca="1"/>
        <v>51.341536511406233</v>
      </c>
      <c r="L213" s="6">
        <f ca="1"/>
        <v>-2876.276555260853</v>
      </c>
      <c r="M213" s="42">
        <f ca="1"/>
        <v>-103513.72880109648</v>
      </c>
      <c r="N213" s="6">
        <f ca="1"/>
        <v>-28.886831174056859</v>
      </c>
      <c r="P213" s="6">
        <f ca="1"/>
        <v>2.5567729877929355</v>
      </c>
      <c r="Q213" s="6">
        <f ca="1"/>
        <v>51.341536511406233</v>
      </c>
      <c r="R213" s="6">
        <f ca="1"/>
        <v>-2876.276555260853</v>
      </c>
      <c r="S213" s="42">
        <f ca="1"/>
        <v>-103513.72880109648</v>
      </c>
      <c r="T213" s="6">
        <f ca="1"/>
        <v>-28.886831174056859</v>
      </c>
    </row>
    <row r="214" spans="1:20">
      <c r="A214" s="43">
        <f ca="1"/>
        <v>212</v>
      </c>
      <c r="B214" s="4">
        <f ca="1"/>
        <v>5.2749999999999998E-2</v>
      </c>
      <c r="D214" s="6">
        <f ca="1"/>
        <v>2.452708991669061</v>
      </c>
      <c r="E214" s="6">
        <f ca="1"/>
        <v>52.122953174375176</v>
      </c>
      <c r="F214" s="6">
        <f ca="1"/>
        <v>-2482.0453892559613</v>
      </c>
      <c r="G214" s="42">
        <f ca="1"/>
        <v>0</v>
      </c>
      <c r="H214" s="6">
        <f ca="1"/>
        <v>-29.745487262054503</v>
      </c>
      <c r="J214" s="6">
        <f ca="1"/>
        <v>2.5695182212372392</v>
      </c>
      <c r="K214" s="6">
        <f ca="1"/>
        <v>50.619273013687277</v>
      </c>
      <c r="L214" s="6">
        <f ca="1"/>
        <v>-2901.6690014616506</v>
      </c>
      <c r="M214" s="42">
        <f ca="1"/>
        <v>-99615.528105025238</v>
      </c>
      <c r="N214" s="6">
        <f ca="1"/>
        <v>-28.322203933271986</v>
      </c>
      <c r="P214" s="6">
        <f ca="1"/>
        <v>2.5695182212372392</v>
      </c>
      <c r="Q214" s="6">
        <f ca="1"/>
        <v>50.619273013687277</v>
      </c>
      <c r="R214" s="6">
        <f ca="1"/>
        <v>-2901.6690014616502</v>
      </c>
      <c r="S214" s="42">
        <f ca="1"/>
        <v>-99615.528105025238</v>
      </c>
      <c r="T214" s="6">
        <f ca="1"/>
        <v>-28.322203933271986</v>
      </c>
    </row>
    <row r="215" spans="1:20">
      <c r="A215" s="43">
        <f ca="1"/>
        <v>213</v>
      </c>
      <c r="B215" s="4">
        <f ca="1"/>
        <v>5.2999999999999999E-2</v>
      </c>
      <c r="D215" s="6">
        <f ca="1"/>
        <v>2.4656621660442402</v>
      </c>
      <c r="E215" s="6">
        <f ca="1"/>
        <v>51.502441827061197</v>
      </c>
      <c r="F215" s="6">
        <f ca="1"/>
        <v>-2482.0453892559613</v>
      </c>
      <c r="G215" s="42">
        <f ca="1"/>
        <v>0</v>
      </c>
      <c r="H215" s="6">
        <f ca="1"/>
        <v>-29.121479329718117</v>
      </c>
      <c r="J215" s="6">
        <f ca="1"/>
        <v>2.5820821054850174</v>
      </c>
      <c r="K215" s="6">
        <f ca="1"/>
        <v>49.890783867733667</v>
      </c>
      <c r="L215" s="6">
        <f ca="1"/>
        <v>-2926.0791629632386</v>
      </c>
      <c r="M215" s="42">
        <f ca="1"/>
        <v>-95655.4512074292</v>
      </c>
      <c r="N215" s="6">
        <f ca="1"/>
        <v>-27.756700257550552</v>
      </c>
      <c r="P215" s="6">
        <f ca="1"/>
        <v>2.5820821054850174</v>
      </c>
      <c r="Q215" s="6">
        <f ca="1"/>
        <v>49.890783867733667</v>
      </c>
      <c r="R215" s="6">
        <f ca="1"/>
        <v>-2926.0791629632386</v>
      </c>
      <c r="S215" s="42">
        <f ca="1"/>
        <v>-95655.451207429171</v>
      </c>
      <c r="T215" s="6">
        <f ca="1"/>
        <v>-27.756700257550552</v>
      </c>
    </row>
    <row r="216" spans="1:20">
      <c r="A216" s="43">
        <f ca="1"/>
        <v>214</v>
      </c>
      <c r="B216" s="4">
        <f ca="1"/>
        <v>5.3249999999999999E-2</v>
      </c>
      <c r="D216" s="6">
        <f ca="1"/>
        <v>2.4784602125825916</v>
      </c>
      <c r="E216" s="6">
        <f ca="1"/>
        <v>50.88193047974719</v>
      </c>
      <c r="F216" s="6">
        <f ca="1"/>
        <v>-2482.0453892559613</v>
      </c>
      <c r="G216" s="42">
        <f ca="1"/>
        <v>0</v>
      </c>
      <c r="H216" s="6">
        <f ca="1"/>
        <v>-28.505193730016337</v>
      </c>
      <c r="J216" s="6">
        <f ca="1"/>
        <v>2.5944631149817443</v>
      </c>
      <c r="K216" s="6">
        <f ca="1"/>
        <v>49.156316578351458</v>
      </c>
      <c r="L216" s="6">
        <f ca="1"/>
        <v>-2949.4915707152381</v>
      </c>
      <c r="M216" s="42">
        <f ca="1"/>
        <v>-91633.498108308049</v>
      </c>
      <c r="N216" s="6">
        <f ca="1"/>
        <v>-27.193820302287762</v>
      </c>
      <c r="P216" s="6">
        <f ca="1"/>
        <v>2.5944631149817443</v>
      </c>
      <c r="Q216" s="6">
        <f ca="1"/>
        <v>49.156316578351458</v>
      </c>
      <c r="R216" s="6">
        <f ca="1"/>
        <v>-2949.4915707152381</v>
      </c>
      <c r="S216" s="42">
        <f ca="1"/>
        <v>-91633.498108308064</v>
      </c>
      <c r="T216" s="6">
        <f ca="1"/>
        <v>-27.193820302287762</v>
      </c>
    </row>
    <row r="217" spans="1:20">
      <c r="A217" s="43">
        <f ca="1"/>
        <v>215</v>
      </c>
      <c r="B217" s="4">
        <f ca="1"/>
        <v>5.3499999999999999E-2</v>
      </c>
      <c r="D217" s="6">
        <f ca="1"/>
        <v>2.4911031312841136</v>
      </c>
      <c r="E217" s="6">
        <f ca="1"/>
        <v>50.261419132433211</v>
      </c>
      <c r="F217" s="6">
        <f ca="1"/>
        <v>-2482.0453892559613</v>
      </c>
      <c r="G217" s="42">
        <f ca="1"/>
        <v>0</v>
      </c>
      <c r="H217" s="6">
        <f ca="1"/>
        <v>-27.894555503246174</v>
      </c>
      <c r="J217" s="6">
        <f ca="1"/>
        <v>2.6066597865325036</v>
      </c>
      <c r="K217" s="6">
        <f ca="1"/>
        <v>48.416122517609381</v>
      </c>
      <c r="L217" s="6">
        <f ca="1"/>
        <v>-2971.8907556672661</v>
      </c>
      <c r="M217" s="42">
        <f ca="1"/>
        <v>-87549.668807662121</v>
      </c>
      <c r="N217" s="6">
        <f ca="1"/>
        <v>-26.635535739856124</v>
      </c>
      <c r="P217" s="6">
        <f ca="1"/>
        <v>2.6066597865325036</v>
      </c>
      <c r="Q217" s="6">
        <f ca="1"/>
        <v>48.416122517609381</v>
      </c>
      <c r="R217" s="6">
        <f ca="1"/>
        <v>-2971.8907556672661</v>
      </c>
      <c r="S217" s="42">
        <f ca="1"/>
        <v>-87549.668807662121</v>
      </c>
      <c r="T217" s="6">
        <f ca="1"/>
        <v>-26.635535739856124</v>
      </c>
    </row>
    <row r="218" spans="1:20">
      <c r="A218" s="43">
        <f ca="1"/>
        <v>216</v>
      </c>
      <c r="B218" s="4">
        <f ca="1"/>
        <v>5.3749999999999999E-2</v>
      </c>
      <c r="D218" s="6">
        <f ca="1"/>
        <v>2.503590922148808</v>
      </c>
      <c r="E218" s="6">
        <f ca="1"/>
        <v>49.640907785119211</v>
      </c>
      <c r="F218" s="6">
        <f ca="1"/>
        <v>-2482.0453892559613</v>
      </c>
      <c r="G218" s="42">
        <f ca="1"/>
        <v>0</v>
      </c>
      <c r="H218" s="6">
        <f ca="1"/>
        <v>-27.289229589891193</v>
      </c>
      <c r="J218" s="6">
        <f ca="1"/>
        <v>2.6186707202688044</v>
      </c>
      <c r="K218" s="6">
        <f ca="1"/>
        <v>47.670456924838689</v>
      </c>
      <c r="L218" s="6">
        <f ca="1"/>
        <v>-2993.2612487689421</v>
      </c>
      <c r="M218" s="42">
        <f ca="1"/>
        <v>-83403.963305491125</v>
      </c>
      <c r="N218" s="6">
        <f ca="1"/>
        <v>-26.080798593896986</v>
      </c>
      <c r="P218" s="6">
        <f ca="1"/>
        <v>2.6186707202688044</v>
      </c>
      <c r="Q218" s="6">
        <f ca="1"/>
        <v>47.670456924838689</v>
      </c>
      <c r="R218" s="6">
        <f ca="1"/>
        <v>-2993.2612487689421</v>
      </c>
      <c r="S218" s="42">
        <f ca="1"/>
        <v>-83403.963305491096</v>
      </c>
      <c r="T218" s="6">
        <f ca="1"/>
        <v>-26.080798593896986</v>
      </c>
    </row>
    <row r="219" spans="1:20">
      <c r="A219" s="43">
        <f ca="1"/>
        <v>217</v>
      </c>
      <c r="B219" s="4">
        <f ca="1"/>
        <v>5.3999999999999999E-2</v>
      </c>
      <c r="D219" s="6">
        <f ca="1"/>
        <v>2.5159235851766732</v>
      </c>
      <c r="E219" s="6">
        <f ca="1"/>
        <v>49.020396437805232</v>
      </c>
      <c r="F219" s="6">
        <f ca="1"/>
        <v>-2482.0453892559613</v>
      </c>
      <c r="G219" s="42">
        <f ca="1"/>
        <v>0</v>
      </c>
      <c r="H219" s="6">
        <f ca="1"/>
        <v>-26.688697143712378</v>
      </c>
      <c r="J219" s="6">
        <f ca="1"/>
        <v>2.6304945806153945</v>
      </c>
      <c r="K219" s="6">
        <f ca="1"/>
        <v>46.919578906633305</v>
      </c>
      <c r="L219" s="6">
        <f ca="1"/>
        <v>-3013.5875809698837</v>
      </c>
      <c r="M219" s="42">
        <f ca="1"/>
        <v>-79196.381601795307</v>
      </c>
      <c r="N219" s="6">
        <f ca="1"/>
        <v>-25.531137779171992</v>
      </c>
      <c r="P219" s="6">
        <f ca="1"/>
        <v>2.6304945806153945</v>
      </c>
      <c r="Q219" s="6">
        <f ca="1"/>
        <v>46.919578906633305</v>
      </c>
      <c r="R219" s="6">
        <f ca="1"/>
        <v>-3013.5875809698837</v>
      </c>
      <c r="S219" s="42">
        <f ca="1"/>
        <v>-79196.381601795307</v>
      </c>
      <c r="T219" s="6">
        <f ca="1"/>
        <v>-25.531137779171992</v>
      </c>
    </row>
    <row r="220" spans="1:20">
      <c r="A220" s="43">
        <f ca="1"/>
        <v>218</v>
      </c>
      <c r="B220" s="4">
        <f ca="1"/>
        <v>5.425E-2</v>
      </c>
      <c r="D220" s="6">
        <f ca="1"/>
        <v>2.5281011203677108</v>
      </c>
      <c r="E220" s="6">
        <f ca="1"/>
        <v>48.399885090491225</v>
      </c>
      <c r="F220" s="6">
        <f ca="1"/>
        <v>-2482.0453892559613</v>
      </c>
      <c r="G220" s="42">
        <f ca="1"/>
        <v>0</v>
      </c>
      <c r="H220" s="6">
        <f ca="1"/>
        <v>-26.096195787026339</v>
      </c>
      <c r="J220" s="6">
        <f ca="1"/>
        <v>2.6421300972570805</v>
      </c>
      <c r="K220" s="6">
        <f ca="1"/>
        <v>46.163751436849665</v>
      </c>
      <c r="L220" s="6">
        <f ca="1"/>
        <v>-3032.8542832197127</v>
      </c>
      <c r="M220" s="42">
        <f ca="1"/>
        <v>-74926.923696574406</v>
      </c>
      <c r="N220" s="6">
        <f ca="1"/>
        <v>-24.989090984713982</v>
      </c>
      <c r="P220" s="6">
        <f ca="1"/>
        <v>2.6421300972570805</v>
      </c>
      <c r="Q220" s="6">
        <f ca="1"/>
        <v>46.163751436849665</v>
      </c>
      <c r="R220" s="6">
        <f ca="1"/>
        <v>-3032.8542832197127</v>
      </c>
      <c r="S220" s="42">
        <f ca="1"/>
        <v>-74926.923696574406</v>
      </c>
      <c r="T220" s="6">
        <f ca="1"/>
        <v>-24.989090984713982</v>
      </c>
    </row>
    <row r="221" spans="1:20">
      <c r="A221" s="43">
        <f ca="1"/>
        <v>219</v>
      </c>
      <c r="B221" s="4">
        <f ca="1"/>
        <v>5.45E-2</v>
      </c>
      <c r="D221" s="6">
        <f ca="1"/>
        <v>2.540123527721919</v>
      </c>
      <c r="E221" s="6">
        <f ca="1"/>
        <v>47.779373743177246</v>
      </c>
      <c r="F221" s="6">
        <f ca="1"/>
        <v>-2482.0453892559613</v>
      </c>
      <c r="G221" s="42">
        <f ca="1"/>
        <v>0</v>
      </c>
      <c r="H221" s="6">
        <f ca="1"/>
        <v>-25.511628911462843</v>
      </c>
      <c r="J221" s="6">
        <f ca="1"/>
        <v>2.653576066105539</v>
      </c>
      <c r="K221" s="6">
        <f ca="1"/>
        <v>45.403241356606905</v>
      </c>
      <c r="L221" s="6">
        <f ca="1"/>
        <v>-3051.0458864680445</v>
      </c>
      <c r="M221" s="42">
        <f ca="1"/>
        <v>-70595.589589828727</v>
      </c>
      <c r="N221" s="6">
        <f ca="1"/>
        <v>-24.453343233718147</v>
      </c>
      <c r="P221" s="6">
        <f ca="1"/>
        <v>2.653576066105539</v>
      </c>
      <c r="Q221" s="6">
        <f ca="1"/>
        <v>45.403241356606905</v>
      </c>
      <c r="R221" s="6">
        <f ca="1"/>
        <v>-3051.0458864680445</v>
      </c>
      <c r="S221" s="42">
        <f ca="1"/>
        <v>-70595.589589828713</v>
      </c>
      <c r="T221" s="6">
        <f ca="1"/>
        <v>-24.453343233718147</v>
      </c>
    </row>
    <row r="222" spans="1:20">
      <c r="A222" s="43">
        <f ca="1"/>
        <v>220</v>
      </c>
      <c r="B222" s="4">
        <f ca="1"/>
        <v>5.475E-2</v>
      </c>
      <c r="D222" s="6">
        <f ca="1"/>
        <v>2.5519908072392994</v>
      </c>
      <c r="E222" s="6">
        <f ca="1"/>
        <v>47.158862395863245</v>
      </c>
      <c r="F222" s="6">
        <f ca="1"/>
        <v>-2482.0453892559613</v>
      </c>
      <c r="G222" s="42">
        <f ca="1"/>
        <v>0</v>
      </c>
      <c r="H222" s="6">
        <f ca="1"/>
        <v>-24.93284740256901</v>
      </c>
      <c r="J222" s="6">
        <f ca="1"/>
        <v>2.6648313502661352</v>
      </c>
      <c r="K222" s="6">
        <f ca="1"/>
        <v>44.638319374286631</v>
      </c>
      <c r="L222" s="6">
        <f ca="1"/>
        <v>-3068.1469216644996</v>
      </c>
      <c r="M222" s="42">
        <f ca="1"/>
        <v>-66202.379281557951</v>
      </c>
      <c r="N222" s="6">
        <f ca="1"/>
        <v>-23.928087151600995</v>
      </c>
      <c r="P222" s="6">
        <f ca="1"/>
        <v>2.6648313502661352</v>
      </c>
      <c r="Q222" s="6">
        <f ca="1"/>
        <v>44.638319374286631</v>
      </c>
      <c r="R222" s="6">
        <f ca="1"/>
        <v>-3068.1469216645</v>
      </c>
      <c r="S222" s="42">
        <f ca="1"/>
        <v>-66202.379281557936</v>
      </c>
      <c r="T222" s="6">
        <f ca="1"/>
        <v>-23.928087151600998</v>
      </c>
    </row>
    <row r="223" spans="1:20">
      <c r="A223" s="43">
        <f ca="1"/>
        <v>221</v>
      </c>
      <c r="B223" s="4">
        <f ca="1"/>
        <v>5.5E-2</v>
      </c>
      <c r="D223" s="6">
        <f ca="1"/>
        <v>2.5637029589198508</v>
      </c>
      <c r="E223" s="6">
        <f ca="1"/>
        <v>46.538351048549266</v>
      </c>
      <c r="F223" s="6">
        <f ca="1"/>
        <v>-2482.0453892559613</v>
      </c>
      <c r="G223" s="42">
        <f ca="1"/>
        <v>0</v>
      </c>
      <c r="H223" s="6">
        <f ca="1"/>
        <v>-24.367122433745209</v>
      </c>
      <c r="J223" s="6">
        <f ca="1"/>
        <v>2.6758948810047372</v>
      </c>
      <c r="K223" s="6">
        <f ca="1"/>
        <v>43.869260065533176</v>
      </c>
      <c r="L223" s="6">
        <f ca="1"/>
        <v>-3084.1419197586965</v>
      </c>
      <c r="M223" s="42">
        <f ca="1"/>
        <v>-61747.292771762404</v>
      </c>
      <c r="N223" s="6">
        <f ca="1"/>
        <v>-23.411605212084627</v>
      </c>
      <c r="P223" s="6">
        <f ca="1"/>
        <v>2.6758948810047372</v>
      </c>
      <c r="Q223" s="6">
        <f ca="1"/>
        <v>43.869260065533169</v>
      </c>
      <c r="R223" s="6">
        <f ca="1"/>
        <v>-3084.1419197586965</v>
      </c>
      <c r="S223" s="42">
        <f ca="1"/>
        <v>-61747.292771762404</v>
      </c>
      <c r="T223" s="6">
        <f ca="1"/>
        <v>-23.411605212084623</v>
      </c>
    </row>
    <row r="224" spans="1:20">
      <c r="A224" s="43">
        <f ca="1"/>
        <v>222</v>
      </c>
      <c r="B224" s="4">
        <f ca="1"/>
        <v>5.525E-2</v>
      </c>
      <c r="D224" s="6">
        <f ca="1"/>
        <v>2.575259982763574</v>
      </c>
      <c r="E224" s="6">
        <f ca="1"/>
        <v>45.917839701235266</v>
      </c>
      <c r="F224" s="6">
        <f ca="1"/>
        <v>-2482.0453892559613</v>
      </c>
      <c r="G224" s="42">
        <f ca="1"/>
        <v>0</v>
      </c>
      <c r="H224" s="6">
        <f ca="1"/>
        <v>-23.809969180848519</v>
      </c>
      <c r="J224" s="6">
        <f ca="1"/>
        <v>2.6867656587145321</v>
      </c>
      <c r="K224" s="6">
        <f ca="1"/>
        <v>43.096341873253344</v>
      </c>
      <c r="L224" s="6">
        <f ca="1"/>
        <v>-3099.0154117002544</v>
      </c>
      <c r="M224" s="42">
        <f ca="1"/>
        <v>-57230.330060441731</v>
      </c>
      <c r="N224" s="6">
        <f ca="1"/>
        <v>-22.905400929294419</v>
      </c>
      <c r="P224" s="6">
        <f ca="1"/>
        <v>2.6867656587145321</v>
      </c>
      <c r="Q224" s="6">
        <f ca="1"/>
        <v>43.096341873253344</v>
      </c>
      <c r="R224" s="6">
        <f ca="1"/>
        <v>-3099.0154117002539</v>
      </c>
      <c r="S224" s="42">
        <f ca="1"/>
        <v>-57230.330060441767</v>
      </c>
      <c r="T224" s="6">
        <f ca="1"/>
        <v>-22.905400929294416</v>
      </c>
    </row>
    <row r="225" spans="1:20">
      <c r="A225" s="43">
        <f ca="1"/>
        <v>223</v>
      </c>
      <c r="B225" s="4">
        <f ca="1"/>
        <v>5.5500000000000001E-2</v>
      </c>
      <c r="D225" s="6">
        <f ca="1"/>
        <v>2.5866618787704683</v>
      </c>
      <c r="E225" s="6">
        <f ca="1"/>
        <v>45.297328353921287</v>
      </c>
      <c r="F225" s="6">
        <f ca="1"/>
        <v>-2482.0453892559613</v>
      </c>
      <c r="G225" s="42">
        <f ca="1"/>
        <v>0</v>
      </c>
      <c r="H225" s="6">
        <f ca="1"/>
        <v>-23.262245867280711</v>
      </c>
      <c r="J225" s="6">
        <f ca="1"/>
        <v>2.6974427538828416</v>
      </c>
      <c r="K225" s="6">
        <f ca="1"/>
        <v>42.319847107616638</v>
      </c>
      <c r="L225" s="6">
        <f ca="1"/>
        <v>-3112.7519284387904</v>
      </c>
      <c r="M225" s="42">
        <f ca="1"/>
        <v>-52651.491147596302</v>
      </c>
      <c r="N225" s="6">
        <f ca="1"/>
        <v>-22.408660757607919</v>
      </c>
      <c r="P225" s="6">
        <f ca="1"/>
        <v>2.6974427538828416</v>
      </c>
      <c r="Q225" s="6">
        <f ca="1"/>
        <v>42.319847107616638</v>
      </c>
      <c r="R225" s="6">
        <f ca="1"/>
        <v>-3112.7519284387904</v>
      </c>
      <c r="S225" s="42">
        <f ca="1"/>
        <v>-52651.491147596302</v>
      </c>
      <c r="T225" s="6">
        <f ca="1"/>
        <v>-22.408660757607919</v>
      </c>
    </row>
    <row r="226" spans="1:20">
      <c r="A226" s="43">
        <f ca="1"/>
        <v>224</v>
      </c>
      <c r="B226" s="4">
        <f ca="1"/>
        <v>5.5750000000000001E-2</v>
      </c>
      <c r="D226" s="6">
        <f ca="1"/>
        <v>2.5979086469405344</v>
      </c>
      <c r="E226" s="6">
        <f ca="1"/>
        <v>44.676817006607287</v>
      </c>
      <c r="F226" s="6">
        <f ca="1"/>
        <v>-2482.0453892559613</v>
      </c>
      <c r="G226" s="42">
        <f ca="1"/>
        <v>0</v>
      </c>
      <c r="H226" s="6">
        <f ca="1"/>
        <v>-22.725709653070489</v>
      </c>
      <c r="J226" s="6">
        <f ca="1"/>
        <v>2.7079253080579377</v>
      </c>
      <c r="K226" s="6">
        <f ca="1"/>
        <v>41.540061946055054</v>
      </c>
      <c r="L226" s="6">
        <f ca="1"/>
        <v>-3125.336000923925</v>
      </c>
      <c r="M226" s="42">
        <f ca="1"/>
        <v>-48010.77603322576</v>
      </c>
      <c r="N226" s="6">
        <f ca="1"/>
        <v>-21.924773666731653</v>
      </c>
      <c r="P226" s="6">
        <f ca="1"/>
        <v>2.7079253080579377</v>
      </c>
      <c r="Q226" s="6">
        <f ca="1"/>
        <v>41.540061946055062</v>
      </c>
      <c r="R226" s="6">
        <f ca="1"/>
        <v>-3125.336000923925</v>
      </c>
      <c r="S226" s="42">
        <f ca="1"/>
        <v>-48010.77603322576</v>
      </c>
      <c r="T226" s="6">
        <f ca="1"/>
        <v>-21.924773666731657</v>
      </c>
    </row>
    <row r="227" spans="1:20">
      <c r="A227" s="43">
        <f ca="1"/>
        <v>225</v>
      </c>
      <c r="B227" s="4">
        <f ca="1"/>
        <v>5.6000000000000001E-2</v>
      </c>
      <c r="D227" s="6">
        <f ca="1"/>
        <v>2.6090002872737719</v>
      </c>
      <c r="E227" s="6">
        <f ca="1"/>
        <v>44.056305659293308</v>
      </c>
      <c r="F227" s="6">
        <f ca="1"/>
        <v>-2482.0453892559613</v>
      </c>
      <c r="G227" s="42">
        <f ca="1"/>
        <v>0</v>
      </c>
      <c r="H227" s="6">
        <f ca="1"/>
        <v>-22.199795454404224</v>
      </c>
      <c r="J227" s="6">
        <f ca="1"/>
        <v>2.7182125348158577</v>
      </c>
      <c r="K227" s="6">
        <f ca="1"/>
        <v>40.757276433263321</v>
      </c>
      <c r="L227" s="6">
        <f ca="1"/>
        <v>-3136.7521601052767</v>
      </c>
      <c r="M227" s="42">
        <f ca="1"/>
        <v>-43308.184717330449</v>
      </c>
      <c r="N227" s="6">
        <f ca="1"/>
        <v>-21.451726877119516</v>
      </c>
      <c r="P227" s="6">
        <f ca="1"/>
        <v>2.7182125348158577</v>
      </c>
      <c r="Q227" s="6">
        <f ca="1"/>
        <v>40.757276433263321</v>
      </c>
      <c r="R227" s="6">
        <f ca="1"/>
        <v>-3136.7521601052758</v>
      </c>
      <c r="S227" s="42">
        <f ca="1"/>
        <v>-43308.184717330449</v>
      </c>
      <c r="T227" s="6">
        <f ca="1"/>
        <v>-21.451726877119512</v>
      </c>
    </row>
    <row r="228" spans="1:20">
      <c r="A228" s="43">
        <f ca="1"/>
        <v>226</v>
      </c>
      <c r="B228" s="4">
        <f ca="1"/>
        <v>5.6250000000000001E-2</v>
      </c>
      <c r="D228" s="6">
        <f ca="1"/>
        <v>2.6199367997701812</v>
      </c>
      <c r="E228" s="6">
        <f ca="1"/>
        <v>43.435794311979308</v>
      </c>
      <c r="F228" s="6">
        <f ca="1"/>
        <v>-2482.0453892559613</v>
      </c>
      <c r="G228" s="42">
        <f ca="1"/>
        <v>0</v>
      </c>
      <c r="H228" s="6">
        <f ca="1"/>
        <v>-21.687182356682239</v>
      </c>
      <c r="J228" s="6">
        <f ca="1"/>
        <v>2.7283037207272205</v>
      </c>
      <c r="K228" s="6">
        <f ca="1"/>
        <v>39.971784481198597</v>
      </c>
      <c r="L228" s="6">
        <f ca="1"/>
        <v>-3146.9849369324625</v>
      </c>
      <c r="M228" s="42">
        <f ca="1"/>
        <v>-38543.717199910032</v>
      </c>
      <c r="N228" s="6">
        <f ca="1"/>
        <v>-20.990959629963783</v>
      </c>
      <c r="P228" s="6">
        <f ca="1"/>
        <v>2.7283037207272205</v>
      </c>
      <c r="Q228" s="6">
        <f ca="1"/>
        <v>39.971784481198597</v>
      </c>
      <c r="R228" s="6">
        <f ca="1"/>
        <v>-3146.9849369324625</v>
      </c>
      <c r="S228" s="42">
        <f ca="1"/>
        <v>-38543.717199910032</v>
      </c>
      <c r="T228" s="6">
        <f ca="1"/>
        <v>-20.990959629963783</v>
      </c>
    </row>
    <row r="229" spans="1:20">
      <c r="A229" s="43">
        <f ca="1"/>
        <v>227</v>
      </c>
      <c r="B229" s="4">
        <f ca="1"/>
        <v>5.6500000000000002E-2</v>
      </c>
      <c r="D229" s="6">
        <f ca="1"/>
        <v>2.6307181844297616</v>
      </c>
      <c r="E229" s="6">
        <f ca="1"/>
        <v>42.815282964665329</v>
      </c>
      <c r="F229" s="6">
        <f ca="1"/>
        <v>-2482.0453892559613</v>
      </c>
      <c r="G229" s="42">
        <f ca="1"/>
        <v>0</v>
      </c>
      <c r="H229" s="6">
        <f ca="1"/>
        <v>-21.184826126133885</v>
      </c>
      <c r="J229" s="6">
        <f ca="1"/>
        <v>2.7381982263240436</v>
      </c>
      <c r="K229" s="6">
        <f ca="1"/>
        <v>39.183883869080795</v>
      </c>
      <c r="L229" s="6">
        <f ca="1"/>
        <v>-3156.0188623551039</v>
      </c>
      <c r="M229" s="42">
        <f ca="1"/>
        <v>-33717.373480964845</v>
      </c>
      <c r="N229" s="6">
        <f ca="1"/>
        <v>-20.541870404497551</v>
      </c>
      <c r="P229" s="6">
        <f ca="1"/>
        <v>2.7381982263240436</v>
      </c>
      <c r="Q229" s="6">
        <f ca="1"/>
        <v>39.183883869080788</v>
      </c>
      <c r="R229" s="6">
        <f ca="1"/>
        <v>-3156.0188623551039</v>
      </c>
      <c r="S229" s="42">
        <f ca="1"/>
        <v>-33717.373480964845</v>
      </c>
      <c r="T229" s="6">
        <f ca="1"/>
        <v>-20.541870404497551</v>
      </c>
    </row>
    <row r="230" spans="1:20">
      <c r="A230" s="43">
        <f ca="1"/>
        <v>228</v>
      </c>
      <c r="B230" s="4">
        <f ca="1"/>
        <v>5.6750000000000002E-2</v>
      </c>
      <c r="D230" s="6">
        <f ca="1"/>
        <v>2.6413444412525138</v>
      </c>
      <c r="E230" s="6">
        <f ca="1"/>
        <v>42.194771617351321</v>
      </c>
      <c r="F230" s="6">
        <f ca="1"/>
        <v>-2482.0453892559613</v>
      </c>
      <c r="G230" s="42">
        <f ca="1"/>
        <v>0</v>
      </c>
      <c r="H230" s="6">
        <f ca="1"/>
        <v>-20.694744152164485</v>
      </c>
      <c r="J230" s="6">
        <f ca="1"/>
        <v>2.7478954870665548</v>
      </c>
      <c r="K230" s="6">
        <f ca="1"/>
        <v>38.393876243392292</v>
      </c>
      <c r="L230" s="6">
        <f ca="1"/>
        <v>-3163.8384673228188</v>
      </c>
      <c r="M230" s="42">
        <f ca="1"/>
        <v>-28829.153560494549</v>
      </c>
      <c r="N230" s="6">
        <f ca="1"/>
        <v>-20.10537249846174</v>
      </c>
      <c r="P230" s="6">
        <f ca="1"/>
        <v>2.7478954870665548</v>
      </c>
      <c r="Q230" s="6">
        <f ca="1"/>
        <v>38.393876243392292</v>
      </c>
      <c r="R230" s="6">
        <f ca="1"/>
        <v>-3163.8384673228188</v>
      </c>
      <c r="S230" s="42">
        <f ca="1"/>
        <v>-28829.153560494549</v>
      </c>
      <c r="T230" s="6">
        <f ca="1"/>
        <v>-20.10537249846174</v>
      </c>
    </row>
    <row r="231" spans="1:20">
      <c r="A231" s="43">
        <f ca="1"/>
        <v>229</v>
      </c>
      <c r="B231" s="4">
        <f ca="1"/>
        <v>5.7000000000000002E-2</v>
      </c>
      <c r="D231" s="6">
        <f ca="1"/>
        <v>2.6518155702384374</v>
      </c>
      <c r="E231" s="6">
        <f ca="1"/>
        <v>41.574260270037342</v>
      </c>
      <c r="F231" s="6">
        <f ca="1"/>
        <v>-2482.0453892559613</v>
      </c>
      <c r="G231" s="42">
        <f ca="1"/>
        <v>0</v>
      </c>
      <c r="H231" s="6">
        <f ca="1"/>
        <v>-20.217358356383244</v>
      </c>
      <c r="J231" s="6">
        <f ca="1"/>
        <v>2.7573950143100117</v>
      </c>
      <c r="K231" s="6">
        <f ca="1"/>
        <v>37.602067117878164</v>
      </c>
      <c r="L231" s="6">
        <f ca="1"/>
        <v>-3170.4282827852244</v>
      </c>
      <c r="M231" s="42">
        <f ca="1"/>
        <v>-23879.057438499491</v>
      </c>
      <c r="N231" s="6">
        <f ca="1"/>
        <v>-19.681400521777391</v>
      </c>
      <c r="P231" s="6">
        <f ca="1"/>
        <v>2.7573950143100117</v>
      </c>
      <c r="Q231" s="6">
        <f ca="1"/>
        <v>37.602067117878164</v>
      </c>
      <c r="R231" s="6">
        <f ca="1"/>
        <v>-3170.4282827852244</v>
      </c>
      <c r="S231" s="42">
        <f ca="1"/>
        <v>-23879.057438499491</v>
      </c>
      <c r="T231" s="6">
        <f ca="1"/>
        <v>-19.681400521777391</v>
      </c>
    </row>
    <row r="232" spans="1:20">
      <c r="A232" s="43">
        <f ca="1"/>
        <v>230</v>
      </c>
      <c r="B232" s="4">
        <f ca="1"/>
        <v>5.7250000000000002E-2</v>
      </c>
      <c r="D232" s="6">
        <f ca="1"/>
        <v>2.6621315713875324</v>
      </c>
      <c r="E232" s="6">
        <f ca="1"/>
        <v>40.953748922723342</v>
      </c>
      <c r="F232" s="6">
        <f ca="1"/>
        <v>-2482.0453892559613</v>
      </c>
      <c r="G232" s="42">
        <f ca="1"/>
        <v>0</v>
      </c>
      <c r="H232" s="6">
        <f ca="1"/>
        <v>-19.752845845955285</v>
      </c>
      <c r="J232" s="6">
        <f ca="1"/>
        <v>2.7666963962715165</v>
      </c>
      <c r="K232" s="6">
        <f ca="1"/>
        <v>36.808765873545987</v>
      </c>
      <c r="L232" s="6">
        <f ca="1"/>
        <v>-3175.7728396919415</v>
      </c>
      <c r="M232" s="42">
        <f ca="1"/>
        <v>-18867.085114979316</v>
      </c>
      <c r="N232" s="6">
        <f ca="1"/>
        <v>-19.269476478201252</v>
      </c>
      <c r="P232" s="6">
        <f ca="1"/>
        <v>2.7666963962715165</v>
      </c>
      <c r="Q232" s="6">
        <f ca="1"/>
        <v>36.808765873545987</v>
      </c>
      <c r="R232" s="6">
        <f ca="1"/>
        <v>-3175.7728396919415</v>
      </c>
      <c r="S232" s="42">
        <f ca="1"/>
        <v>-18867.085114979316</v>
      </c>
      <c r="T232" s="6">
        <f ca="1"/>
        <v>-19.269476478201252</v>
      </c>
    </row>
    <row r="233" spans="1:20">
      <c r="A233" s="43">
        <f ca="1"/>
        <v>231</v>
      </c>
      <c r="B233" s="4">
        <f ca="1"/>
        <v>5.7500000000000002E-2</v>
      </c>
      <c r="D233" s="6">
        <f ca="1"/>
        <v>2.6722924446997989</v>
      </c>
      <c r="E233" s="6">
        <f ca="1"/>
        <v>40.333237575409363</v>
      </c>
      <c r="F233" s="6">
        <f ca="1"/>
        <v>-2482.0453892559613</v>
      </c>
      <c r="G233" s="42">
        <f ca="1"/>
        <v>0</v>
      </c>
      <c r="H233" s="6">
        <f ca="1"/>
        <v>-19.300848793333774</v>
      </c>
      <c r="J233" s="6">
        <f ca="1"/>
        <v>2.7757992989968301</v>
      </c>
      <c r="K233" s="6">
        <f ca="1"/>
        <v>36.014285758666034</v>
      </c>
      <c r="L233" s="6">
        <f ca="1"/>
        <v>-3179.8566689925874</v>
      </c>
      <c r="M233" s="42">
        <f ca="1"/>
        <v>-13793.236589934382</v>
      </c>
      <c r="N233" s="6">
        <f ca="1"/>
        <v>-18.870182324176483</v>
      </c>
      <c r="P233" s="6">
        <f ca="1"/>
        <v>2.7757992989968301</v>
      </c>
      <c r="Q233" s="6">
        <f ca="1"/>
        <v>36.014285758666034</v>
      </c>
      <c r="R233" s="6">
        <f ca="1"/>
        <v>-3179.8566689925874</v>
      </c>
      <c r="S233" s="42">
        <f ca="1"/>
        <v>-13793.236589934346</v>
      </c>
      <c r="T233" s="6">
        <f ca="1"/>
        <v>-18.870182324176483</v>
      </c>
    </row>
    <row r="234" spans="1:20">
      <c r="A234" s="43">
        <f ca="1"/>
        <v>232</v>
      </c>
      <c r="B234" s="4">
        <f ca="1"/>
        <v>5.7750000000000003E-2</v>
      </c>
      <c r="D234" s="6">
        <f ca="1"/>
        <v>2.6822981901752372</v>
      </c>
      <c r="E234" s="6">
        <f ca="1"/>
        <v>39.712726228095356</v>
      </c>
      <c r="F234" s="6">
        <f ca="1"/>
        <v>-2482.0453892559613</v>
      </c>
      <c r="G234" s="42">
        <f ca="1"/>
        <v>0</v>
      </c>
      <c r="H234" s="6">
        <f ca="1"/>
        <v>-18.860582453646611</v>
      </c>
      <c r="J234" s="6">
        <f ca="1"/>
        <v>2.7847034673271889</v>
      </c>
      <c r="K234" s="6">
        <f ca="1"/>
        <v>35.218943888771058</v>
      </c>
      <c r="L234" s="6">
        <f ca="1"/>
        <v>-3182.6643016367807</v>
      </c>
      <c r="M234" s="42">
        <f ca="1"/>
        <v>-8657.511863364296</v>
      </c>
      <c r="N234" s="6">
        <f ca="1"/>
        <v>-18.482763071984184</v>
      </c>
      <c r="P234" s="6">
        <f ca="1"/>
        <v>2.7847034673271889</v>
      </c>
      <c r="Q234" s="6">
        <f ca="1"/>
        <v>35.218943888771065</v>
      </c>
      <c r="R234" s="6">
        <f ca="1"/>
        <v>-3182.6643016367807</v>
      </c>
      <c r="S234" s="42">
        <f ca="1"/>
        <v>-8657.511863364296</v>
      </c>
      <c r="T234" s="6">
        <f ca="1"/>
        <v>-18.482763071984184</v>
      </c>
    </row>
    <row r="235" spans="1:20">
      <c r="A235" s="43">
        <f ca="1"/>
        <v>233</v>
      </c>
      <c r="B235" s="4">
        <f ca="1"/>
        <v>5.8000000000000003E-2</v>
      </c>
      <c r="D235" s="6">
        <f ca="1"/>
        <v>2.6921488078138465</v>
      </c>
      <c r="E235" s="6">
        <f ca="1"/>
        <v>39.092214880781377</v>
      </c>
      <c r="F235" s="6">
        <f ca="1"/>
        <v>-2482.0453892559613</v>
      </c>
      <c r="G235" s="42">
        <f ca="1"/>
        <v>0</v>
      </c>
      <c r="H235" s="6">
        <f ca="1"/>
        <v>-18.43474946541204</v>
      </c>
      <c r="J235" s="6">
        <f ca="1"/>
        <v>2.7934087258661213</v>
      </c>
      <c r="K235" s="6">
        <f ca="1"/>
        <v>34.423061246656545</v>
      </c>
      <c r="L235" s="6">
        <f ca="1"/>
        <v>-3184.1802685741418</v>
      </c>
      <c r="M235" s="42">
        <f ca="1"/>
        <v>-3459.9109352694836</v>
      </c>
      <c r="N235" s="6">
        <f ca="1"/>
        <v>-18.107854872667335</v>
      </c>
      <c r="P235" s="6">
        <f ca="1"/>
        <v>2.7934087258661213</v>
      </c>
      <c r="Q235" s="6">
        <f ca="1"/>
        <v>34.423061246656545</v>
      </c>
      <c r="R235" s="6">
        <f ca="1"/>
        <v>-3184.1802685741418</v>
      </c>
      <c r="S235" s="42">
        <f ca="1"/>
        <v>-3459.9109352694481</v>
      </c>
      <c r="T235" s="6">
        <f ca="1"/>
        <v>-18.107854872667335</v>
      </c>
    </row>
    <row r="236" spans="1:20">
      <c r="A236" s="43">
        <f ca="1"/>
        <v>234</v>
      </c>
      <c r="B236" s="4">
        <f ca="1"/>
        <v>5.8250000000000003E-2</v>
      </c>
      <c r="D236" s="6">
        <f ca="1"/>
        <v>2.7018442976156281</v>
      </c>
      <c r="E236" s="6">
        <f ca="1"/>
        <v>38.471703533467377</v>
      </c>
      <c r="F236" s="6">
        <f ca="1"/>
        <v>-2482.0453892559613</v>
      </c>
      <c r="G236" s="42">
        <f ca="1"/>
        <v>0</v>
      </c>
      <c r="H236" s="6">
        <f ca="1"/>
        <v>-18.02130772175272</v>
      </c>
      <c r="J236" s="6">
        <f ca="1"/>
        <v>2.8019149799462619</v>
      </c>
      <c r="K236" s="6">
        <f ca="1"/>
        <v>33.626962682380437</v>
      </c>
      <c r="L236" s="6">
        <f ca="1"/>
        <v>-3184.3891007542888</v>
      </c>
      <c r="M236" s="42">
        <f ca="1"/>
        <v>1799.5661943504435</v>
      </c>
      <c r="N236" s="6">
        <f ca="1"/>
        <v>-17.744546859610338</v>
      </c>
      <c r="P236" s="6">
        <f ca="1"/>
        <v>2.8019149799462619</v>
      </c>
      <c r="Q236" s="6">
        <f ca="1"/>
        <v>33.62696268238043</v>
      </c>
      <c r="R236" s="6">
        <f ca="1"/>
        <v>-3184.3891007542888</v>
      </c>
      <c r="S236" s="42">
        <f ca="1"/>
        <v>1799.5661943504435</v>
      </c>
      <c r="T236" s="6">
        <f ca="1"/>
        <v>-17.744546859610335</v>
      </c>
    </row>
    <row r="237" spans="1:20">
      <c r="A237" s="43">
        <f ca="1"/>
        <v>235</v>
      </c>
      <c r="B237" s="4">
        <f ca="1"/>
        <v>5.8500000000000003E-2</v>
      </c>
      <c r="D237" s="6">
        <f ca="1"/>
        <v>2.7113846595805802</v>
      </c>
      <c r="E237" s="6">
        <f ca="1"/>
        <v>37.851192186153398</v>
      </c>
      <c r="F237" s="6">
        <f ca="1"/>
        <v>-2482.0453892559613</v>
      </c>
      <c r="G237" s="42">
        <f ca="1"/>
        <v>0</v>
      </c>
      <c r="H237" s="6">
        <f ca="1"/>
        <v>-17.619988341872549</v>
      </c>
      <c r="J237" s="6">
        <f ca="1"/>
        <v>2.8102222165961659</v>
      </c>
      <c r="K237" s="6">
        <f ca="1"/>
        <v>32.830976913263363</v>
      </c>
      <c r="L237" s="6">
        <f ca="1"/>
        <v>-3183.2753291268396</v>
      </c>
      <c r="M237" s="42">
        <f ca="1"/>
        <v>7120.9195254951674</v>
      </c>
      <c r="N237" s="6">
        <f ca="1"/>
        <v>-17.392672449661568</v>
      </c>
      <c r="P237" s="6">
        <f ca="1"/>
        <v>2.8102222165961659</v>
      </c>
      <c r="Q237" s="6">
        <f ca="1"/>
        <v>32.830976913263363</v>
      </c>
      <c r="R237" s="6">
        <f ca="1"/>
        <v>-3183.2753291268396</v>
      </c>
      <c r="S237" s="42">
        <f ca="1"/>
        <v>7120.9195254951674</v>
      </c>
      <c r="T237" s="6">
        <f ca="1"/>
        <v>-17.392672449661568</v>
      </c>
    </row>
    <row r="238" spans="1:20">
      <c r="A238" s="43">
        <f ca="1"/>
        <v>236</v>
      </c>
      <c r="B238" s="4">
        <f ca="1"/>
        <v>5.8750000000000004E-2</v>
      </c>
      <c r="D238" s="6">
        <f ca="1"/>
        <v>2.7207698937087046</v>
      </c>
      <c r="E238" s="6">
        <f ca="1"/>
        <v>37.230680838839397</v>
      </c>
      <c r="F238" s="6">
        <f ca="1"/>
        <v>-2482.0453892559613</v>
      </c>
      <c r="G238" s="42">
        <f ca="1"/>
        <v>0</v>
      </c>
      <c r="H238" s="6">
        <f ca="1"/>
        <v>-17.232840259873608</v>
      </c>
      <c r="J238" s="6">
        <f ca="1"/>
        <v>2.8183305055071295</v>
      </c>
      <c r="K238" s="6">
        <f ca="1"/>
        <v>32.035436523888499</v>
      </c>
      <c r="L238" s="6">
        <f ca="1"/>
        <v>-3180.8234846414143</v>
      </c>
      <c r="M238" s="42">
        <f ca="1"/>
        <v>12504.14905816497</v>
      </c>
      <c r="N238" s="6">
        <f ca="1"/>
        <v>-17.051878605478322</v>
      </c>
      <c r="P238" s="6">
        <f ca="1"/>
        <v>2.8183305055071295</v>
      </c>
      <c r="Q238" s="6">
        <f ca="1"/>
        <v>32.035436523888499</v>
      </c>
      <c r="R238" s="6">
        <f ca="1"/>
        <v>-3180.8234846414143</v>
      </c>
      <c r="S238" s="42">
        <f ca="1"/>
        <v>12504.14905816497</v>
      </c>
      <c r="T238" s="6">
        <f ca="1"/>
        <v>-17.051878605478322</v>
      </c>
    </row>
    <row r="239" spans="1:20">
      <c r="A239" s="43">
        <f ca="1"/>
        <v>237</v>
      </c>
      <c r="B239" s="4">
        <f ca="1"/>
        <v>5.9000000000000004E-2</v>
      </c>
      <c r="D239" s="6">
        <f ca="1"/>
        <v>2.73</v>
      </c>
      <c r="E239" s="6">
        <f ca="1"/>
        <v>36.610169491525419</v>
      </c>
      <c r="F239" s="6">
        <f ca="1"/>
        <v>-2482.0453892559613</v>
      </c>
      <c r="G239" s="42">
        <f ca="1"/>
        <v>0</v>
      </c>
      <c r="H239" s="6">
        <f ca="1"/>
        <v>-16.857991660097124</v>
      </c>
      <c r="J239" s="6">
        <f ca="1"/>
        <v>2.8262400000000003</v>
      </c>
      <c r="K239" s="6">
        <f ca="1"/>
        <v>31.240677966101689</v>
      </c>
      <c r="L239" s="6">
        <f ca="1"/>
        <v>-3177.0180982476304</v>
      </c>
      <c r="M239" s="42">
        <f ca="1"/>
        <v>17949.25479235957</v>
      </c>
      <c r="N239" s="6">
        <f ca="1"/>
        <v>-16.722240567355183</v>
      </c>
      <c r="P239" s="6">
        <f ca="1"/>
        <v>2.8262400000000003</v>
      </c>
      <c r="Q239" s="6">
        <f ca="1"/>
        <v>31.240677966101682</v>
      </c>
      <c r="R239" s="6">
        <f ca="1"/>
        <v>-3177.0180982476304</v>
      </c>
      <c r="S239" s="42">
        <f ca="1"/>
        <v>17949.25479235957</v>
      </c>
      <c r="T239" s="6">
        <f ca="1"/>
        <v>-16.722240567355183</v>
      </c>
    </row>
    <row r="240" spans="1:20">
      <c r="A240" s="43">
        <f ca="1"/>
        <v>238</v>
      </c>
      <c r="B240" s="4">
        <f ca="1"/>
        <v>5.9250000000000004E-2</v>
      </c>
      <c r="D240" s="6">
        <f ca="1"/>
        <v>2.7390749784544672</v>
      </c>
      <c r="E240" s="6">
        <f ca="1"/>
        <v>35.989658144211418</v>
      </c>
      <c r="F240" s="6">
        <f ca="1"/>
        <v>-2482.0453892559613</v>
      </c>
      <c r="G240" s="42">
        <f ca="1"/>
        <v>0</v>
      </c>
      <c r="H240" s="6">
        <f ca="1"/>
        <v>-16.495644156641102</v>
      </c>
      <c r="J240" s="6">
        <f ca="1"/>
        <v>2.8339509379919958</v>
      </c>
      <c r="K240" s="6">
        <f ca="1"/>
        <v>30.44704155901125</v>
      </c>
      <c r="L240" s="6">
        <f ca="1"/>
        <v>-3171.8437008951068</v>
      </c>
      <c r="M240" s="42">
        <f ca="1"/>
        <v>23456.236728079253</v>
      </c>
      <c r="N240" s="6">
        <f ca="1"/>
        <v>-16.402794549281086</v>
      </c>
      <c r="P240" s="6">
        <f ca="1"/>
        <v>2.8339509379919958</v>
      </c>
      <c r="Q240" s="6">
        <f ca="1"/>
        <v>30.44704155901125</v>
      </c>
      <c r="R240" s="6">
        <f ca="1"/>
        <v>-3171.8437008951073</v>
      </c>
      <c r="S240" s="42">
        <f ca="1"/>
        <v>23456.236728079286</v>
      </c>
      <c r="T240" s="6">
        <f ca="1"/>
        <v>-16.40279454928109</v>
      </c>
    </row>
    <row r="241" spans="1:20">
      <c r="A241" s="43">
        <f ca="1"/>
        <v>239</v>
      </c>
      <c r="B241" s="4">
        <f ca="1"/>
        <v>5.9500000000000004E-2</v>
      </c>
      <c r="D241" s="6">
        <f ca="1"/>
        <v>2.7479948290721059</v>
      </c>
      <c r="E241" s="6">
        <f ca="1"/>
        <v>35.369146796897432</v>
      </c>
      <c r="F241" s="6">
        <f ca="1"/>
        <v>-2482.0453892559613</v>
      </c>
      <c r="G241" s="42">
        <f ca="1"/>
        <v>0</v>
      </c>
      <c r="H241" s="6">
        <f ca="1"/>
        <v>-16.146390120709146</v>
      </c>
      <c r="J241" s="6">
        <f ca="1"/>
        <v>2.8414636429635189</v>
      </c>
      <c r="K241" s="6">
        <f ca="1"/>
        <v>29.654871488988221</v>
      </c>
      <c r="L241" s="6">
        <f ca="1"/>
        <v>-3165.2848235334632</v>
      </c>
      <c r="M241" s="42">
        <f ca="1"/>
        <v>29025.094865323728</v>
      </c>
      <c r="N241" s="6">
        <f ca="1"/>
        <v>-16.0933397585592</v>
      </c>
      <c r="P241" s="6">
        <f ca="1"/>
        <v>2.8414636429635189</v>
      </c>
      <c r="Q241" s="6">
        <f ca="1"/>
        <v>29.654871488988228</v>
      </c>
      <c r="R241" s="6">
        <f ca="1"/>
        <v>-3165.2848235334632</v>
      </c>
      <c r="S241" s="42">
        <f ca="1"/>
        <v>29025.094865323728</v>
      </c>
      <c r="T241" s="6">
        <f ca="1"/>
        <v>-16.0933397585592</v>
      </c>
    </row>
    <row r="242" spans="1:20">
      <c r="A242" s="43">
        <f ca="1"/>
        <v>240</v>
      </c>
      <c r="B242" s="4">
        <f ca="1"/>
        <v>5.9750000000000004E-2</v>
      </c>
      <c r="D242" s="6">
        <f ca="1"/>
        <v>2.756759551852916</v>
      </c>
      <c r="E242" s="6">
        <f ca="1"/>
        <v>34.748635449583439</v>
      </c>
      <c r="F242" s="6">
        <f ca="1"/>
        <v>-2482.0453892559613</v>
      </c>
      <c r="G242" s="42">
        <f ca="1"/>
        <v>0</v>
      </c>
      <c r="H242" s="6">
        <f ca="1"/>
        <v>-15.809568350646096</v>
      </c>
      <c r="J242" s="6">
        <f ca="1"/>
        <v>2.8487785249249726</v>
      </c>
      <c r="K242" s="6">
        <f ca="1"/>
        <v>28.864515809666141</v>
      </c>
      <c r="L242" s="6">
        <f ca="1"/>
        <v>-3157.3259971123184</v>
      </c>
      <c r="M242" s="42">
        <f ca="1"/>
        <v>34655.829204093287</v>
      </c>
      <c r="N242" s="6">
        <f ca="1"/>
        <v>-15.793524302373905</v>
      </c>
      <c r="P242" s="6">
        <f ca="1"/>
        <v>2.8487785249249726</v>
      </c>
      <c r="Q242" s="6">
        <f ca="1"/>
        <v>28.864515809666141</v>
      </c>
      <c r="R242" s="6">
        <f ca="1"/>
        <v>-3157.3259971123184</v>
      </c>
      <c r="S242" s="42">
        <f ca="1"/>
        <v>34655.829204093287</v>
      </c>
      <c r="T242" s="6">
        <f ca="1"/>
        <v>-15.793524302373905</v>
      </c>
    </row>
    <row r="243" spans="1:20">
      <c r="A243" s="43">
        <f ca="1"/>
        <v>241</v>
      </c>
      <c r="B243" s="4">
        <f ca="1"/>
        <v>0.06</v>
      </c>
      <c r="D243" s="6">
        <f ca="1"/>
        <v>2.7653691467968975</v>
      </c>
      <c r="E243" s="6">
        <f ca="1"/>
        <v>34.128124102269453</v>
      </c>
      <c r="F243" s="6">
        <f ca="1"/>
        <v>-2482.0453892559613</v>
      </c>
      <c r="G243" s="42">
        <f ca="1"/>
        <v>0</v>
      </c>
      <c r="H243" s="6">
        <f ca="1"/>
        <v>-15.485229521412739</v>
      </c>
      <c r="J243" s="6">
        <f ca="1"/>
        <v>2.8558960813835759</v>
      </c>
      <c r="K243" s="6">
        <f ca="1"/>
        <v>28.07632644194123</v>
      </c>
      <c r="L243" s="6">
        <f ca="1"/>
        <v>-3147.9517525812903</v>
      </c>
      <c r="M243" s="42">
        <f ca="1"/>
        <v>40348.439744387601</v>
      </c>
      <c r="N243" s="6">
        <f ca="1"/>
        <v>-15.502607420335078</v>
      </c>
      <c r="P243" s="6">
        <f ca="1"/>
        <v>2.8558960813835759</v>
      </c>
      <c r="Q243" s="6">
        <f ca="1"/>
        <v>28.076326441941227</v>
      </c>
      <c r="R243" s="6">
        <f ca="1"/>
        <v>-3147.9517525812903</v>
      </c>
      <c r="S243" s="42">
        <f ca="1"/>
        <v>40348.439744387637</v>
      </c>
      <c r="T243" s="6">
        <f ca="1"/>
        <v>-15.502607420335078</v>
      </c>
    </row>
    <row r="244" spans="1:20">
      <c r="A244" s="43">
        <f ca="1"/>
        <v>242</v>
      </c>
      <c r="B244" s="4">
        <f ca="1"/>
        <v>6.0249999999999998E-2</v>
      </c>
      <c r="D244" s="6">
        <f ca="1"/>
        <v>2.7738236139040504</v>
      </c>
      <c r="E244" s="6">
        <f ca="1"/>
        <v>33.507612754955474</v>
      </c>
      <c r="F244" s="6">
        <f ca="1"/>
        <v>-2482.0453892559613</v>
      </c>
      <c r="G244" s="42">
        <f ca="1"/>
        <v>0</v>
      </c>
      <c r="H244" s="6">
        <f ca="1"/>
        <v>-15.173139813967667</v>
      </c>
      <c r="J244" s="6">
        <f ca="1"/>
        <v>2.8628168983101805</v>
      </c>
      <c r="K244" s="6">
        <f ca="1"/>
        <v>27.290659173972205</v>
      </c>
      <c r="L244" s="6">
        <f ca="1"/>
        <v>-3137.1466208899974</v>
      </c>
      <c r="M244" s="42">
        <f ca="1"/>
        <v>46102.926486206932</v>
      </c>
      <c r="N244" s="6">
        <f ca="1"/>
        <v>-15.220378730569109</v>
      </c>
      <c r="P244" s="6">
        <f ca="1"/>
        <v>2.8628168983101805</v>
      </c>
      <c r="Q244" s="6">
        <f ca="1"/>
        <v>27.290659173972209</v>
      </c>
      <c r="R244" s="6">
        <f ca="1"/>
        <v>-3137.1466208899974</v>
      </c>
      <c r="S244" s="42">
        <f ca="1"/>
        <v>46102.926486206896</v>
      </c>
      <c r="T244" s="6">
        <f ca="1"/>
        <v>-15.220378730569109</v>
      </c>
    </row>
    <row r="245" spans="1:20">
      <c r="A245" s="43">
        <f ca="1"/>
        <v>243</v>
      </c>
      <c r="B245" s="4">
        <f ca="1"/>
        <v>6.0499999999999998E-2</v>
      </c>
      <c r="D245" s="6">
        <f ca="1"/>
        <v>2.7821229531743752</v>
      </c>
      <c r="E245" s="6">
        <f ca="1"/>
        <v>32.887101407641474</v>
      </c>
      <c r="F245" s="6">
        <f ca="1"/>
        <v>-2482.0453892559613</v>
      </c>
      <c r="G245" s="42">
        <f ca="1"/>
        <v>0</v>
      </c>
      <c r="H245" s="6">
        <f ca="1"/>
        <v>-14.872874893350144</v>
      </c>
      <c r="J245" s="6">
        <f ca="1"/>
        <v>2.8695416511060845</v>
      </c>
      <c r="K245" s="6">
        <f ca="1"/>
        <v>26.507873661180444</v>
      </c>
      <c r="L245" s="6">
        <f ca="1"/>
        <v>-3124.8951329880592</v>
      </c>
      <c r="M245" s="42">
        <f ca="1"/>
        <v>51919.289429551303</v>
      </c>
      <c r="N245" s="6">
        <f ca="1"/>
        <v>-14.946197080617331</v>
      </c>
      <c r="P245" s="6">
        <f ca="1"/>
        <v>2.8695416511060845</v>
      </c>
      <c r="Q245" s="6">
        <f ca="1"/>
        <v>26.507873661180447</v>
      </c>
      <c r="R245" s="6">
        <f ca="1"/>
        <v>-3124.8951329880592</v>
      </c>
      <c r="S245" s="42">
        <f ca="1"/>
        <v>51919.289429551303</v>
      </c>
      <c r="T245" s="6">
        <f ca="1"/>
        <v>-14.946197080617331</v>
      </c>
    </row>
    <row r="246" spans="1:20">
      <c r="A246" s="43">
        <f ca="1"/>
        <v>244</v>
      </c>
      <c r="B246" s="4">
        <f ca="1"/>
        <v>6.0749999999999998E-2</v>
      </c>
      <c r="D246" s="6">
        <f ca="1"/>
        <v>2.7902671646078714</v>
      </c>
      <c r="E246" s="6">
        <f ca="1"/>
        <v>32.266590060327488</v>
      </c>
      <c r="F246" s="6">
        <f ca="1"/>
        <v>-2482.0453892559613</v>
      </c>
      <c r="G246" s="42">
        <f ca="1"/>
        <v>0</v>
      </c>
      <c r="H246" s="6">
        <f ca="1"/>
        <v>-14.58470215114453</v>
      </c>
      <c r="J246" s="6">
        <f ca="1"/>
        <v>2.8760711055698502</v>
      </c>
      <c r="K246" s="6">
        <f ca="1"/>
        <v>25.728333426249939</v>
      </c>
      <c r="L246" s="6">
        <f ca="1"/>
        <v>-3111.1818198250949</v>
      </c>
      <c r="M246" s="42">
        <f ca="1"/>
        <v>57797.52857442043</v>
      </c>
      <c r="N246" s="6">
        <f ca="1"/>
        <v>-14.679506700087915</v>
      </c>
      <c r="P246" s="6">
        <f ca="1"/>
        <v>2.8760711055698502</v>
      </c>
      <c r="Q246" s="6">
        <f ca="1"/>
        <v>25.728333426249932</v>
      </c>
      <c r="R246" s="6">
        <f ca="1"/>
        <v>-3111.1818198250949</v>
      </c>
      <c r="S246" s="42">
        <f ca="1"/>
        <v>57797.528574420467</v>
      </c>
      <c r="T246" s="6">
        <f ca="1"/>
        <v>-14.679506700087915</v>
      </c>
    </row>
    <row r="247" spans="1:20">
      <c r="A247" s="43">
        <f ca="1"/>
        <v>245</v>
      </c>
      <c r="B247" s="4">
        <f ca="1"/>
        <v>6.0999999999999999E-2</v>
      </c>
      <c r="D247" s="6">
        <f ca="1"/>
        <v>2.798256248204539</v>
      </c>
      <c r="E247" s="6">
        <f ca="1"/>
        <v>31.646078713013495</v>
      </c>
      <c r="F247" s="6">
        <f ca="1"/>
        <v>-2482.0453892559613</v>
      </c>
      <c r="G247" s="42">
        <f ca="1"/>
        <v>0</v>
      </c>
      <c r="H247" s="6">
        <f ca="1"/>
        <v>-14.308068930068153</v>
      </c>
      <c r="J247" s="6">
        <f ca="1"/>
        <v>2.8824061188641177</v>
      </c>
      <c r="K247" s="6">
        <f ca="1"/>
        <v>24.952405859127175</v>
      </c>
      <c r="L247" s="6">
        <f ca="1"/>
        <v>-3095.9912123507215</v>
      </c>
      <c r="M247" s="42">
        <f ca="1"/>
        <v>63737.64392081472</v>
      </c>
      <c r="N247" s="6">
        <f ca="1"/>
        <v>-14.41986371824315</v>
      </c>
      <c r="P247" s="6">
        <f ca="1"/>
        <v>2.8824061188641177</v>
      </c>
      <c r="Q247" s="6">
        <f ca="1"/>
        <v>24.952405859127168</v>
      </c>
      <c r="R247" s="6">
        <f ca="1"/>
        <v>-3095.9912123507215</v>
      </c>
      <c r="S247" s="42">
        <f ca="1"/>
        <v>63737.643920814749</v>
      </c>
      <c r="T247" s="6">
        <f ca="1"/>
        <v>-14.41986371824315</v>
      </c>
    </row>
    <row r="248" spans="1:20">
      <c r="A248" s="43">
        <f ca="1"/>
        <v>246</v>
      </c>
      <c r="B248" s="4">
        <f ca="1"/>
        <v>6.1249999999999999E-2</v>
      </c>
      <c r="D248" s="6">
        <f ca="1"/>
        <v>2.806090203964378</v>
      </c>
      <c r="E248" s="6">
        <f ca="1"/>
        <v>31.025567365699516</v>
      </c>
      <c r="F248" s="6">
        <f ca="1"/>
        <v>-2482.0453892559613</v>
      </c>
      <c r="G248" s="42">
        <f ca="1"/>
        <v>0</v>
      </c>
      <c r="H248" s="6">
        <f ca="1"/>
        <v>-14.042982158385643</v>
      </c>
      <c r="J248" s="6">
        <f ca="1"/>
        <v>2.8885476404824226</v>
      </c>
      <c r="K248" s="6">
        <f ca="1"/>
        <v>24.180462217021393</v>
      </c>
      <c r="L248" s="6">
        <f ca="1"/>
        <v>-3079.3078415145601</v>
      </c>
      <c r="M248" s="42">
        <f ca="1"/>
        <v>69739.635468733759</v>
      </c>
      <c r="N248" s="6">
        <f ca="1"/>
        <v>-14.166580700528105</v>
      </c>
      <c r="P248" s="6">
        <f ca="1"/>
        <v>2.8885476404824226</v>
      </c>
      <c r="Q248" s="6">
        <f ca="1"/>
        <v>24.180462217021393</v>
      </c>
      <c r="R248" s="6">
        <f ca="1"/>
        <v>-3079.3078415145601</v>
      </c>
      <c r="S248" s="42">
        <f ca="1"/>
        <v>69739.63546873373</v>
      </c>
      <c r="T248" s="6">
        <f ca="1"/>
        <v>-14.166580700528105</v>
      </c>
    </row>
    <row r="249" spans="1:20">
      <c r="A249" s="43">
        <f ca="1"/>
        <v>247</v>
      </c>
      <c r="B249" s="4">
        <f ca="1"/>
        <v>6.1499999999999999E-2</v>
      </c>
      <c r="D249" s="6">
        <f ca="1"/>
        <v>2.8137690318873889</v>
      </c>
      <c r="E249" s="6">
        <f ca="1"/>
        <v>30.405056018385512</v>
      </c>
      <c r="F249" s="6">
        <f ca="1"/>
        <v>-2482.0453892559613</v>
      </c>
      <c r="G249" s="42">
        <f ca="1"/>
        <v>0</v>
      </c>
      <c r="H249" s="6">
        <f ca="1"/>
        <v>-13.788843081865895</v>
      </c>
      <c r="J249" s="6">
        <f ca="1"/>
        <v>2.89449671321601</v>
      </c>
      <c r="K249" s="6">
        <f ca="1"/>
        <v>23.412877624404238</v>
      </c>
      <c r="L249" s="6">
        <f ca="1"/>
        <v>-3061.1162382662278</v>
      </c>
      <c r="M249" s="42">
        <f ca="1"/>
        <v>75803.503218177924</v>
      </c>
      <c r="N249" s="6">
        <f ca="1"/>
        <v>-13.919306046896303</v>
      </c>
      <c r="P249" s="6">
        <f ca="1"/>
        <v>2.89449671321601</v>
      </c>
      <c r="Q249" s="6">
        <f ca="1"/>
        <v>23.412877624404238</v>
      </c>
      <c r="R249" s="6">
        <f ca="1"/>
        <v>-3061.1162382662278</v>
      </c>
      <c r="S249" s="42">
        <f ca="1"/>
        <v>75803.503218177924</v>
      </c>
      <c r="T249" s="6">
        <f ca="1"/>
        <v>-13.919306046896303</v>
      </c>
    </row>
    <row r="250" spans="1:20">
      <c r="A250" s="43">
        <f ca="1"/>
        <v>248</v>
      </c>
      <c r="B250" s="4">
        <f ca="1"/>
        <v>6.1749999999999999E-2</v>
      </c>
      <c r="D250" s="6">
        <f ca="1"/>
        <v>2.8212927319735708</v>
      </c>
      <c r="E250" s="6">
        <f ca="1"/>
        <v>29.784544671071533</v>
      </c>
      <c r="F250" s="6">
        <f ca="1"/>
        <v>-2482.0453892559613</v>
      </c>
      <c r="G250" s="42">
        <f ca="1"/>
        <v>0</v>
      </c>
      <c r="H250" s="6">
        <f ca="1"/>
        <v>-13.545714560089039</v>
      </c>
      <c r="J250" s="6">
        <f ca="1"/>
        <v>2.9002544741206506</v>
      </c>
      <c r="K250" s="6">
        <f ca="1"/>
        <v>22.650031073010155</v>
      </c>
      <c r="L250" s="6">
        <f ca="1"/>
        <v>-3041.4009335553442</v>
      </c>
      <c r="M250" s="42">
        <f ca="1"/>
        <v>81929.247169146809</v>
      </c>
      <c r="N250" s="6">
        <f ca="1"/>
        <v>-13.67733195582141</v>
      </c>
      <c r="P250" s="6">
        <f ca="1"/>
        <v>2.9002544741206506</v>
      </c>
      <c r="Q250" s="6">
        <f ca="1"/>
        <v>22.650031073010155</v>
      </c>
      <c r="R250" s="6">
        <f ca="1"/>
        <v>-3041.4009335553442</v>
      </c>
      <c r="S250" s="42">
        <f ca="1"/>
        <v>81929.247169146809</v>
      </c>
      <c r="T250" s="6">
        <f ca="1"/>
        <v>-13.67733195582141</v>
      </c>
    </row>
    <row r="251" spans="1:20">
      <c r="A251" s="43">
        <f ca="1"/>
        <v>249</v>
      </c>
      <c r="B251" s="4">
        <f ca="1"/>
        <v>6.2E-2</v>
      </c>
      <c r="D251" s="6">
        <f ca="1"/>
        <v>2.8286613042229245</v>
      </c>
      <c r="E251" s="6">
        <f ca="1"/>
        <v>29.164033323757529</v>
      </c>
      <c r="F251" s="6">
        <f ca="1"/>
        <v>-2482.0453892559613</v>
      </c>
      <c r="G251" s="42">
        <f ca="1"/>
        <v>0</v>
      </c>
      <c r="H251" s="6">
        <f ca="1"/>
        <v>-13.313261724923414</v>
      </c>
      <c r="J251" s="6">
        <f ca="1"/>
        <v>2.9058221554834578</v>
      </c>
      <c r="K251" s="6">
        <f ca="1"/>
        <v>21.892305421835982</v>
      </c>
      <c r="L251" s="6">
        <f ca="1"/>
        <v>-3020.1464583315274</v>
      </c>
      <c r="M251" s="42">
        <f ca="1"/>
        <v>88116.867321640879</v>
      </c>
      <c r="N251" s="6">
        <f ca="1"/>
        <v>-13.440178683319019</v>
      </c>
      <c r="P251" s="6">
        <f ca="1"/>
        <v>2.9058221554834578</v>
      </c>
      <c r="Q251" s="6">
        <f ca="1"/>
        <v>21.892305421835982</v>
      </c>
      <c r="R251" s="6">
        <f ca="1"/>
        <v>-3020.1464583315274</v>
      </c>
      <c r="S251" s="42">
        <f ca="1"/>
        <v>88116.867321640879</v>
      </c>
      <c r="T251" s="6">
        <f ca="1"/>
        <v>-13.440178683319019</v>
      </c>
    </row>
    <row r="252" spans="1:20">
      <c r="A252" s="43">
        <f ca="1"/>
        <v>250</v>
      </c>
      <c r="B252" s="4">
        <f ca="1"/>
        <v>6.225E-2</v>
      </c>
      <c r="D252" s="6">
        <f ca="1"/>
        <v>2.8358747486354496</v>
      </c>
      <c r="E252" s="6">
        <f ca="1"/>
        <v>28.54352197644355</v>
      </c>
      <c r="F252" s="6">
        <f ca="1"/>
        <v>-2482.0453892559613</v>
      </c>
      <c r="G252" s="42">
        <f ca="1"/>
        <v>0</v>
      </c>
      <c r="H252" s="6">
        <f ca="1"/>
        <v>-13.091092846942118</v>
      </c>
      <c r="J252" s="6">
        <f ca="1"/>
        <v>2.9112010857896999</v>
      </c>
      <c r="K252" s="6">
        <f ca="1"/>
        <v>21.140087397141325</v>
      </c>
      <c r="L252" s="6">
        <f ca="1"/>
        <v>-2997.3373435443968</v>
      </c>
      <c r="M252" s="42">
        <f ca="1"/>
        <v>94366.363675659639</v>
      </c>
      <c r="N252" s="6">
        <f ca="1"/>
        <v>-13.207354114041951</v>
      </c>
      <c r="P252" s="6">
        <f ca="1"/>
        <v>2.9112010857896999</v>
      </c>
      <c r="Q252" s="6">
        <f ca="1"/>
        <v>21.140087397141325</v>
      </c>
      <c r="R252" s="6">
        <f ca="1"/>
        <v>-2997.3373435443968</v>
      </c>
      <c r="S252" s="42">
        <f ca="1"/>
        <v>94366.363675659639</v>
      </c>
      <c r="T252" s="6">
        <f ca="1"/>
        <v>-13.207354114041951</v>
      </c>
    </row>
    <row r="253" spans="1:20">
      <c r="A253" s="43">
        <f ca="1"/>
        <v>251</v>
      </c>
      <c r="B253" s="4">
        <f ca="1"/>
        <v>6.25E-2</v>
      </c>
      <c r="D253" s="6">
        <f ca="1"/>
        <v>2.8429330652111462</v>
      </c>
      <c r="E253" s="6">
        <f ca="1"/>
        <v>27.923010629129546</v>
      </c>
      <c r="F253" s="6">
        <f ca="1"/>
        <v>-2482.0453892559613</v>
      </c>
      <c r="G253" s="42">
        <f ca="1"/>
        <v>0</v>
      </c>
      <c r="H253" s="6">
        <f ca="1"/>
        <v>-12.87904811114108</v>
      </c>
      <c r="J253" s="6">
        <f ca="1"/>
        <v>2.9163926906896194</v>
      </c>
      <c r="K253" s="6">
        <f ca="1"/>
        <v>20.393767592448249</v>
      </c>
      <c r="L253" s="6">
        <f ca="1"/>
        <v>-2972.9581201435708</v>
      </c>
      <c r="M253" s="42">
        <f ca="1"/>
        <v>100677.73623120355</v>
      </c>
      <c r="N253" s="6">
        <f ca="1"/>
        <v>-12.978279297571953</v>
      </c>
      <c r="P253" s="6">
        <f ca="1"/>
        <v>2.9163926906896194</v>
      </c>
      <c r="Q253" s="6">
        <f ca="1"/>
        <v>20.39376759244826</v>
      </c>
      <c r="R253" s="6">
        <f ca="1"/>
        <v>-2972.9581201435708</v>
      </c>
      <c r="S253" s="42">
        <f ca="1"/>
        <v>100677.73623120355</v>
      </c>
      <c r="T253" s="6">
        <f ca="1"/>
        <v>-12.978279297571953</v>
      </c>
    </row>
    <row r="254" spans="1:20">
      <c r="A254" s="43">
        <f ca="1"/>
        <v>252</v>
      </c>
      <c r="B254" s="4">
        <f ca="1"/>
        <v>6.275E-2</v>
      </c>
      <c r="D254" s="6">
        <f ca="1"/>
        <v>2.8498362539500146</v>
      </c>
      <c r="E254" s="6">
        <f ca="1"/>
        <v>27.302499281815567</v>
      </c>
      <c r="F254" s="6">
        <f ca="1"/>
        <v>-2482.0453892559613</v>
      </c>
      <c r="G254" s="42">
        <f ca="1"/>
        <v>0</v>
      </c>
      <c r="H254" s="6">
        <f ca="1"/>
        <v>-12.676967870520528</v>
      </c>
      <c r="J254" s="6">
        <f ca="1"/>
        <v>2.9213984939652473</v>
      </c>
      <c r="K254" s="6">
        <f ca="1"/>
        <v>19.65374046854155</v>
      </c>
      <c r="L254" s="6">
        <f ca="1"/>
        <v>-2946.9933190786674</v>
      </c>
      <c r="M254" s="42">
        <f ca="1"/>
        <v>107050.98498827223</v>
      </c>
      <c r="N254" s="6">
        <f ca="1"/>
        <v>-12.752417566284711</v>
      </c>
      <c r="P254" s="6">
        <f ca="1"/>
        <v>2.9213984939652473</v>
      </c>
      <c r="Q254" s="6">
        <f ca="1"/>
        <v>19.653740468541539</v>
      </c>
      <c r="R254" s="6">
        <f ca="1"/>
        <v>-2946.9933190786683</v>
      </c>
      <c r="S254" s="42">
        <f ca="1"/>
        <v>107050.98498827223</v>
      </c>
      <c r="T254" s="6">
        <f ca="1"/>
        <v>-12.752417566284716</v>
      </c>
    </row>
    <row r="255" spans="1:20">
      <c r="A255" s="43">
        <f ca="1"/>
        <v>253</v>
      </c>
      <c r="B255" s="4">
        <f ca="1"/>
        <v>6.3E-2</v>
      </c>
      <c r="D255" s="6">
        <f ca="1"/>
        <v>2.856584314852054</v>
      </c>
      <c r="E255" s="6">
        <f ca="1"/>
        <v>26.681987934501567</v>
      </c>
      <c r="F255" s="6">
        <f ca="1"/>
        <v>-2482.0453892559613</v>
      </c>
      <c r="G255" s="42">
        <f ca="1"/>
        <v>0</v>
      </c>
      <c r="H255" s="6">
        <f ca="1"/>
        <v>-12.484273477274245</v>
      </c>
      <c r="J255" s="6">
        <f ca="1"/>
        <v>2.9262201184972172</v>
      </c>
      <c r="K255" s="6">
        <f ca="1"/>
        <v>18.920404353468459</v>
      </c>
      <c r="L255" s="6">
        <f ca="1"/>
        <v>-2919.4274712993069</v>
      </c>
      <c r="M255" s="42">
        <f ca="1"/>
        <v>113486.10994686601</v>
      </c>
      <c r="N255" s="6">
        <f ca="1"/>
        <v>-12.529281943309712</v>
      </c>
      <c r="P255" s="6">
        <f ca="1"/>
        <v>2.9262201184972172</v>
      </c>
      <c r="Q255" s="6">
        <f ca="1"/>
        <v>18.920404353468459</v>
      </c>
      <c r="R255" s="6">
        <f ca="1"/>
        <v>-2919.4274712993069</v>
      </c>
      <c r="S255" s="42">
        <f ca="1"/>
        <v>113486.10994686601</v>
      </c>
      <c r="T255" s="6">
        <f ca="1"/>
        <v>-12.529281943309712</v>
      </c>
    </row>
    <row r="256" spans="1:20">
      <c r="A256" s="43">
        <f ca="1"/>
        <v>254</v>
      </c>
      <c r="B256" s="4">
        <f ca="1"/>
        <v>6.3250000000000001E-2</v>
      </c>
      <c r="D256" s="6">
        <f ca="1"/>
        <v>2.8631772479172652</v>
      </c>
      <c r="E256" s="6">
        <f ca="1"/>
        <v>26.061476587187588</v>
      </c>
      <c r="F256" s="6">
        <f ca="1"/>
        <v>-2482.0453892559613</v>
      </c>
      <c r="G256" s="42">
        <f ca="1"/>
        <v>0</v>
      </c>
      <c r="H256" s="6">
        <f ca="1"/>
        <v>-12.30090995160184</v>
      </c>
      <c r="J256" s="6">
        <f ca="1"/>
        <v>2.9308592872315842</v>
      </c>
      <c r="K256" s="6">
        <f ca="1"/>
        <v>18.194161442538963</v>
      </c>
      <c r="L256" s="6">
        <f ca="1"/>
        <v>-2890.2451077551073</v>
      </c>
      <c r="M256" s="42">
        <f ca="1"/>
        <v>119983.11110698456</v>
      </c>
      <c r="N256" s="6">
        <f ca="1"/>
        <v>-12.308355675453585</v>
      </c>
      <c r="P256" s="6">
        <f ca="1"/>
        <v>2.9308592872315842</v>
      </c>
      <c r="Q256" s="6">
        <f ca="1"/>
        <v>18.194161442538963</v>
      </c>
      <c r="R256" s="6">
        <f ca="1"/>
        <v>-2890.2451077551082</v>
      </c>
      <c r="S256" s="42">
        <f ca="1"/>
        <v>119983.11110698456</v>
      </c>
      <c r="T256" s="6">
        <f ca="1"/>
        <v>-12.308355675453589</v>
      </c>
    </row>
    <row r="257" spans="1:20">
      <c r="A257" s="43">
        <f ca="1"/>
        <v>255</v>
      </c>
      <c r="B257" s="4">
        <f ca="1"/>
        <v>6.3500000000000001E-2</v>
      </c>
      <c r="D257" s="6">
        <f ca="1"/>
        <v>2.8696150531456479</v>
      </c>
      <c r="E257" s="6">
        <f ca="1"/>
        <v>25.440965239873588</v>
      </c>
      <c r="F257" s="6">
        <f ca="1"/>
        <v>-2482.0453892559613</v>
      </c>
      <c r="G257" s="42">
        <f ca="1"/>
        <v>0</v>
      </c>
      <c r="H257" s="6">
        <f ca="1"/>
        <v>-12.126508580815345</v>
      </c>
      <c r="J257" s="6">
        <f ca="1"/>
        <v>2.9353178241466376</v>
      </c>
      <c r="K257" s="6">
        <f ca="1"/>
        <v>17.475417798325502</v>
      </c>
      <c r="L257" s="6">
        <f ca="1"/>
        <v>-2859.4307593956878</v>
      </c>
      <c r="M257" s="42">
        <f ca="1"/>
        <v>126541.98846862823</v>
      </c>
      <c r="N257" s="6">
        <f ca="1"/>
        <v>-12.089117524828279</v>
      </c>
      <c r="P257" s="6">
        <f ca="1"/>
        <v>2.9353178241466376</v>
      </c>
      <c r="Q257" s="6">
        <f ca="1"/>
        <v>17.475417798325502</v>
      </c>
      <c r="R257" s="6">
        <f ca="1"/>
        <v>-2859.4307593956873</v>
      </c>
      <c r="S257" s="42">
        <f ca="1"/>
        <v>126541.98846862823</v>
      </c>
      <c r="T257" s="6">
        <f ca="1"/>
        <v>-12.089117524828277</v>
      </c>
    </row>
    <row r="258" spans="1:20">
      <c r="A258" s="43">
        <f ca="1"/>
        <v>256</v>
      </c>
      <c r="B258" s="4">
        <f ca="1"/>
        <v>6.3750000000000001E-2</v>
      </c>
      <c r="D258" s="6">
        <f ca="1"/>
        <v>2.875897730537202</v>
      </c>
      <c r="E258" s="6">
        <f ca="1"/>
        <v>24.820453892559605</v>
      </c>
      <c r="F258" s="6">
        <f ca="1"/>
        <v>-2482.0453892559613</v>
      </c>
      <c r="G258" s="42">
        <f ca="1"/>
        <v>0</v>
      </c>
      <c r="H258" s="6">
        <f ca="1"/>
        <v>-11.960756862935598</v>
      </c>
      <c r="J258" s="6">
        <f ca="1"/>
        <v>2.9395976552197172</v>
      </c>
      <c r="K258" s="6">
        <f ca="1"/>
        <v>16.764583350663251</v>
      </c>
      <c r="L258" s="6">
        <f ca="1"/>
        <v>-2826.9689571706667</v>
      </c>
      <c r="M258" s="42">
        <f ca="1"/>
        <v>133162.74203179666</v>
      </c>
      <c r="N258" s="6">
        <f ca="1"/>
        <v>-11.871109665862072</v>
      </c>
      <c r="P258" s="6">
        <f ca="1"/>
        <v>2.9395976552197172</v>
      </c>
      <c r="Q258" s="6">
        <f ca="1"/>
        <v>16.764583350663251</v>
      </c>
      <c r="R258" s="6">
        <f ca="1"/>
        <v>-2826.9689571706667</v>
      </c>
      <c r="S258" s="42">
        <f ca="1"/>
        <v>133162.74203179666</v>
      </c>
      <c r="T258" s="6">
        <f ca="1"/>
        <v>-11.871109665862072</v>
      </c>
    </row>
    <row r="259" spans="1:20">
      <c r="A259" s="43">
        <f ca="1"/>
        <v>257</v>
      </c>
      <c r="B259" s="4">
        <f ca="1"/>
        <v>6.4000000000000001E-2</v>
      </c>
      <c r="D259" s="6">
        <f ca="1"/>
        <v>2.8820252800919279</v>
      </c>
      <c r="E259" s="6">
        <f ca="1"/>
        <v>24.199942545245605</v>
      </c>
      <c r="F259" s="6">
        <f ca="1"/>
        <v>-2482.0453892559613</v>
      </c>
      <c r="G259" s="42">
        <f ca="1"/>
        <v>0</v>
      </c>
      <c r="H259" s="6">
        <f ca="1"/>
        <v>-11.803438710163832</v>
      </c>
      <c r="J259" s="6">
        <f ca="1"/>
        <v>2.9437008093940307</v>
      </c>
      <c r="K259" s="6">
        <f ca="1"/>
        <v>16.062071896649829</v>
      </c>
      <c r="L259" s="6">
        <f ca="1"/>
        <v>-2792.8442320296622</v>
      </c>
      <c r="M259" s="42">
        <f ca="1"/>
        <v>139845.37179649019</v>
      </c>
      <c r="N259" s="6">
        <f ca="1"/>
        <v>-11.65386863744061</v>
      </c>
      <c r="P259" s="6">
        <f ca="1"/>
        <v>2.9437008093940307</v>
      </c>
      <c r="Q259" s="6">
        <f ca="1"/>
        <v>16.062071896649829</v>
      </c>
      <c r="R259" s="6">
        <f ca="1"/>
        <v>-2792.8442320296622</v>
      </c>
      <c r="S259" s="42">
        <f ca="1"/>
        <v>139845.37179649019</v>
      </c>
      <c r="T259" s="6">
        <f ca="1"/>
        <v>-11.65386863744061</v>
      </c>
    </row>
    <row r="260" spans="1:20">
      <c r="A260" s="43">
        <f ca="1"/>
        <v>258</v>
      </c>
      <c r="B260" s="4">
        <f ca="1"/>
        <v>6.4250000000000002E-2</v>
      </c>
      <c r="D260" s="6">
        <f ca="1"/>
        <v>2.8879977018098248</v>
      </c>
      <c r="E260" s="6">
        <f ca="1"/>
        <v>23.579431197931623</v>
      </c>
      <c r="F260" s="6">
        <f ca="1"/>
        <v>-2482.0453892559613</v>
      </c>
      <c r="G260" s="42">
        <f ca="1"/>
        <v>0</v>
      </c>
      <c r="H260" s="6">
        <f ca="1"/>
        <v>-11.654147176351671</v>
      </c>
      <c r="J260" s="6">
        <f ca="1"/>
        <v>2.9476294195454673</v>
      </c>
      <c r="K260" s="6">
        <f ca="1"/>
        <v>15.368301100645613</v>
      </c>
      <c r="L260" s="6">
        <f ca="1"/>
        <v>-2757.0411149222941</v>
      </c>
      <c r="M260" s="42">
        <f ca="1"/>
        <v>146589.87776270849</v>
      </c>
      <c r="N260" s="6">
        <f ca="1"/>
        <v>-11.436920072280415</v>
      </c>
      <c r="P260" s="6">
        <f ca="1"/>
        <v>2.9476294195454673</v>
      </c>
      <c r="Q260" s="6">
        <f ca="1"/>
        <v>15.368301100645626</v>
      </c>
      <c r="R260" s="6">
        <f ca="1"/>
        <v>-2757.0411149222941</v>
      </c>
      <c r="S260" s="42">
        <f ca="1"/>
        <v>146589.87776270849</v>
      </c>
      <c r="T260" s="6">
        <f ca="1"/>
        <v>-11.436920072280417</v>
      </c>
    </row>
    <row r="261" spans="1:20">
      <c r="A261" s="43">
        <f ca="1"/>
        <v>259</v>
      </c>
      <c r="B261" s="4">
        <f ca="1"/>
        <v>6.4500000000000002E-2</v>
      </c>
      <c r="D261" s="6">
        <f ca="1"/>
        <v>2.8938149956908936</v>
      </c>
      <c r="E261" s="6">
        <f ca="1"/>
        <v>22.958919850617622</v>
      </c>
      <c r="F261" s="6">
        <f ca="1"/>
        <v>-2482.0453892559613</v>
      </c>
      <c r="G261" s="42">
        <f ca="1"/>
        <v>0</v>
      </c>
      <c r="H261" s="6">
        <f ca="1"/>
        <v>-11.512724046835748</v>
      </c>
      <c r="J261" s="6">
        <f ca="1"/>
        <v>2.9513857234494139</v>
      </c>
      <c r="K261" s="6">
        <f ca="1"/>
        <v>14.683692494273417</v>
      </c>
      <c r="L261" s="6">
        <f ca="1"/>
        <v>-2719.5441367981803</v>
      </c>
      <c r="M261" s="42">
        <f ca="1"/>
        <v>153396.25993045198</v>
      </c>
      <c r="N261" s="6">
        <f ca="1"/>
        <v>-11.219818547712526</v>
      </c>
      <c r="P261" s="6">
        <f ca="1"/>
        <v>2.9513857234494139</v>
      </c>
      <c r="Q261" s="6">
        <f ca="1"/>
        <v>14.683692494273417</v>
      </c>
      <c r="R261" s="6">
        <f ca="1"/>
        <v>-2719.5441367981812</v>
      </c>
      <c r="S261" s="42">
        <f ca="1"/>
        <v>153396.25993045192</v>
      </c>
      <c r="T261" s="6">
        <f ca="1"/>
        <v>-11.21981854771253</v>
      </c>
    </row>
    <row r="262" spans="1:20">
      <c r="A262" s="43">
        <f ca="1"/>
        <v>260</v>
      </c>
      <c r="B262" s="4">
        <f ca="1"/>
        <v>6.4750000000000002E-2</v>
      </c>
      <c r="D262" s="6">
        <f ca="1"/>
        <v>2.8994771617351338</v>
      </c>
      <c r="E262" s="6">
        <f ca="1"/>
        <v>22.338408503303643</v>
      </c>
      <c r="F262" s="6">
        <f ca="1"/>
        <v>-2482.0453892559613</v>
      </c>
      <c r="G262" s="42">
        <f ca="1"/>
        <v>0</v>
      </c>
      <c r="H262" s="6">
        <f ca="1"/>
        <v>-11.378799219705597</v>
      </c>
      <c r="J262" s="6">
        <f ca="1"/>
        <v>2.9549720647475715</v>
      </c>
      <c r="K262" s="6">
        <f ca="1"/>
        <v>14.00867147641878</v>
      </c>
      <c r="L262" s="6">
        <f ca="1"/>
        <v>-2680.3378286069419</v>
      </c>
      <c r="M262" s="42">
        <f ca="1"/>
        <v>160264.5182997201</v>
      </c>
      <c r="N262" s="6">
        <f ca="1"/>
        <v>-11.002140189545035</v>
      </c>
      <c r="P262" s="6">
        <f ca="1"/>
        <v>2.9549720647475715</v>
      </c>
      <c r="Q262" s="6">
        <f ca="1"/>
        <v>14.00867147641878</v>
      </c>
      <c r="R262" s="6">
        <f ca="1"/>
        <v>-2680.3378286069419</v>
      </c>
      <c r="S262" s="42">
        <f ca="1"/>
        <v>160264.5182997201</v>
      </c>
      <c r="T262" s="6">
        <f ca="1"/>
        <v>-11.002140189545035</v>
      </c>
    </row>
    <row r="263" spans="1:20">
      <c r="A263" s="43">
        <f ca="1"/>
        <v>261</v>
      </c>
      <c r="B263" s="4">
        <f ca="1"/>
        <v>6.5000000000000002E-2</v>
      </c>
      <c r="D263" s="6">
        <f ca="1"/>
        <v>2.9049841999425454</v>
      </c>
      <c r="E263" s="6">
        <f ca="1"/>
        <v>21.717897155989643</v>
      </c>
      <c r="F263" s="6">
        <f ca="1"/>
        <v>-2482.0453892559613</v>
      </c>
      <c r="G263" s="42">
        <f ca="1"/>
        <v>0</v>
      </c>
      <c r="H263" s="6">
        <f ca="1"/>
        <v>-11.252114191634899</v>
      </c>
      <c r="J263" s="6">
        <f ca="1"/>
        <v>2.9583908939147694</v>
      </c>
      <c r="K263" s="6">
        <f ca="1"/>
        <v>13.343667313229748</v>
      </c>
      <c r="L263" s="6">
        <f ca="1"/>
        <v>-2639.4067212981936</v>
      </c>
      <c r="M263" s="42">
        <f ca="1"/>
        <v>167194.65287051347</v>
      </c>
      <c r="N263" s="6">
        <f ca="1"/>
        <v>-10.783467901760757</v>
      </c>
      <c r="P263" s="6">
        <f ca="1"/>
        <v>2.9583908939147694</v>
      </c>
      <c r="Q263" s="6">
        <f ca="1"/>
        <v>13.343667313229735</v>
      </c>
      <c r="R263" s="6">
        <f ca="1"/>
        <v>-2639.4067212981936</v>
      </c>
      <c r="S263" s="42">
        <f ca="1"/>
        <v>167194.65287051347</v>
      </c>
      <c r="T263" s="6">
        <f ca="1"/>
        <v>-10.783467901760757</v>
      </c>
    </row>
    <row r="264" spans="1:20">
      <c r="A264" s="43">
        <f ca="1"/>
        <v>262</v>
      </c>
      <c r="B264" s="4">
        <f ca="1"/>
        <v>6.5250000000000002E-2</v>
      </c>
      <c r="D264" s="6">
        <f ca="1"/>
        <v>2.9103361103131284</v>
      </c>
      <c r="E264" s="6">
        <f ca="1"/>
        <v>21.097385808675661</v>
      </c>
      <c r="F264" s="6">
        <f ca="1"/>
        <v>-2482.0453892559613</v>
      </c>
      <c r="G264" s="42">
        <f ca="1"/>
        <v>0</v>
      </c>
      <c r="H264" s="6">
        <f ca="1"/>
        <v>-11.132414499509739</v>
      </c>
      <c r="J264" s="6">
        <f ca="1"/>
        <v>2.9616447692257832</v>
      </c>
      <c r="K264" s="6">
        <f ca="1"/>
        <v>12.689113138117017</v>
      </c>
      <c r="L264" s="6">
        <f ca="1"/>
        <v>-2596.735345821558</v>
      </c>
      <c r="M264" s="42">
        <f ca="1"/>
        <v>174186.66364283147</v>
      </c>
      <c r="N264" s="6">
        <f ca="1"/>
        <v>-10.563426873290334</v>
      </c>
      <c r="P264" s="6">
        <f ca="1"/>
        <v>2.9616447692257832</v>
      </c>
      <c r="Q264" s="6">
        <f ca="1"/>
        <v>12.689113138117005</v>
      </c>
      <c r="R264" s="6">
        <f ca="1"/>
        <v>-2596.735345821558</v>
      </c>
      <c r="S264" s="42">
        <f ca="1"/>
        <v>174186.66364283147</v>
      </c>
      <c r="T264" s="6">
        <f ca="1"/>
        <v>-10.563426873290334</v>
      </c>
    </row>
    <row r="265" spans="1:20">
      <c r="A265" s="43">
        <f ca="1"/>
        <v>263</v>
      </c>
      <c r="B265" s="4">
        <f ca="1"/>
        <v>6.5500000000000003E-2</v>
      </c>
      <c r="D265" s="6">
        <f ca="1"/>
        <v>2.9155328928468833</v>
      </c>
      <c r="E265" s="6">
        <f ca="1"/>
        <v>20.47687446136166</v>
      </c>
      <c r="F265" s="6">
        <f ca="1"/>
        <v>-2482.0453892559613</v>
      </c>
      <c r="G265" s="42">
        <f ca="1"/>
        <v>0</v>
      </c>
      <c r="H265" s="6">
        <f ca="1"/>
        <v>-11.019405752210973</v>
      </c>
      <c r="J265" s="6">
        <f ca="1"/>
        <v>2.9647363577221482</v>
      </c>
      <c r="K265" s="6">
        <f ca="1"/>
        <v>12.045445951753823</v>
      </c>
      <c r="L265" s="6">
        <f ca="1"/>
        <v>-2552.3082331266505</v>
      </c>
      <c r="M265" s="42">
        <f ca="1"/>
        <v>181240.55061667471</v>
      </c>
      <c r="N265" s="6">
        <f ca="1"/>
        <v>-10.341609380523249</v>
      </c>
      <c r="P265" s="6">
        <f ca="1"/>
        <v>2.9647363577221482</v>
      </c>
      <c r="Q265" s="6">
        <f ca="1"/>
        <v>12.045445951753836</v>
      </c>
      <c r="R265" s="6">
        <f ca="1"/>
        <v>-2552.3082331266505</v>
      </c>
      <c r="S265" s="42">
        <f ca="1"/>
        <v>181240.55061667471</v>
      </c>
      <c r="T265" s="6">
        <f ca="1"/>
        <v>-10.34160938052325</v>
      </c>
    </row>
    <row r="266" spans="1:20">
      <c r="A266" s="43">
        <f ca="1"/>
        <v>264</v>
      </c>
      <c r="B266" s="4">
        <f ca="1"/>
        <v>6.5750000000000003E-2</v>
      </c>
      <c r="D266" s="6">
        <f ca="1"/>
        <v>2.9205745475438092</v>
      </c>
      <c r="E266" s="6">
        <f ca="1"/>
        <v>19.856363114047678</v>
      </c>
      <c r="F266" s="6">
        <f ca="1"/>
        <v>-2482.0453892559613</v>
      </c>
      <c r="G266" s="42">
        <f ca="1"/>
        <v>0</v>
      </c>
      <c r="H266" s="6">
        <f ca="1"/>
        <v>-10.912779391446589</v>
      </c>
      <c r="J266" s="6">
        <f ca="1"/>
        <v>2.9676684361789754</v>
      </c>
      <c r="K266" s="6">
        <f ca="1"/>
        <v>11.41310662207608</v>
      </c>
      <c r="L266" s="6">
        <f ca="1"/>
        <v>-2506.109914163093</v>
      </c>
      <c r="M266" s="42">
        <f ca="1"/>
        <v>188356.31379204255</v>
      </c>
      <c r="N266" s="6">
        <f ca="1"/>
        <v>-10.117641665348881</v>
      </c>
      <c r="P266" s="6">
        <f ca="1"/>
        <v>2.9676684361789754</v>
      </c>
      <c r="Q266" s="6">
        <f ca="1"/>
        <v>11.413106622076068</v>
      </c>
      <c r="R266" s="6">
        <f ca="1"/>
        <v>-2506.1099141630934</v>
      </c>
      <c r="S266" s="42">
        <f ca="1"/>
        <v>188356.31379204255</v>
      </c>
      <c r="T266" s="6">
        <f ca="1"/>
        <v>-10.117641665348883</v>
      </c>
    </row>
    <row r="267" spans="1:20">
      <c r="A267" s="43">
        <f ca="1"/>
        <v>265</v>
      </c>
      <c r="B267" s="4">
        <f ca="1"/>
        <v>6.6000000000000003E-2</v>
      </c>
      <c r="D267" s="6">
        <f ca="1"/>
        <v>2.9254610744039069</v>
      </c>
      <c r="E267" s="6">
        <f ca="1"/>
        <v>19.235851766733681</v>
      </c>
      <c r="F267" s="6">
        <f ca="1"/>
        <v>-2482.0453892559613</v>
      </c>
      <c r="G267" s="42">
        <f ca="1"/>
        <v>0</v>
      </c>
      <c r="H267" s="6">
        <f ca="1"/>
        <v>-10.81232342014809</v>
      </c>
      <c r="J267" s="6">
        <f ca="1"/>
        <v>2.9704438920717675</v>
      </c>
      <c r="K267" s="6">
        <f ca="1"/>
        <v>10.792539884282192</v>
      </c>
      <c r="L267" s="6">
        <f ca="1"/>
        <v>-2458.1249198805017</v>
      </c>
      <c r="M267" s="42">
        <f ca="1"/>
        <v>195533.95316893567</v>
      </c>
      <c r="N267" s="6">
        <f ca="1"/>
        <v>-9.891141248935682</v>
      </c>
      <c r="P267" s="6">
        <f ca="1"/>
        <v>2.9704438920717675</v>
      </c>
      <c r="Q267" s="6">
        <f ca="1"/>
        <v>10.792539884282192</v>
      </c>
      <c r="R267" s="6">
        <f ca="1"/>
        <v>-2458.1249198805017</v>
      </c>
      <c r="S267" s="42">
        <f ca="1"/>
        <v>195533.95316893567</v>
      </c>
      <c r="T267" s="6">
        <f ca="1"/>
        <v>-9.891141248935682</v>
      </c>
    </row>
    <row r="268" spans="1:20">
      <c r="A268" s="43">
        <f ca="1"/>
        <v>266</v>
      </c>
      <c r="B268" s="4">
        <f ca="1"/>
        <v>6.6250000000000003E-2</v>
      </c>
      <c r="D268" s="6">
        <f ca="1"/>
        <v>2.930192473427176</v>
      </c>
      <c r="E268" s="6">
        <f ca="1"/>
        <v>18.615340419419699</v>
      </c>
      <c r="F268" s="6">
        <f ca="1"/>
        <v>-2482.0453892559613</v>
      </c>
      <c r="G268" s="42">
        <f ca="1"/>
        <v>0</v>
      </c>
      <c r="H268" s="6">
        <f ca="1"/>
        <v>-10.71778137927844</v>
      </c>
      <c r="J268" s="6">
        <f ca="1"/>
        <v>2.9730657245432361</v>
      </c>
      <c r="K268" s="6">
        <f ca="1"/>
        <v>10.184194340833276</v>
      </c>
      <c r="L268" s="6">
        <f ca="1"/>
        <v>-2408.3377812284984</v>
      </c>
      <c r="M268" s="42">
        <f ca="1"/>
        <v>202773.46874735347</v>
      </c>
      <c r="N268" s="6">
        <f ca="1"/>
        <v>-9.6618288778581487</v>
      </c>
      <c r="P268" s="6">
        <f ca="1"/>
        <v>2.9730657245432361</v>
      </c>
      <c r="Q268" s="6">
        <f ca="1"/>
        <v>10.184194340833276</v>
      </c>
      <c r="R268" s="6">
        <f ca="1"/>
        <v>-2408.3377812284984</v>
      </c>
      <c r="S268" s="42">
        <f ca="1"/>
        <v>202773.46874735347</v>
      </c>
      <c r="T268" s="6">
        <f ca="1"/>
        <v>-9.6618288778581487</v>
      </c>
    </row>
    <row r="269" spans="1:20">
      <c r="A269" s="43">
        <f ca="1"/>
        <v>267</v>
      </c>
      <c r="B269" s="4">
        <f ca="1"/>
        <v>6.6500000000000004E-2</v>
      </c>
      <c r="D269" s="6">
        <f ca="1"/>
        <v>2.934768744613617</v>
      </c>
      <c r="E269" s="6">
        <f ca="1"/>
        <v>17.994829072105698</v>
      </c>
      <c r="F269" s="6">
        <f ca="1"/>
        <v>-2482.0453892559613</v>
      </c>
      <c r="G269" s="42">
        <f ca="1"/>
        <v>0</v>
      </c>
      <c r="H269" s="6">
        <f ca="1"/>
        <v>-10.628876940692498</v>
      </c>
      <c r="J269" s="6">
        <f ca="1"/>
        <v>2.9755370453701144</v>
      </c>
      <c r="K269" s="6">
        <f ca="1"/>
        <v>9.5885224614529267</v>
      </c>
      <c r="L269" s="6">
        <f ca="1"/>
        <v>-2356.7330291566977</v>
      </c>
      <c r="M269" s="42">
        <f ca="1"/>
        <v>210074.86052729649</v>
      </c>
      <c r="N269" s="6">
        <f ca="1"/>
        <v>-9.4293237235612093</v>
      </c>
      <c r="P269" s="6">
        <f ca="1"/>
        <v>2.9755370453701144</v>
      </c>
      <c r="Q269" s="6">
        <f ca="1"/>
        <v>9.5885224614529267</v>
      </c>
      <c r="R269" s="6">
        <f ca="1"/>
        <v>-2356.7330291566982</v>
      </c>
      <c r="S269" s="42">
        <f ca="1"/>
        <v>210074.86052729649</v>
      </c>
      <c r="T269" s="6">
        <f ca="1"/>
        <v>-9.4293237235612111</v>
      </c>
    </row>
    <row r="270" spans="1:20">
      <c r="A270" s="43">
        <f ca="1"/>
        <v>268</v>
      </c>
      <c r="B270" s="4">
        <f ca="1"/>
        <v>6.6750000000000004E-2</v>
      </c>
      <c r="D270" s="6">
        <f ca="1"/>
        <v>2.939189887963229</v>
      </c>
      <c r="E270" s="6">
        <f ca="1"/>
        <v>17.37431772479172</v>
      </c>
      <c r="F270" s="6">
        <f ca="1"/>
        <v>-2482.0453892559613</v>
      </c>
      <c r="G270" s="42">
        <f ca="1"/>
        <v>0</v>
      </c>
      <c r="H270" s="6">
        <f ca="1"/>
        <v>-10.545338761446329</v>
      </c>
      <c r="J270" s="6">
        <f ca="1"/>
        <v>2.9778610799299745</v>
      </c>
      <c r="K270" s="6">
        <f ca="1"/>
        <v>9.0059805831274424</v>
      </c>
      <c r="L270" s="6">
        <f ca="1"/>
        <v>-2303.2951946147232</v>
      </c>
      <c r="M270" s="42">
        <f ca="1"/>
        <v>217438.12850876409</v>
      </c>
      <c r="N270" s="6">
        <f ca="1"/>
        <v>-9.1933418842896995</v>
      </c>
      <c r="P270" s="6">
        <f ca="1"/>
        <v>2.9778610799299745</v>
      </c>
      <c r="Q270" s="6">
        <f ca="1"/>
        <v>9.00598058312743</v>
      </c>
      <c r="R270" s="6">
        <f ca="1"/>
        <v>-2303.2951946147236</v>
      </c>
      <c r="S270" s="42">
        <f ca="1"/>
        <v>217438.12850876409</v>
      </c>
      <c r="T270" s="6">
        <f ca="1"/>
        <v>-9.1933418842897012</v>
      </c>
    </row>
    <row r="271" spans="1:20">
      <c r="A271" s="43">
        <f ca="1"/>
        <v>269</v>
      </c>
      <c r="B271" s="4">
        <f ca="1"/>
        <v>6.7000000000000004E-2</v>
      </c>
      <c r="D271" s="6">
        <f ca="1"/>
        <v>2.9434559034760128</v>
      </c>
      <c r="E271" s="6">
        <f ca="1"/>
        <v>16.753806377477716</v>
      </c>
      <c r="F271" s="6">
        <f ca="1"/>
        <v>-2482.0453892559613</v>
      </c>
      <c r="G271" s="42">
        <f ca="1"/>
        <v>0</v>
      </c>
      <c r="H271" s="6">
        <f ca="1"/>
        <v>-10.466997518262545</v>
      </c>
      <c r="J271" s="6">
        <f ca="1"/>
        <v>2.9800411681680439</v>
      </c>
      <c r="K271" s="6">
        <f ca="1"/>
        <v>8.437028910105612</v>
      </c>
      <c r="L271" s="6">
        <f ca="1"/>
        <v>-2248.0088085521888</v>
      </c>
      <c r="M271" s="42">
        <f ca="1"/>
        <v>224863.27269175698</v>
      </c>
      <c r="N271" s="6">
        <f ca="1"/>
        <v>-8.9535807916050594</v>
      </c>
      <c r="P271" s="6">
        <f ca="1"/>
        <v>2.9800411681680439</v>
      </c>
      <c r="Q271" s="6">
        <f ca="1"/>
        <v>8.4370289101055995</v>
      </c>
      <c r="R271" s="6">
        <f ca="1"/>
        <v>-2248.0088085521888</v>
      </c>
      <c r="S271" s="42">
        <f ca="1"/>
        <v>224863.27269175698</v>
      </c>
      <c r="T271" s="6">
        <f ca="1"/>
        <v>-8.9535807916050594</v>
      </c>
    </row>
    <row r="272" spans="1:20">
      <c r="A272" s="43">
        <f ca="1"/>
        <v>270</v>
      </c>
      <c r="B272" s="4">
        <f ca="1"/>
        <v>6.7250000000000004E-2</v>
      </c>
      <c r="D272" s="6">
        <f ca="1"/>
        <v>2.9475667911519681</v>
      </c>
      <c r="E272" s="6">
        <f ca="1"/>
        <v>16.133295030163737</v>
      </c>
      <c r="F272" s="6">
        <f ca="1"/>
        <v>-2482.0453892559613</v>
      </c>
      <c r="G272" s="42">
        <f ca="1"/>
        <v>0</v>
      </c>
      <c r="H272" s="6">
        <f ca="1"/>
        <v>-10.393565251916842</v>
      </c>
      <c r="J272" s="6">
        <f ca="1"/>
        <v>2.9820807655640196</v>
      </c>
      <c r="K272" s="6">
        <f ca="1"/>
        <v>7.8821315138989236</v>
      </c>
      <c r="L272" s="6">
        <f ca="1"/>
        <v>-2190.8584019187174</v>
      </c>
      <c r="M272" s="42">
        <f ca="1"/>
        <v>232350.29307627454</v>
      </c>
      <c r="N272" s="6">
        <f ca="1"/>
        <v>-8.7097379988473129</v>
      </c>
      <c r="P272" s="6">
        <f ca="1"/>
        <v>2.9820807655640196</v>
      </c>
      <c r="Q272" s="6">
        <f ca="1"/>
        <v>7.8821315138989112</v>
      </c>
      <c r="R272" s="6">
        <f ca="1"/>
        <v>-2190.8584019187174</v>
      </c>
      <c r="S272" s="42">
        <f ca="1"/>
        <v>232350.29307627445</v>
      </c>
      <c r="T272" s="6">
        <f ca="1"/>
        <v>-8.7097379988473129</v>
      </c>
    </row>
    <row r="273" spans="1:20">
      <c r="A273" s="43">
        <f ca="1"/>
        <v>271</v>
      </c>
      <c r="B273" s="4">
        <f ca="1"/>
        <v>6.7500000000000004E-2</v>
      </c>
      <c r="D273" s="6">
        <f ca="1"/>
        <v>2.9515225509910947</v>
      </c>
      <c r="E273" s="6">
        <f ca="1"/>
        <v>15.512783682849737</v>
      </c>
      <c r="F273" s="6">
        <f ca="1"/>
        <v>-2482.0453892559613</v>
      </c>
      <c r="G273" s="42">
        <f ca="1"/>
        <v>0</v>
      </c>
      <c r="H273" s="6">
        <f ca="1"/>
        <v>-10.324825100447924</v>
      </c>
      <c r="J273" s="6">
        <f ca="1"/>
        <v>2.9839834440988833</v>
      </c>
      <c r="K273" s="6">
        <f ca="1"/>
        <v>7.3417563332813582</v>
      </c>
      <c r="L273" s="6">
        <f ca="1"/>
        <v>-2131.8285056639238</v>
      </c>
      <c r="M273" s="42">
        <f ca="1"/>
        <v>239899.18966231728</v>
      </c>
      <c r="N273" s="6">
        <f ca="1"/>
        <v>-8.4615425958719204</v>
      </c>
      <c r="P273" s="6">
        <f ca="1"/>
        <v>2.9839834440988837</v>
      </c>
      <c r="Q273" s="6">
        <f ca="1"/>
        <v>7.3417563332813582</v>
      </c>
      <c r="R273" s="6">
        <f ca="1"/>
        <v>-2131.8285056639238</v>
      </c>
      <c r="S273" s="42">
        <f ca="1"/>
        <v>239899.18966231722</v>
      </c>
      <c r="T273" s="6">
        <f ca="1"/>
        <v>-8.4615425958719168</v>
      </c>
    </row>
    <row r="274" spans="1:20">
      <c r="A274" s="43">
        <f ca="1"/>
        <v>272</v>
      </c>
      <c r="B274" s="4">
        <f ca="1"/>
        <v>6.7750000000000005E-2</v>
      </c>
      <c r="D274" s="6">
        <f ca="1"/>
        <v>2.9553231829933928</v>
      </c>
      <c r="E274" s="6">
        <f ca="1"/>
        <v>14.892272335535754</v>
      </c>
      <c r="F274" s="6">
        <f ca="1"/>
        <v>-2482.0453892559613</v>
      </c>
      <c r="G274" s="42">
        <f ca="1"/>
        <v>0</v>
      </c>
      <c r="H274" s="6">
        <f ca="1"/>
        <v>-10.260562267340234</v>
      </c>
      <c r="J274" s="6">
        <f ca="1"/>
        <v>2.9857528932217203</v>
      </c>
      <c r="K274" s="6">
        <f ca="1"/>
        <v>6.8163751742895959</v>
      </c>
      <c r="L274" s="6">
        <f ca="1"/>
        <v>-2070.9036507374321</v>
      </c>
      <c r="M274" s="42">
        <f ca="1"/>
        <v>247509.96244988465</v>
      </c>
      <c r="N274" s="6">
        <f ca="1"/>
        <v>-8.2087216404949359</v>
      </c>
      <c r="P274" s="6">
        <f ca="1"/>
        <v>2.9857528932217199</v>
      </c>
      <c r="Q274" s="6">
        <f ca="1"/>
        <v>6.8163751742895959</v>
      </c>
      <c r="R274" s="6">
        <f ca="1"/>
        <v>-2070.9036507374317</v>
      </c>
      <c r="S274" s="42">
        <f ca="1"/>
        <v>247509.96244988465</v>
      </c>
      <c r="T274" s="6">
        <f ca="1"/>
        <v>-8.2087216404949359</v>
      </c>
    </row>
    <row r="275" spans="1:20">
      <c r="A275" s="43">
        <f ca="1"/>
        <v>273</v>
      </c>
      <c r="B275" s="4">
        <f ca="1"/>
        <v>6.8000000000000005E-2</v>
      </c>
      <c r="D275" s="6">
        <f ca="1"/>
        <v>2.9589686871588627</v>
      </c>
      <c r="E275" s="6">
        <f ca="1"/>
        <v>14.271760988221754</v>
      </c>
      <c r="F275" s="6">
        <f ca="1"/>
        <v>-2482.0453892559613</v>
      </c>
      <c r="G275" s="42">
        <f ca="1"/>
        <v>0</v>
      </c>
      <c r="H275" s="6">
        <f ca="1"/>
        <v>-10.20056604308332</v>
      </c>
      <c r="J275" s="6">
        <f ca="1"/>
        <v>2.98739292081653</v>
      </c>
      <c r="K275" s="6">
        <f ca="1"/>
        <v>6.3064637102228227</v>
      </c>
      <c r="L275" s="6">
        <f ca="1"/>
        <v>-2008.0683680888546</v>
      </c>
      <c r="M275" s="42">
        <f ca="1"/>
        <v>255182.61143897727</v>
      </c>
      <c r="N275" s="6">
        <f ca="1"/>
        <v>-7.9510250489291563</v>
      </c>
      <c r="P275" s="6">
        <f ca="1"/>
        <v>2.98739292081653</v>
      </c>
      <c r="Q275" s="6">
        <f ca="1"/>
        <v>6.3064637102228227</v>
      </c>
      <c r="R275" s="6">
        <f ca="1"/>
        <v>-2008.0683680888546</v>
      </c>
      <c r="S275" s="42">
        <f ca="1"/>
        <v>255182.61143897727</v>
      </c>
      <c r="T275" s="6">
        <f ca="1"/>
        <v>-7.9510250489291563</v>
      </c>
    </row>
    <row r="276" spans="1:20">
      <c r="A276" s="43">
        <f ca="1"/>
        <v>274</v>
      </c>
      <c r="B276" s="4">
        <f ca="1"/>
        <v>6.8250000000000005E-2</v>
      </c>
      <c r="D276" s="6">
        <f ca="1"/>
        <v>2.9624590634875037</v>
      </c>
      <c r="E276" s="6">
        <f ca="1"/>
        <v>13.651249640907773</v>
      </c>
      <c r="F276" s="6">
        <f ca="1"/>
        <v>-2482.0453892559613</v>
      </c>
      <c r="G276" s="42">
        <f ca="1"/>
        <v>0</v>
      </c>
      <c r="H276" s="6">
        <f ca="1"/>
        <v>-10.144645866010325</v>
      </c>
      <c r="J276" s="6">
        <f ca="1"/>
        <v>2.9889074541690461</v>
      </c>
      <c r="K276" s="6">
        <f ca="1"/>
        <v>5.8125014816428857</v>
      </c>
      <c r="L276" s="6">
        <f ca="1"/>
        <v>-1943.3071886678158</v>
      </c>
      <c r="M276" s="42">
        <f ca="1"/>
        <v>262917.13662959461</v>
      </c>
      <c r="N276" s="6">
        <f ca="1"/>
        <v>-7.6882128333947284</v>
      </c>
      <c r="P276" s="6">
        <f ca="1"/>
        <v>2.9889074541690461</v>
      </c>
      <c r="Q276" s="6">
        <f ca="1"/>
        <v>5.8125014816428742</v>
      </c>
      <c r="R276" s="6">
        <f ca="1"/>
        <v>-1943.3071886678158</v>
      </c>
      <c r="S276" s="42">
        <f ca="1"/>
        <v>262917.13662959461</v>
      </c>
      <c r="T276" s="6">
        <f ca="1"/>
        <v>-7.6882128333947284</v>
      </c>
    </row>
    <row r="277" spans="1:20">
      <c r="A277" s="43">
        <f ca="1"/>
        <v>275</v>
      </c>
      <c r="B277" s="4">
        <f ca="1"/>
        <v>6.8500000000000005E-2</v>
      </c>
      <c r="D277" s="6">
        <f ca="1"/>
        <v>2.9657943119793164</v>
      </c>
      <c r="E277" s="6">
        <f ca="1"/>
        <v>13.030738293593773</v>
      </c>
      <c r="F277" s="6">
        <f ca="1"/>
        <v>-2482.0453892559613</v>
      </c>
      <c r="G277" s="42">
        <f ca="1"/>
        <v>0</v>
      </c>
      <c r="H277" s="6">
        <f ca="1"/>
        <v>-10.092589768019733</v>
      </c>
      <c r="J277" s="6">
        <f ca="1"/>
        <v>2.9903005409335512</v>
      </c>
      <c r="K277" s="6">
        <f ca="1"/>
        <v>5.3349718963741397</v>
      </c>
      <c r="L277" s="6">
        <f ca="1"/>
        <v>-1876.6046434239306</v>
      </c>
      <c r="M277" s="42">
        <f ca="1"/>
        <v>270713.53802173707</v>
      </c>
      <c r="N277" s="6">
        <f ca="1"/>
        <v>-7.4200493519895598</v>
      </c>
      <c r="P277" s="6">
        <f ca="1"/>
        <v>2.9903005409335517</v>
      </c>
      <c r="Q277" s="6">
        <f ca="1"/>
        <v>5.3349718963741397</v>
      </c>
      <c r="R277" s="6">
        <f ca="1"/>
        <v>-1876.6046434239306</v>
      </c>
      <c r="S277" s="42">
        <f ca="1"/>
        <v>270713.53802173707</v>
      </c>
      <c r="T277" s="6">
        <f ca="1"/>
        <v>-7.4200493519895563</v>
      </c>
    </row>
    <row r="278" spans="1:20">
      <c r="A278" s="43">
        <f ca="1"/>
        <v>276</v>
      </c>
      <c r="B278" s="4">
        <f ca="1"/>
        <v>6.8750000000000006E-2</v>
      </c>
      <c r="D278" s="6">
        <f ca="1"/>
        <v>2.9689744326343006</v>
      </c>
      <c r="E278" s="6">
        <f ca="1"/>
        <v>12.410226946279794</v>
      </c>
      <c r="F278" s="6">
        <f ca="1"/>
        <v>-2482.0453892559613</v>
      </c>
      <c r="G278" s="42">
        <f ca="1"/>
        <v>0</v>
      </c>
      <c r="H278" s="6">
        <f ca="1"/>
        <v>-10.044202526033681</v>
      </c>
      <c r="J278" s="6">
        <f ca="1"/>
        <v>2.9915763500996908</v>
      </c>
      <c r="K278" s="6">
        <f ca="1"/>
        <v>4.874362229503685</v>
      </c>
      <c r="L278" s="6">
        <f ca="1"/>
        <v>-1807.9452633068202</v>
      </c>
      <c r="M278" s="42">
        <f ca="1"/>
        <v>278571.81561540428</v>
      </c>
      <c r="N278" s="6">
        <f ca="1"/>
        <v>-7.1463062776273709</v>
      </c>
      <c r="P278" s="6">
        <f ca="1"/>
        <v>2.9915763500996908</v>
      </c>
      <c r="Q278" s="6">
        <f ca="1"/>
        <v>4.874362229503685</v>
      </c>
      <c r="R278" s="6">
        <f ca="1"/>
        <v>-1807.9452633068202</v>
      </c>
      <c r="S278" s="42">
        <f ca="1"/>
        <v>278571.81561540422</v>
      </c>
      <c r="T278" s="6">
        <f ca="1"/>
        <v>-7.1463062776273709</v>
      </c>
    </row>
    <row r="279" spans="1:20">
      <c r="A279" s="43">
        <f ca="1"/>
        <v>277</v>
      </c>
      <c r="B279" s="4">
        <f ca="1"/>
        <v>6.9000000000000006E-2</v>
      </c>
      <c r="D279" s="6">
        <f ca="1"/>
        <v>2.9719994254524562</v>
      </c>
      <c r="E279" s="6">
        <f ca="1"/>
        <v>11.789715598965792</v>
      </c>
      <c r="F279" s="6">
        <f ca="1"/>
        <v>-2482.0453892559613</v>
      </c>
      <c r="G279" s="42">
        <f ca="1"/>
        <v>0</v>
      </c>
      <c r="H279" s="6">
        <f ca="1"/>
        <v>-9.9993231164366971</v>
      </c>
      <c r="J279" s="6">
        <f ca="1"/>
        <v>2.9927391729592898</v>
      </c>
      <c r="K279" s="6">
        <f ca="1"/>
        <v>4.4311636233810416</v>
      </c>
      <c r="L279" s="6">
        <f ca="1"/>
        <v>-1737.3135792661012</v>
      </c>
      <c r="M279" s="42">
        <f ca="1"/>
        <v>286491.96941059659</v>
      </c>
      <c r="N279" s="6">
        <f ca="1"/>
        <v>-6.8667883524005573</v>
      </c>
      <c r="P279" s="6">
        <f ca="1"/>
        <v>2.9927391729592898</v>
      </c>
      <c r="Q279" s="6">
        <f ca="1"/>
        <v>4.4311636233810416</v>
      </c>
      <c r="R279" s="6">
        <f ca="1"/>
        <v>-1737.3135792661012</v>
      </c>
      <c r="S279" s="42">
        <f ca="1"/>
        <v>286491.96941059659</v>
      </c>
      <c r="T279" s="6">
        <f ca="1"/>
        <v>-6.8667883524005573</v>
      </c>
    </row>
    <row r="280" spans="1:20">
      <c r="A280" s="43">
        <f ca="1"/>
        <v>278</v>
      </c>
      <c r="B280" s="4">
        <f ca="1"/>
        <v>6.9250000000000006E-2</v>
      </c>
      <c r="D280" s="6">
        <f ca="1"/>
        <v>2.9748692904337837</v>
      </c>
      <c r="E280" s="6">
        <f ca="1"/>
        <v>11.16920425165179</v>
      </c>
      <c r="F280" s="6">
        <f ca="1"/>
        <v>-2482.0453892559613</v>
      </c>
      <c r="G280" s="42">
        <f ca="1"/>
        <v>0</v>
      </c>
      <c r="H280" s="6">
        <f ca="1"/>
        <v>-9.9577854450430046</v>
      </c>
      <c r="J280" s="6">
        <f ca="1"/>
        <v>2.9937934240731687</v>
      </c>
      <c r="K280" s="6">
        <f ca="1"/>
        <v>4.0058710876184431</v>
      </c>
      <c r="L280" s="6">
        <f ca="1"/>
        <v>-1664.6941222513924</v>
      </c>
      <c r="M280" s="42">
        <f ca="1"/>
        <v>294473.99940731394</v>
      </c>
      <c r="N280" s="6">
        <f ca="1"/>
        <v>-6.5812658725096727</v>
      </c>
      <c r="P280" s="6">
        <f ca="1"/>
        <v>2.9937934240731687</v>
      </c>
      <c r="Q280" s="6">
        <f ca="1"/>
        <v>4.0058710876184556</v>
      </c>
      <c r="R280" s="6">
        <f ca="1"/>
        <v>-1664.6941222513924</v>
      </c>
      <c r="S280" s="42">
        <f ca="1"/>
        <v>294473.99940731394</v>
      </c>
      <c r="T280" s="6">
        <f ca="1"/>
        <v>-6.5812658725096727</v>
      </c>
    </row>
    <row r="281" spans="1:20">
      <c r="A281" s="43">
        <f ca="1"/>
        <v>279</v>
      </c>
      <c r="B281" s="4">
        <f ca="1"/>
        <v>6.9500000000000006E-2</v>
      </c>
      <c r="D281" s="6">
        <f ca="1"/>
        <v>2.9775840275782821</v>
      </c>
      <c r="E281" s="6">
        <f ca="1"/>
        <v>10.548692904337811</v>
      </c>
      <c r="F281" s="6">
        <f ca="1"/>
        <v>-2482.0453892559613</v>
      </c>
      <c r="G281" s="42">
        <f ca="1"/>
        <v>0</v>
      </c>
      <c r="H281" s="6">
        <f ca="1"/>
        <v>-9.9193941327487565</v>
      </c>
      <c r="J281" s="6">
        <f ca="1"/>
        <v>2.9947436422379594</v>
      </c>
      <c r="K281" s="6">
        <f ca="1"/>
        <v>3.5989834990906995</v>
      </c>
      <c r="L281" s="6">
        <f ca="1"/>
        <v>-1590.0714232123173</v>
      </c>
      <c r="M281" s="42">
        <f ca="1"/>
        <v>302517.90560555598</v>
      </c>
      <c r="N281" s="6">
        <f ca="1"/>
        <v>-6.289541402986206</v>
      </c>
      <c r="P281" s="6">
        <f ca="1"/>
        <v>2.9947436422379594</v>
      </c>
      <c r="Q281" s="6">
        <f ca="1"/>
        <v>3.5989834990906995</v>
      </c>
      <c r="R281" s="6">
        <f ca="1"/>
        <v>-1590.0714232123173</v>
      </c>
      <c r="S281" s="42">
        <f ca="1"/>
        <v>302517.90560555592</v>
      </c>
      <c r="T281" s="6">
        <f ca="1"/>
        <v>-6.289541402986206</v>
      </c>
    </row>
    <row r="282" spans="1:20">
      <c r="A282" s="43">
        <f ca="1"/>
        <v>280</v>
      </c>
      <c r="B282" s="4">
        <f ca="1"/>
        <v>6.9750000000000006E-2</v>
      </c>
      <c r="D282" s="6">
        <f ca="1"/>
        <v>2.9801436368859524</v>
      </c>
      <c r="E282" s="6">
        <f ca="1"/>
        <v>9.9281815570238088</v>
      </c>
      <c r="F282" s="6">
        <f ca="1"/>
        <v>-2482.0453892559613</v>
      </c>
      <c r="G282" s="42">
        <f ca="1"/>
        <v>0</v>
      </c>
      <c r="H282" s="6">
        <f ca="1"/>
        <v>-9.8840559781938939</v>
      </c>
      <c r="J282" s="6">
        <f ca="1"/>
        <v>2.9955944914529198</v>
      </c>
      <c r="K282" s="6">
        <f ca="1"/>
        <v>3.211003601935186</v>
      </c>
      <c r="L282" s="6">
        <f ca="1"/>
        <v>-1513.4300130984871</v>
      </c>
      <c r="M282" s="42">
        <f ca="1"/>
        <v>310623.68800532311</v>
      </c>
      <c r="N282" s="6">
        <f ca="1"/>
        <v>-5.9914350951234736</v>
      </c>
      <c r="P282" s="6">
        <f ca="1"/>
        <v>2.9955944914529198</v>
      </c>
      <c r="Q282" s="6">
        <f ca="1"/>
        <v>3.211003601935186</v>
      </c>
      <c r="R282" s="6">
        <f ca="1"/>
        <v>-1513.4300130984871</v>
      </c>
      <c r="S282" s="42">
        <f ca="1"/>
        <v>310623.68800532311</v>
      </c>
      <c r="T282" s="6">
        <f ca="1"/>
        <v>-5.9914350951234736</v>
      </c>
    </row>
    <row r="283" spans="1:20">
      <c r="A283" s="43">
        <f ca="1"/>
        <v>281</v>
      </c>
      <c r="B283" s="4">
        <f ca="1"/>
        <v>7.0000000000000007E-2</v>
      </c>
      <c r="D283" s="6">
        <f ca="1"/>
        <v>2.9825481183567941</v>
      </c>
      <c r="E283" s="6">
        <f ca="1"/>
        <v>9.3076702097098298</v>
      </c>
      <c r="F283" s="6">
        <f ca="1"/>
        <v>-2482.0453892559613</v>
      </c>
      <c r="G283" s="42">
        <f ca="1"/>
        <v>0</v>
      </c>
      <c r="H283" s="6">
        <f ca="1"/>
        <v>-9.8515684262618581</v>
      </c>
      <c r="J283" s="6">
        <f ca="1"/>
        <v>2.9963507618867489</v>
      </c>
      <c r="K283" s="6">
        <f ca="1"/>
        <v>2.8424380075518814</v>
      </c>
      <c r="L283" s="6">
        <f ca="1"/>
        <v>-1434.7544228595279</v>
      </c>
      <c r="M283" s="42">
        <f ca="1"/>
        <v>318791.34660661506</v>
      </c>
      <c r="N283" s="6">
        <f ca="1"/>
        <v>-5.6867469886773145</v>
      </c>
      <c r="P283" s="6">
        <f ca="1"/>
        <v>2.9963507618867489</v>
      </c>
      <c r="Q283" s="6">
        <f ca="1"/>
        <v>2.8424380075518934</v>
      </c>
      <c r="R283" s="6">
        <f ca="1"/>
        <v>-1434.7544228595279</v>
      </c>
      <c r="S283" s="42">
        <f ca="1"/>
        <v>318791.34660661506</v>
      </c>
      <c r="T283" s="6">
        <f ca="1"/>
        <v>-5.6867469886773145</v>
      </c>
    </row>
    <row r="284" spans="1:20">
      <c r="A284" s="43">
        <f ca="1"/>
        <v>282</v>
      </c>
      <c r="B284" s="4">
        <f ca="1"/>
        <v>7.0250000000000007E-2</v>
      </c>
      <c r="D284" s="6">
        <f ca="1"/>
        <v>2.9847974719908072</v>
      </c>
      <c r="E284" s="6">
        <f ca="1"/>
        <v>8.6871588623958296</v>
      </c>
      <c r="F284" s="6">
        <f ca="1"/>
        <v>-2482.0453892559613</v>
      </c>
      <c r="G284" s="42">
        <f ca="1"/>
        <v>0</v>
      </c>
      <c r="H284" s="6">
        <f ca="1"/>
        <v>-9.8218284089267609</v>
      </c>
      <c r="J284" s="6">
        <f ca="1"/>
        <v>2.9970173708444059</v>
      </c>
      <c r="K284" s="6">
        <f ca="1"/>
        <v>2.4937971946033768</v>
      </c>
      <c r="L284" s="6">
        <f ca="1"/>
        <v>-1354.0291834450527</v>
      </c>
      <c r="M284" s="42">
        <f ca="1"/>
        <v>327020.8814094321</v>
      </c>
      <c r="N284" s="6">
        <f ca="1"/>
        <v>-5.3753056556076659</v>
      </c>
      <c r="P284" s="6">
        <f ca="1"/>
        <v>2.9970173708444059</v>
      </c>
      <c r="Q284" s="6">
        <f ca="1"/>
        <v>2.4937971946033768</v>
      </c>
      <c r="R284" s="6">
        <f ca="1"/>
        <v>-1354.0291834450527</v>
      </c>
      <c r="S284" s="42">
        <f ca="1"/>
        <v>327020.8814094321</v>
      </c>
      <c r="T284" s="6">
        <f ca="1"/>
        <v>-5.3753056556076659</v>
      </c>
    </row>
    <row r="285" spans="1:20">
      <c r="A285" s="43">
        <f ca="1"/>
        <v>283</v>
      </c>
      <c r="B285" s="4">
        <f ca="1"/>
        <v>7.0500000000000007E-2</v>
      </c>
      <c r="D285" s="6">
        <f ca="1"/>
        <v>2.9868916977879922</v>
      </c>
      <c r="E285" s="6">
        <f ca="1"/>
        <v>8.0666475150818471</v>
      </c>
      <c r="F285" s="6">
        <f ca="1"/>
        <v>-2482.0453892559613</v>
      </c>
      <c r="G285" s="42">
        <f ca="1"/>
        <v>0</v>
      </c>
      <c r="H285" s="6">
        <f ca="1"/>
        <v>-9.7946866467978442</v>
      </c>
      <c r="J285" s="6">
        <f ca="1"/>
        <v>2.9975993637339218</v>
      </c>
      <c r="K285" s="6">
        <f ca="1"/>
        <v>2.1655955090148553</v>
      </c>
      <c r="L285" s="6">
        <f ca="1"/>
        <v>-1271.2388258046849</v>
      </c>
      <c r="M285" s="42">
        <f ca="1"/>
        <v>335312.29241377383</v>
      </c>
      <c r="N285" s="6">
        <f ca="1"/>
        <v>-5.0569422817508158</v>
      </c>
      <c r="P285" s="6">
        <f ca="1"/>
        <v>2.9975993637339218</v>
      </c>
      <c r="Q285" s="6">
        <f ca="1"/>
        <v>2.1655955090148553</v>
      </c>
      <c r="R285" s="6">
        <f ca="1"/>
        <v>-1271.2388258046849</v>
      </c>
      <c r="S285" s="42">
        <f ca="1"/>
        <v>335312.29241377383</v>
      </c>
      <c r="T285" s="6">
        <f ca="1"/>
        <v>-5.0569422817508158</v>
      </c>
    </row>
    <row r="286" spans="1:20">
      <c r="A286" s="43">
        <f ca="1"/>
        <v>284</v>
      </c>
      <c r="B286" s="4">
        <f ca="1"/>
        <v>7.0750000000000007E-2</v>
      </c>
      <c r="D286" s="6">
        <f ca="1"/>
        <v>2.9888307957483482</v>
      </c>
      <c r="E286" s="6">
        <f ca="1"/>
        <v>7.4461361677678468</v>
      </c>
      <c r="F286" s="6">
        <f ca="1"/>
        <v>-2482.0453892559613</v>
      </c>
      <c r="G286" s="42">
        <f ca="1"/>
        <v>0</v>
      </c>
      <c r="H286" s="6">
        <f ca="1"/>
        <v>-9.7700281158061753</v>
      </c>
      <c r="J286" s="6">
        <f ca="1"/>
        <v>2.9981019150332164</v>
      </c>
      <c r="K286" s="6">
        <f ca="1"/>
        <v>1.8583511639740649</v>
      </c>
      <c r="L286" s="6">
        <f ca="1"/>
        <v>-1186.3678808880381</v>
      </c>
      <c r="M286" s="42">
        <f ca="1"/>
        <v>343665.57961964078</v>
      </c>
      <c r="N286" s="6">
        <f ca="1"/>
        <v>-4.7314794296781768</v>
      </c>
      <c r="P286" s="6">
        <f ca="1"/>
        <v>2.9981019150332169</v>
      </c>
      <c r="Q286" s="6">
        <f ca="1"/>
        <v>1.8583511639740529</v>
      </c>
      <c r="R286" s="6">
        <f ca="1"/>
        <v>-1186.3678808880393</v>
      </c>
      <c r="S286" s="42">
        <f ca="1"/>
        <v>343665.57961964078</v>
      </c>
      <c r="T286" s="6">
        <f ca="1"/>
        <v>-4.7314794296781795</v>
      </c>
    </row>
    <row r="287" spans="1:20">
      <c r="A287" s="43">
        <f ca="1"/>
        <v>285</v>
      </c>
      <c r="B287" s="4">
        <f ca="1"/>
        <v>7.1000000000000008E-2</v>
      </c>
      <c r="D287" s="6">
        <f ca="1"/>
        <v>2.990614765871876</v>
      </c>
      <c r="E287" s="6">
        <f ca="1"/>
        <v>6.825624820453867</v>
      </c>
      <c r="F287" s="6">
        <f ca="1"/>
        <v>-2482.0453892559613</v>
      </c>
      <c r="G287" s="42">
        <f ca="1"/>
        <v>0</v>
      </c>
      <c r="H287" s="6">
        <f ca="1"/>
        <v>-9.7477502546657391</v>
      </c>
      <c r="J287" s="6">
        <f ca="1"/>
        <v>2.9985303292569165</v>
      </c>
      <c r="K287" s="6">
        <f ca="1"/>
        <v>1.5725862399313912</v>
      </c>
      <c r="L287" s="6">
        <f ca="1"/>
        <v>-1099.4008796447379</v>
      </c>
      <c r="M287" s="42">
        <f ca="1"/>
        <v>352080.74302703241</v>
      </c>
      <c r="N287" s="6">
        <f ca="1"/>
        <v>-4.3987617145281162</v>
      </c>
      <c r="P287" s="6">
        <f ca="1"/>
        <v>2.9985303292569165</v>
      </c>
      <c r="Q287" s="6">
        <f ca="1"/>
        <v>1.5725862399313792</v>
      </c>
      <c r="R287" s="6">
        <f ca="1"/>
        <v>-1099.4008796447379</v>
      </c>
      <c r="S287" s="42">
        <f ca="1"/>
        <v>352080.74302703241</v>
      </c>
      <c r="T287" s="6">
        <f ca="1"/>
        <v>-4.3987617145281162</v>
      </c>
    </row>
    <row r="288" spans="1:20">
      <c r="A288" s="43">
        <f ca="1"/>
        <v>286</v>
      </c>
      <c r="B288" s="4">
        <f ca="1"/>
        <v>7.1250000000000008E-2</v>
      </c>
      <c r="D288" s="6">
        <f ca="1"/>
        <v>2.9922436081585753</v>
      </c>
      <c r="E288" s="6">
        <f ca="1"/>
        <v>6.2051134731398658</v>
      </c>
      <c r="F288" s="6">
        <f ca="1"/>
        <v>-2482.0453892559613</v>
      </c>
      <c r="G288" s="42">
        <f ca="1"/>
        <v>0</v>
      </c>
      <c r="H288" s="6">
        <f ca="1"/>
        <v>-9.7277515556621257</v>
      </c>
      <c r="J288" s="6">
        <f ca="1"/>
        <v>2.9988900419231657</v>
      </c>
      <c r="K288" s="6">
        <f ca="1"/>
        <v>1.3088266845997751</v>
      </c>
      <c r="L288" s="6">
        <f ca="1"/>
        <v>-1010.3223530243947</v>
      </c>
      <c r="M288" s="42">
        <f ca="1"/>
        <v>360557.78263594926</v>
      </c>
      <c r="N288" s="6">
        <f ca="1"/>
        <v>-4.0586437235788013</v>
      </c>
      <c r="P288" s="6">
        <f ca="1"/>
        <v>2.9988900419231657</v>
      </c>
      <c r="Q288" s="6">
        <f ca="1"/>
        <v>1.3088266845997751</v>
      </c>
      <c r="R288" s="6">
        <f ca="1"/>
        <v>-1010.3223530243947</v>
      </c>
      <c r="S288" s="42">
        <f ca="1"/>
        <v>360557.78263594926</v>
      </c>
      <c r="T288" s="6">
        <f ca="1"/>
        <v>-4.0586437235788013</v>
      </c>
    </row>
    <row r="289" spans="1:20">
      <c r="A289" s="43">
        <f ca="1"/>
        <v>287</v>
      </c>
      <c r="B289" s="4">
        <f ca="1"/>
        <v>7.1500000000000008E-2</v>
      </c>
      <c r="D289" s="6">
        <f ca="1"/>
        <v>2.9937173226084459</v>
      </c>
      <c r="E289" s="6">
        <f ca="1"/>
        <v>5.5846021258258851</v>
      </c>
      <c r="F289" s="6">
        <f ca="1"/>
        <v>-2482.0453892559613</v>
      </c>
      <c r="G289" s="42">
        <f ca="1"/>
        <v>0</v>
      </c>
      <c r="H289" s="6">
        <f ca="1"/>
        <v>-9.7099353632153562</v>
      </c>
      <c r="J289" s="6">
        <f ca="1"/>
        <v>2.9991866205204474</v>
      </c>
      <c r="K289" s="6">
        <f ca="1"/>
        <v>1.0676023129548065</v>
      </c>
      <c r="L289" s="6">
        <f ca="1"/>
        <v>-919.11683197663581</v>
      </c>
      <c r="M289" s="42">
        <f ca="1"/>
        <v>369096.69844639074</v>
      </c>
      <c r="N289" s="6">
        <f ca="1"/>
        <v>-3.7109661735519812</v>
      </c>
      <c r="P289" s="6">
        <f ca="1"/>
        <v>2.9991866205204474</v>
      </c>
      <c r="Q289" s="6">
        <f ca="1"/>
        <v>1.0676023129548065</v>
      </c>
      <c r="R289" s="6">
        <f ca="1"/>
        <v>-919.11683197663581</v>
      </c>
      <c r="S289" s="42">
        <f ca="1"/>
        <v>369096.6984463908</v>
      </c>
      <c r="T289" s="6">
        <f ca="1"/>
        <v>-3.7109661735519812</v>
      </c>
    </row>
    <row r="290" spans="1:20">
      <c r="A290" s="43">
        <f ca="1"/>
        <v>288</v>
      </c>
      <c r="B290" s="4">
        <f ca="1"/>
        <v>7.1750000000000008E-2</v>
      </c>
      <c r="D290" s="6">
        <f ca="1"/>
        <v>2.995035909221488</v>
      </c>
      <c r="E290" s="6">
        <f ca="1"/>
        <v>4.9640907785118848</v>
      </c>
      <c r="F290" s="6">
        <f ca="1"/>
        <v>-2482.0453892559613</v>
      </c>
      <c r="G290" s="42">
        <f ca="1"/>
        <v>0</v>
      </c>
      <c r="H290" s="6">
        <f ca="1"/>
        <v>-9.6942120229638888</v>
      </c>
      <c r="J290" s="6">
        <f ca="1"/>
        <v>2.9994257654743945</v>
      </c>
      <c r="K290" s="6">
        <f ca="1"/>
        <v>0.84944680723460564</v>
      </c>
      <c r="L290" s="6">
        <f ca="1"/>
        <v>-825.7688474510727</v>
      </c>
      <c r="M290" s="42">
        <f ca="1"/>
        <v>377697.49045835744</v>
      </c>
      <c r="N290" s="6">
        <f ca="1"/>
        <v>-3.355587825609387</v>
      </c>
      <c r="P290" s="6">
        <f ca="1"/>
        <v>2.9994257654743945</v>
      </c>
      <c r="Q290" s="6">
        <f ca="1"/>
        <v>0.84944680723460564</v>
      </c>
      <c r="R290" s="6">
        <f ca="1"/>
        <v>-825.7688474510727</v>
      </c>
      <c r="S290" s="42">
        <f ca="1"/>
        <v>377697.49045835756</v>
      </c>
      <c r="T290" s="6">
        <f ca="1"/>
        <v>-3.355587825609387</v>
      </c>
    </row>
    <row r="291" spans="1:20">
      <c r="A291" s="43">
        <f ca="1"/>
        <v>289</v>
      </c>
      <c r="B291" s="4">
        <f ca="1"/>
        <v>7.2000000000000008E-2</v>
      </c>
      <c r="D291" s="6">
        <f ca="1"/>
        <v>2.9961993679977019</v>
      </c>
      <c r="E291" s="6">
        <f ca="1"/>
        <v>4.3435794311979041</v>
      </c>
      <c r="F291" s="6">
        <f ca="1"/>
        <v>-2482.0453892559613</v>
      </c>
      <c r="G291" s="42">
        <f ca="1"/>
        <v>0</v>
      </c>
      <c r="H291" s="6">
        <f ca="1"/>
        <v>-9.6805360496808923</v>
      </c>
      <c r="J291" s="6">
        <f ca="1"/>
        <v>2.9996133111146079</v>
      </c>
      <c r="K291" s="6">
        <f ca="1"/>
        <v>0.65489771693994292</v>
      </c>
      <c r="L291" s="6">
        <f ca="1"/>
        <v>-730.26293039733002</v>
      </c>
      <c r="M291" s="42">
        <f ca="1"/>
        <v>386360.15867184888</v>
      </c>
      <c r="N291" s="6">
        <f ca="1"/>
        <v>-2.9923731213462612</v>
      </c>
      <c r="P291" s="6">
        <f ca="1"/>
        <v>2.9996133111146079</v>
      </c>
      <c r="Q291" s="6">
        <f ca="1"/>
        <v>0.65489771693995491</v>
      </c>
      <c r="R291" s="6">
        <f ca="1"/>
        <v>-730.26293039733002</v>
      </c>
      <c r="S291" s="42">
        <f ca="1"/>
        <v>386360.15867184883</v>
      </c>
      <c r="T291" s="6">
        <f ca="1"/>
        <v>-2.9923731213462612</v>
      </c>
    </row>
    <row r="292" spans="1:20">
      <c r="A292" s="43">
        <f ca="1"/>
        <v>290</v>
      </c>
      <c r="B292" s="4">
        <f ca="1"/>
        <v>7.2249999999999995E-2</v>
      </c>
      <c r="D292" s="6">
        <f ca="1"/>
        <v>2.9972076989370868</v>
      </c>
      <c r="E292" s="6">
        <f ca="1"/>
        <v>3.7230680838839438</v>
      </c>
      <c r="F292" s="6">
        <f ca="1"/>
        <v>-2482.0453892559613</v>
      </c>
      <c r="G292" s="42">
        <f ca="1"/>
        <v>0</v>
      </c>
      <c r="H292" s="6">
        <f ca="1"/>
        <v>-9.668807056231131</v>
      </c>
      <c r="J292" s="6">
        <f ca="1"/>
        <v>2.9997552266414713</v>
      </c>
      <c r="K292" s="6">
        <f ca="1"/>
        <v>0.48449645883417874</v>
      </c>
      <c r="L292" s="6">
        <f ca="1"/>
        <v>-632.58361176502672</v>
      </c>
      <c r="M292" s="42">
        <f ca="1"/>
        <v>395084.70308686484</v>
      </c>
      <c r="N292" s="6">
        <f ca="1"/>
        <v>-2.6211925864275325</v>
      </c>
      <c r="P292" s="6">
        <f ca="1"/>
        <v>2.9997552266414713</v>
      </c>
      <c r="Q292" s="6">
        <f ca="1"/>
        <v>0.48449645883417874</v>
      </c>
      <c r="R292" s="6">
        <f ca="1"/>
        <v>-632.58361176502672</v>
      </c>
      <c r="S292" s="42">
        <f ca="1"/>
        <v>395084.70308686479</v>
      </c>
      <c r="T292" s="6">
        <f ca="1"/>
        <v>-2.6211925864275325</v>
      </c>
    </row>
    <row r="293" spans="1:20">
      <c r="A293" s="43">
        <f ca="1"/>
        <v>291</v>
      </c>
      <c r="B293" s="4">
        <f ca="1"/>
        <v>7.2499999999999995E-2</v>
      </c>
      <c r="D293" s="6">
        <f ca="1"/>
        <v>2.9980609020396436</v>
      </c>
      <c r="E293" s="6">
        <f ca="1"/>
        <v>3.1025567365699636</v>
      </c>
      <c r="F293" s="6">
        <f ca="1"/>
        <v>-2482.0453892559613</v>
      </c>
      <c r="G293" s="42">
        <f ca="1"/>
        <v>0</v>
      </c>
      <c r="H293" s="6">
        <f ca="1"/>
        <v>-9.6589794692015101</v>
      </c>
      <c r="J293" s="6">
        <f ca="1"/>
        <v>2.9998576170929674</v>
      </c>
      <c r="K293" s="6">
        <f ca="1"/>
        <v>0.33878831694317929</v>
      </c>
      <c r="L293" s="6">
        <f ca="1"/>
        <v>-532.71542250377809</v>
      </c>
      <c r="M293" s="42">
        <f ca="1"/>
        <v>403871.12370340613</v>
      </c>
      <c r="N293" s="6">
        <f ca="1"/>
        <v>-2.2419232956970161</v>
      </c>
      <c r="P293" s="6">
        <f ca="1"/>
        <v>2.9998576170929674</v>
      </c>
      <c r="Q293" s="6">
        <f ca="1"/>
        <v>0.33878831694319134</v>
      </c>
      <c r="R293" s="6">
        <f ca="1"/>
        <v>-532.71542250377684</v>
      </c>
      <c r="S293" s="42">
        <f ca="1"/>
        <v>403871.12370340613</v>
      </c>
      <c r="T293" s="6">
        <f ca="1"/>
        <v>-2.2419232956970117</v>
      </c>
    </row>
    <row r="294" spans="1:20">
      <c r="A294" s="43">
        <f ca="1"/>
        <v>292</v>
      </c>
      <c r="B294" s="4">
        <f ca="1"/>
        <v>7.2749999999999995E-2</v>
      </c>
      <c r="D294" s="6">
        <f ca="1"/>
        <v>2.9987589773053722</v>
      </c>
      <c r="E294" s="6">
        <f ca="1"/>
        <v>2.4820453892559624</v>
      </c>
      <c r="F294" s="6">
        <f ca="1"/>
        <v>-2482.0453892559613</v>
      </c>
      <c r="G294" s="42">
        <f ca="1"/>
        <v>0</v>
      </c>
      <c r="H294" s="6">
        <f ca="1"/>
        <v>-9.6510031420500351</v>
      </c>
      <c r="J294" s="6">
        <f ca="1"/>
        <v>2.9999267243114929</v>
      </c>
      <c r="K294" s="6">
        <f ca="1"/>
        <v>0.21832244255555716</v>
      </c>
      <c r="L294" s="6">
        <f ca="1"/>
        <v>-430.64289356319779</v>
      </c>
      <c r="M294" s="42">
        <f ca="1"/>
        <v>412719.42052147258</v>
      </c>
      <c r="N294" s="6">
        <f ca="1"/>
        <v>-1.8544493987413169</v>
      </c>
      <c r="P294" s="6">
        <f ca="1"/>
        <v>2.9999267243114924</v>
      </c>
      <c r="Q294" s="6">
        <f ca="1"/>
        <v>0.21832244255555716</v>
      </c>
      <c r="R294" s="6">
        <f ca="1"/>
        <v>-430.64289356319779</v>
      </c>
      <c r="S294" s="42">
        <f ca="1"/>
        <v>412719.42052147258</v>
      </c>
      <c r="T294" s="6">
        <f ca="1"/>
        <v>-1.8544493987413175</v>
      </c>
    </row>
    <row r="295" spans="1:20">
      <c r="A295" s="43">
        <f ca="1"/>
        <v>293</v>
      </c>
      <c r="B295" s="4">
        <f ca="1"/>
        <v>7.2999999999999995E-2</v>
      </c>
      <c r="D295" s="6">
        <f ca="1"/>
        <v>2.9993019247342718</v>
      </c>
      <c r="E295" s="6">
        <f ca="1"/>
        <v>1.8615340419419821</v>
      </c>
      <c r="F295" s="6">
        <f ca="1"/>
        <v>-2482.0453892559613</v>
      </c>
      <c r="G295" s="42">
        <f ca="1"/>
        <v>0</v>
      </c>
      <c r="H295" s="6">
        <f ca="1"/>
        <v>-9.6448498990698148</v>
      </c>
      <c r="J295" s="6">
        <f ca="1"/>
        <v>2.9999689279106736</v>
      </c>
      <c r="K295" s="6">
        <f ca="1"/>
        <v>0.12365185422240671</v>
      </c>
      <c r="L295" s="6">
        <f ca="1"/>
        <v>-326.35055589291312</v>
      </c>
      <c r="M295" s="42">
        <f ca="1"/>
        <v>421629.59354106378</v>
      </c>
      <c r="N295" s="6">
        <f ca="1"/>
        <v>-1.4586627040672959</v>
      </c>
      <c r="P295" s="6">
        <f ca="1"/>
        <v>2.9999689279106736</v>
      </c>
      <c r="Q295" s="6">
        <f ca="1"/>
        <v>0.12365185422239466</v>
      </c>
      <c r="R295" s="6">
        <f ca="1"/>
        <v>-326.35055589291312</v>
      </c>
      <c r="S295" s="42">
        <f ca="1"/>
        <v>421629.59354106378</v>
      </c>
      <c r="T295" s="6">
        <f ca="1"/>
        <v>-1.4586627040672959</v>
      </c>
    </row>
    <row r="296" spans="1:20">
      <c r="A296" s="43">
        <f ca="1"/>
        <v>294</v>
      </c>
      <c r="B296" s="4">
        <f ca="1"/>
        <v>7.3249999999999996E-2</v>
      </c>
      <c r="D296" s="6">
        <f ca="1"/>
        <v>2.9996897443263428</v>
      </c>
      <c r="E296" s="6">
        <f ca="1"/>
        <v>1.2410226946279812</v>
      </c>
      <c r="F296" s="6">
        <f ca="1"/>
        <v>-2482.0453892559613</v>
      </c>
      <c r="G296" s="42">
        <f ca="1"/>
        <v>0</v>
      </c>
      <c r="H296" s="6">
        <f ca="1"/>
        <v>-9.6404695364551127</v>
      </c>
      <c r="J296" s="6">
        <f ca="1"/>
        <v>2.9999907462421835</v>
      </c>
      <c r="K296" s="6">
        <f ca="1"/>
        <v>5.53334377574363E-2</v>
      </c>
      <c r="L296" s="6">
        <f ca="1"/>
        <v>-219.822940442538</v>
      </c>
      <c r="M296" s="42">
        <f ca="1"/>
        <v>430601.64276218013</v>
      </c>
      <c r="N296" s="6">
        <f ca="1"/>
        <v>-1.0544633191536343</v>
      </c>
      <c r="P296" s="6">
        <f ca="1"/>
        <v>2.9999907462421835</v>
      </c>
      <c r="Q296" s="6">
        <f ca="1"/>
        <v>5.5333437757448346E-2</v>
      </c>
      <c r="R296" s="6">
        <f ca="1"/>
        <v>-219.822940442538</v>
      </c>
      <c r="S296" s="42">
        <f ca="1"/>
        <v>430601.64276218013</v>
      </c>
      <c r="T296" s="6">
        <f ca="1"/>
        <v>-1.0544633191536343</v>
      </c>
    </row>
    <row r="297" spans="1:20">
      <c r="A297" s="43">
        <f ca="1"/>
        <v>295</v>
      </c>
      <c r="B297" s="4">
        <f ca="1"/>
        <v>7.3499999999999996E-2</v>
      </c>
      <c r="D297" s="6">
        <f ca="1"/>
        <v>2.9999224360815857</v>
      </c>
      <c r="E297" s="6">
        <f ca="1"/>
        <v>0.62051134731400082</v>
      </c>
      <c r="F297" s="6">
        <f ca="1"/>
        <v>-2482.0453892559613</v>
      </c>
      <c r="G297" s="42">
        <f ca="1"/>
        <v>0</v>
      </c>
      <c r="H297" s="6">
        <f ca="1"/>
        <v>-9.6378472432633266</v>
      </c>
      <c r="J297" s="6">
        <f ca="1"/>
        <v>2.9999988373625555</v>
      </c>
      <c r="K297" s="6">
        <f ca="1"/>
        <v>1.392794623700459E-2</v>
      </c>
      <c r="L297" s="6">
        <f ca="1"/>
        <v>-111.04457816169617</v>
      </c>
      <c r="M297" s="42">
        <f ca="1"/>
        <v>439635.56818482117</v>
      </c>
      <c r="N297" s="6">
        <f ca="1"/>
        <v>-0.64176034266088855</v>
      </c>
      <c r="P297" s="6">
        <f ca="1"/>
        <v>2.9999988373625555</v>
      </c>
      <c r="Q297" s="6">
        <f ca="1"/>
        <v>1.392794623700459E-2</v>
      </c>
      <c r="R297" s="6">
        <f ca="1"/>
        <v>-111.04457816169617</v>
      </c>
      <c r="S297" s="42">
        <f ca="1"/>
        <v>439635.56818482117</v>
      </c>
      <c r="T297" s="6">
        <f ca="1"/>
        <v>-0.64176034266088855</v>
      </c>
    </row>
    <row r="298" spans="1:20">
      <c r="A298" s="43">
        <f ca="1"/>
        <v>296</v>
      </c>
      <c r="B298" s="4">
        <f ca="1"/>
        <v>7.3749999999999996E-2</v>
      </c>
      <c r="D298" s="6">
        <f ca="1"/>
        <v>3</v>
      </c>
      <c r="E298" s="6">
        <f ca="1"/>
        <v>0</v>
      </c>
      <c r="F298" s="6">
        <f ca="1"/>
        <v>-2482.0453892559613</v>
      </c>
      <c r="G298" s="42">
        <f ca="1"/>
        <v>0</v>
      </c>
      <c r="H298" s="6">
        <f ca="1"/>
        <v>-9.6369741329289038</v>
      </c>
      <c r="J298" s="6">
        <f ca="1"/>
        <v>3</v>
      </c>
      <c r="K298" s="6">
        <f ca="1"/>
        <v>0</v>
      </c>
      <c r="L298" s="6">
        <f ca="1"/>
        <v>0</v>
      </c>
      <c r="M298" s="42">
        <f ca="1"/>
        <v>448731.36980898731</v>
      </c>
      <c r="N298" s="6">
        <f ca="1"/>
        <v>-0.22047260402470278</v>
      </c>
      <c r="P298" s="6">
        <f ca="1"/>
        <v>3</v>
      </c>
      <c r="Q298" s="6">
        <f ca="1"/>
        <v>0</v>
      </c>
      <c r="R298" s="6">
        <f ca="1"/>
        <v>0</v>
      </c>
      <c r="S298" s="42">
        <f ca="1"/>
        <v>448731.36980898731</v>
      </c>
      <c r="T298" s="6">
        <f ca="1"/>
        <v>-0.22047260402470278</v>
      </c>
    </row>
  </sheetData>
  <mergeCells count="4">
    <mergeCell ref="A1:B1"/>
    <mergeCell ref="D1:H1"/>
    <mergeCell ref="J1:N1"/>
    <mergeCell ref="P1:T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685F-5119-427A-AE6E-05CE8F1C36A4}">
  <dimension ref="A1:C297"/>
  <sheetViews>
    <sheetView workbookViewId="0">
      <selection activeCell="F5" sqref="F5"/>
    </sheetView>
  </sheetViews>
  <sheetFormatPr defaultRowHeight="14.4"/>
  <cols>
    <col min="1" max="3" width="8.88671875" style="2"/>
  </cols>
  <sheetData>
    <row r="1" spans="1:3" ht="28.8">
      <c r="A1" s="9" t="s">
        <v>114</v>
      </c>
      <c r="B1" s="9" t="s">
        <v>121</v>
      </c>
      <c r="C1" s="9" t="s">
        <v>115</v>
      </c>
    </row>
    <row r="2" spans="1:3">
      <c r="A2" s="13" cm="1">
        <f t="array" aca="1" ref="A2:A297" ca="1">ROW(INDIRECT(1&amp;":"&amp;n))</f>
        <v>1</v>
      </c>
      <c r="B2" s="13" cm="1">
        <f t="array" aca="1" ref="B2:B297" ca="1">-1+((time_i-1)*ts/tAB*2)</f>
        <v>-1</v>
      </c>
      <c r="C2" s="17" cm="1">
        <f t="array" aca="1" ref="C2:C297" ca="1">(time_i-1)*ts</f>
        <v>0</v>
      </c>
    </row>
    <row r="3" spans="1:3">
      <c r="A3" s="2">
        <f ca="1"/>
        <v>2</v>
      </c>
      <c r="B3" s="2">
        <f ca="1"/>
        <v>-0.99322033898305084</v>
      </c>
      <c r="C3" s="2">
        <f ca="1"/>
        <v>2.5000000000000001E-4</v>
      </c>
    </row>
    <row r="4" spans="1:3">
      <c r="A4" s="2">
        <f ca="1"/>
        <v>3</v>
      </c>
      <c r="B4" s="2">
        <f ca="1"/>
        <v>-0.98644067796610169</v>
      </c>
      <c r="C4" s="2">
        <f ca="1"/>
        <v>5.0000000000000001E-4</v>
      </c>
    </row>
    <row r="5" spans="1:3">
      <c r="A5" s="2">
        <f ca="1"/>
        <v>4</v>
      </c>
      <c r="B5" s="2">
        <f ca="1"/>
        <v>-0.97966101694915253</v>
      </c>
      <c r="C5" s="2">
        <f ca="1"/>
        <v>7.5000000000000002E-4</v>
      </c>
    </row>
    <row r="6" spans="1:3">
      <c r="A6" s="2">
        <f ca="1"/>
        <v>5</v>
      </c>
      <c r="B6" s="2">
        <f ca="1"/>
        <v>-0.97288135593220337</v>
      </c>
      <c r="C6" s="2">
        <f ca="1"/>
        <v>1E-3</v>
      </c>
    </row>
    <row r="7" spans="1:3">
      <c r="A7" s="2">
        <f ca="1"/>
        <v>6</v>
      </c>
      <c r="B7" s="2">
        <f ca="1"/>
        <v>-0.96610169491525422</v>
      </c>
      <c r="C7" s="2">
        <f ca="1"/>
        <v>1.25E-3</v>
      </c>
    </row>
    <row r="8" spans="1:3">
      <c r="A8" s="2">
        <f ca="1"/>
        <v>7</v>
      </c>
      <c r="B8" s="2">
        <f ca="1"/>
        <v>-0.95932203389830506</v>
      </c>
      <c r="C8" s="2">
        <f ca="1"/>
        <v>1.5E-3</v>
      </c>
    </row>
    <row r="9" spans="1:3">
      <c r="A9" s="2">
        <f ca="1"/>
        <v>8</v>
      </c>
      <c r="B9" s="2">
        <f ca="1"/>
        <v>-0.9525423728813559</v>
      </c>
      <c r="C9" s="2">
        <f ca="1"/>
        <v>1.75E-3</v>
      </c>
    </row>
    <row r="10" spans="1:3">
      <c r="A10" s="2">
        <f ca="1"/>
        <v>9</v>
      </c>
      <c r="B10" s="2">
        <f ca="1"/>
        <v>-0.94576271186440675</v>
      </c>
      <c r="C10" s="2">
        <f ca="1"/>
        <v>2E-3</v>
      </c>
    </row>
    <row r="11" spans="1:3">
      <c r="A11" s="2">
        <f ca="1"/>
        <v>10</v>
      </c>
      <c r="B11" s="2">
        <f ca="1"/>
        <v>-0.93898305084745759</v>
      </c>
      <c r="C11" s="2">
        <f ca="1"/>
        <v>2.2500000000000003E-3</v>
      </c>
    </row>
    <row r="12" spans="1:3">
      <c r="A12" s="2">
        <f ca="1"/>
        <v>11</v>
      </c>
      <c r="B12" s="2">
        <f ca="1"/>
        <v>-0.93220338983050843</v>
      </c>
      <c r="C12" s="2">
        <f ca="1"/>
        <v>2.5000000000000001E-3</v>
      </c>
    </row>
    <row r="13" spans="1:3">
      <c r="A13" s="2">
        <f ca="1"/>
        <v>12</v>
      </c>
      <c r="B13" s="2">
        <f ca="1"/>
        <v>-0.92542372881355928</v>
      </c>
      <c r="C13" s="2">
        <f ca="1"/>
        <v>2.7499999999999998E-3</v>
      </c>
    </row>
    <row r="14" spans="1:3">
      <c r="A14" s="2">
        <f ca="1"/>
        <v>13</v>
      </c>
      <c r="B14" s="2">
        <f ca="1"/>
        <v>-0.91864406779661012</v>
      </c>
      <c r="C14" s="2">
        <f ca="1"/>
        <v>3.0000000000000001E-3</v>
      </c>
    </row>
    <row r="15" spans="1:3">
      <c r="A15" s="2">
        <f ca="1"/>
        <v>14</v>
      </c>
      <c r="B15" s="2">
        <f ca="1"/>
        <v>-0.91186440677966096</v>
      </c>
      <c r="C15" s="2">
        <f ca="1"/>
        <v>3.2500000000000003E-3</v>
      </c>
    </row>
    <row r="16" spans="1:3">
      <c r="A16" s="2">
        <f ca="1"/>
        <v>15</v>
      </c>
      <c r="B16" s="2">
        <f ca="1"/>
        <v>-0.90508474576271181</v>
      </c>
      <c r="C16" s="2">
        <f ca="1"/>
        <v>3.5000000000000001E-3</v>
      </c>
    </row>
    <row r="17" spans="1:3">
      <c r="A17" s="2">
        <f ca="1"/>
        <v>16</v>
      </c>
      <c r="B17" s="2">
        <f ca="1"/>
        <v>-0.89830508474576276</v>
      </c>
      <c r="C17" s="2">
        <f ca="1"/>
        <v>3.7499999999999999E-3</v>
      </c>
    </row>
    <row r="18" spans="1:3">
      <c r="A18" s="2">
        <f ca="1"/>
        <v>17</v>
      </c>
      <c r="B18" s="2">
        <f ca="1"/>
        <v>-0.89152542372881349</v>
      </c>
      <c r="C18" s="2">
        <f ca="1"/>
        <v>4.0000000000000001E-3</v>
      </c>
    </row>
    <row r="19" spans="1:3">
      <c r="A19" s="2">
        <f ca="1"/>
        <v>18</v>
      </c>
      <c r="B19" s="2">
        <f ca="1"/>
        <v>-0.88474576271186445</v>
      </c>
      <c r="C19" s="2">
        <f ca="1"/>
        <v>4.2500000000000003E-3</v>
      </c>
    </row>
    <row r="20" spans="1:3">
      <c r="A20" s="2">
        <f ca="1"/>
        <v>19</v>
      </c>
      <c r="B20" s="2">
        <f ca="1"/>
        <v>-0.87796610169491518</v>
      </c>
      <c r="C20" s="2">
        <f ca="1"/>
        <v>4.5000000000000005E-3</v>
      </c>
    </row>
    <row r="21" spans="1:3">
      <c r="A21" s="2">
        <f ca="1"/>
        <v>20</v>
      </c>
      <c r="B21" s="2">
        <f ca="1"/>
        <v>-0.87118644067796613</v>
      </c>
      <c r="C21" s="2">
        <f ca="1"/>
        <v>4.7499999999999999E-3</v>
      </c>
    </row>
    <row r="22" spans="1:3">
      <c r="A22" s="2">
        <f ca="1"/>
        <v>21</v>
      </c>
      <c r="B22" s="2">
        <f ca="1"/>
        <v>-0.86440677966101698</v>
      </c>
      <c r="C22" s="2">
        <f ca="1"/>
        <v>5.0000000000000001E-3</v>
      </c>
    </row>
    <row r="23" spans="1:3">
      <c r="A23" s="2">
        <f ca="1"/>
        <v>22</v>
      </c>
      <c r="B23" s="2">
        <f ca="1"/>
        <v>-0.85762711864406782</v>
      </c>
      <c r="C23" s="2">
        <f ca="1"/>
        <v>5.2500000000000003E-3</v>
      </c>
    </row>
    <row r="24" spans="1:3">
      <c r="A24" s="2">
        <f ca="1"/>
        <v>23</v>
      </c>
      <c r="B24" s="2">
        <f ca="1"/>
        <v>-0.85084745762711866</v>
      </c>
      <c r="C24" s="2">
        <f ca="1"/>
        <v>5.4999999999999997E-3</v>
      </c>
    </row>
    <row r="25" spans="1:3">
      <c r="A25" s="2">
        <f ca="1"/>
        <v>24</v>
      </c>
      <c r="B25" s="2">
        <f ca="1"/>
        <v>-0.84406779661016951</v>
      </c>
      <c r="C25" s="2">
        <f ca="1"/>
        <v>5.7499999999999999E-3</v>
      </c>
    </row>
    <row r="26" spans="1:3">
      <c r="A26" s="2">
        <f ca="1"/>
        <v>25</v>
      </c>
      <c r="B26" s="2">
        <f ca="1"/>
        <v>-0.83728813559322035</v>
      </c>
      <c r="C26" s="2">
        <f ca="1"/>
        <v>6.0000000000000001E-3</v>
      </c>
    </row>
    <row r="27" spans="1:3">
      <c r="A27" s="2">
        <f ca="1"/>
        <v>26</v>
      </c>
      <c r="B27" s="2">
        <f ca="1"/>
        <v>-0.83050847457627119</v>
      </c>
      <c r="C27" s="2">
        <f ca="1"/>
        <v>6.2500000000000003E-3</v>
      </c>
    </row>
    <row r="28" spans="1:3">
      <c r="A28" s="2">
        <f ca="1"/>
        <v>27</v>
      </c>
      <c r="B28" s="2">
        <f ca="1"/>
        <v>-0.82372881355932204</v>
      </c>
      <c r="C28" s="2">
        <f ca="1"/>
        <v>6.5000000000000006E-3</v>
      </c>
    </row>
    <row r="29" spans="1:3">
      <c r="A29" s="2">
        <f ca="1"/>
        <v>28</v>
      </c>
      <c r="B29" s="2">
        <f ca="1"/>
        <v>-0.81694915254237288</v>
      </c>
      <c r="C29" s="2">
        <f ca="1"/>
        <v>6.7499999999999999E-3</v>
      </c>
    </row>
    <row r="30" spans="1:3">
      <c r="A30" s="2">
        <f ca="1"/>
        <v>29</v>
      </c>
      <c r="B30" s="2">
        <f ca="1"/>
        <v>-0.81016949152542372</v>
      </c>
      <c r="C30" s="2">
        <f ca="1"/>
        <v>7.0000000000000001E-3</v>
      </c>
    </row>
    <row r="31" spans="1:3">
      <c r="A31" s="2">
        <f ca="1"/>
        <v>30</v>
      </c>
      <c r="B31" s="2">
        <f ca="1"/>
        <v>-0.80338983050847457</v>
      </c>
      <c r="C31" s="2">
        <f ca="1"/>
        <v>7.2500000000000004E-3</v>
      </c>
    </row>
    <row r="32" spans="1:3">
      <c r="A32" s="2">
        <f ca="1"/>
        <v>31</v>
      </c>
      <c r="B32" s="2">
        <f ca="1"/>
        <v>-0.79661016949152541</v>
      </c>
      <c r="C32" s="2">
        <f ca="1"/>
        <v>7.4999999999999997E-3</v>
      </c>
    </row>
    <row r="33" spans="1:3">
      <c r="A33" s="2">
        <f ca="1"/>
        <v>32</v>
      </c>
      <c r="B33" s="2">
        <f ca="1"/>
        <v>-0.78983050847457625</v>
      </c>
      <c r="C33" s="2">
        <f ca="1"/>
        <v>7.7499999999999999E-3</v>
      </c>
    </row>
    <row r="34" spans="1:3">
      <c r="A34" s="2">
        <f ca="1"/>
        <v>33</v>
      </c>
      <c r="B34" s="2">
        <f ca="1"/>
        <v>-0.7830508474576271</v>
      </c>
      <c r="C34" s="2">
        <f ca="1"/>
        <v>8.0000000000000002E-3</v>
      </c>
    </row>
    <row r="35" spans="1:3">
      <c r="A35" s="2">
        <f ca="1"/>
        <v>34</v>
      </c>
      <c r="B35" s="2">
        <f ca="1"/>
        <v>-0.77627118644067794</v>
      </c>
      <c r="C35" s="2">
        <f ca="1"/>
        <v>8.2500000000000004E-3</v>
      </c>
    </row>
    <row r="36" spans="1:3">
      <c r="A36" s="2">
        <f ca="1"/>
        <v>35</v>
      </c>
      <c r="B36" s="2">
        <f ca="1"/>
        <v>-0.76949152542372878</v>
      </c>
      <c r="C36" s="2">
        <f ca="1"/>
        <v>8.5000000000000006E-3</v>
      </c>
    </row>
    <row r="37" spans="1:3">
      <c r="A37" s="2">
        <f ca="1"/>
        <v>36</v>
      </c>
      <c r="B37" s="2">
        <f ca="1"/>
        <v>-0.76271186440677963</v>
      </c>
      <c r="C37" s="2">
        <f ca="1"/>
        <v>8.7500000000000008E-3</v>
      </c>
    </row>
    <row r="38" spans="1:3">
      <c r="A38" s="2">
        <f ca="1"/>
        <v>37</v>
      </c>
      <c r="B38" s="2">
        <f ca="1"/>
        <v>-0.75593220338983047</v>
      </c>
      <c r="C38" s="2">
        <f ca="1"/>
        <v>9.0000000000000011E-3</v>
      </c>
    </row>
    <row r="39" spans="1:3">
      <c r="A39" s="2">
        <f ca="1"/>
        <v>38</v>
      </c>
      <c r="B39" s="2">
        <f ca="1"/>
        <v>-0.74915254237288131</v>
      </c>
      <c r="C39" s="2">
        <f ca="1"/>
        <v>9.2499999999999995E-3</v>
      </c>
    </row>
    <row r="40" spans="1:3">
      <c r="A40" s="2">
        <f ca="1"/>
        <v>39</v>
      </c>
      <c r="B40" s="2">
        <f ca="1"/>
        <v>-0.74237288135593227</v>
      </c>
      <c r="C40" s="2">
        <f ca="1"/>
        <v>9.4999999999999998E-3</v>
      </c>
    </row>
    <row r="41" spans="1:3">
      <c r="A41" s="2">
        <f ca="1"/>
        <v>40</v>
      </c>
      <c r="B41" s="2">
        <f ca="1"/>
        <v>-0.735593220338983</v>
      </c>
      <c r="C41" s="2">
        <f ca="1"/>
        <v>9.75E-3</v>
      </c>
    </row>
    <row r="42" spans="1:3">
      <c r="A42" s="2">
        <f ca="1"/>
        <v>41</v>
      </c>
      <c r="B42" s="2">
        <f ca="1"/>
        <v>-0.72881355932203395</v>
      </c>
      <c r="C42" s="2">
        <f ca="1"/>
        <v>0.01</v>
      </c>
    </row>
    <row r="43" spans="1:3">
      <c r="A43" s="2">
        <f ca="1"/>
        <v>42</v>
      </c>
      <c r="B43" s="2">
        <f ca="1"/>
        <v>-0.72203389830508469</v>
      </c>
      <c r="C43" s="2">
        <f ca="1"/>
        <v>1.025E-2</v>
      </c>
    </row>
    <row r="44" spans="1:3">
      <c r="A44" s="2">
        <f ca="1"/>
        <v>43</v>
      </c>
      <c r="B44" s="2">
        <f ca="1"/>
        <v>-0.71525423728813564</v>
      </c>
      <c r="C44" s="2">
        <f ca="1"/>
        <v>1.0500000000000001E-2</v>
      </c>
    </row>
    <row r="45" spans="1:3">
      <c r="A45" s="2">
        <f ca="1"/>
        <v>44</v>
      </c>
      <c r="B45" s="2">
        <f ca="1"/>
        <v>-0.70847457627118637</v>
      </c>
      <c r="C45" s="2">
        <f ca="1"/>
        <v>1.0750000000000001E-2</v>
      </c>
    </row>
    <row r="46" spans="1:3">
      <c r="A46" s="2">
        <f ca="1"/>
        <v>45</v>
      </c>
      <c r="B46" s="2">
        <f ca="1"/>
        <v>-0.70169491525423733</v>
      </c>
      <c r="C46" s="2">
        <f ca="1"/>
        <v>1.0999999999999999E-2</v>
      </c>
    </row>
    <row r="47" spans="1:3">
      <c r="A47" s="2">
        <f ca="1"/>
        <v>46</v>
      </c>
      <c r="B47" s="2">
        <f ca="1"/>
        <v>-0.69491525423728806</v>
      </c>
      <c r="C47" s="2">
        <f ca="1"/>
        <v>1.125E-2</v>
      </c>
    </row>
    <row r="48" spans="1:3">
      <c r="A48" s="2">
        <f ca="1"/>
        <v>47</v>
      </c>
      <c r="B48" s="2">
        <f ca="1"/>
        <v>-0.68813559322033901</v>
      </c>
      <c r="C48" s="2">
        <f ca="1"/>
        <v>1.15E-2</v>
      </c>
    </row>
    <row r="49" spans="1:3">
      <c r="A49" s="2">
        <f ca="1"/>
        <v>48</v>
      </c>
      <c r="B49" s="2">
        <f ca="1"/>
        <v>-0.68135593220338975</v>
      </c>
      <c r="C49" s="2">
        <f ca="1"/>
        <v>1.175E-2</v>
      </c>
    </row>
    <row r="50" spans="1:3">
      <c r="A50" s="2">
        <f ca="1"/>
        <v>49</v>
      </c>
      <c r="B50" s="2">
        <f ca="1"/>
        <v>-0.6745762711864407</v>
      </c>
      <c r="C50" s="2">
        <f ca="1"/>
        <v>1.2E-2</v>
      </c>
    </row>
    <row r="51" spans="1:3">
      <c r="A51" s="2">
        <f ca="1"/>
        <v>50</v>
      </c>
      <c r="B51" s="2">
        <f ca="1"/>
        <v>-0.66779661016949143</v>
      </c>
      <c r="C51" s="2">
        <f ca="1"/>
        <v>1.225E-2</v>
      </c>
    </row>
    <row r="52" spans="1:3">
      <c r="A52" s="2">
        <f ca="1"/>
        <v>51</v>
      </c>
      <c r="B52" s="2">
        <f ca="1"/>
        <v>-0.66101694915254239</v>
      </c>
      <c r="C52" s="2">
        <f ca="1"/>
        <v>1.2500000000000001E-2</v>
      </c>
    </row>
    <row r="53" spans="1:3">
      <c r="A53" s="2">
        <f ca="1"/>
        <v>52</v>
      </c>
      <c r="B53" s="2">
        <f ca="1"/>
        <v>-0.65423728813559312</v>
      </c>
      <c r="C53" s="2">
        <f ca="1"/>
        <v>1.2750000000000001E-2</v>
      </c>
    </row>
    <row r="54" spans="1:3">
      <c r="A54" s="2">
        <f ca="1"/>
        <v>53</v>
      </c>
      <c r="B54" s="2">
        <f ca="1"/>
        <v>-0.64745762711864407</v>
      </c>
      <c r="C54" s="2">
        <f ca="1"/>
        <v>1.3000000000000001E-2</v>
      </c>
    </row>
    <row r="55" spans="1:3">
      <c r="A55" s="2">
        <f ca="1"/>
        <v>54</v>
      </c>
      <c r="B55" s="2">
        <f ca="1"/>
        <v>-0.64067796610169492</v>
      </c>
      <c r="C55" s="2">
        <f ca="1"/>
        <v>1.325E-2</v>
      </c>
    </row>
    <row r="56" spans="1:3">
      <c r="A56" s="2">
        <f ca="1"/>
        <v>55</v>
      </c>
      <c r="B56" s="2">
        <f ca="1"/>
        <v>-0.63389830508474576</v>
      </c>
      <c r="C56" s="2">
        <f ca="1"/>
        <v>1.35E-2</v>
      </c>
    </row>
    <row r="57" spans="1:3">
      <c r="A57" s="2">
        <f ca="1"/>
        <v>56</v>
      </c>
      <c r="B57" s="2">
        <f ca="1"/>
        <v>-0.6271186440677966</v>
      </c>
      <c r="C57" s="2">
        <f ca="1"/>
        <v>1.375E-2</v>
      </c>
    </row>
    <row r="58" spans="1:3">
      <c r="A58" s="2">
        <f ca="1"/>
        <v>57</v>
      </c>
      <c r="B58" s="2">
        <f ca="1"/>
        <v>-0.62033898305084745</v>
      </c>
      <c r="C58" s="2">
        <f ca="1"/>
        <v>1.4E-2</v>
      </c>
    </row>
    <row r="59" spans="1:3">
      <c r="A59" s="2">
        <f ca="1"/>
        <v>58</v>
      </c>
      <c r="B59" s="2">
        <f ca="1"/>
        <v>-0.61355932203389829</v>
      </c>
      <c r="C59" s="2">
        <f ca="1"/>
        <v>1.4250000000000001E-2</v>
      </c>
    </row>
    <row r="60" spans="1:3">
      <c r="A60" s="2">
        <f ca="1"/>
        <v>59</v>
      </c>
      <c r="B60" s="2">
        <f ca="1"/>
        <v>-0.60677966101694913</v>
      </c>
      <c r="C60" s="2">
        <f ca="1"/>
        <v>1.4500000000000001E-2</v>
      </c>
    </row>
    <row r="61" spans="1:3">
      <c r="A61" s="2">
        <f ca="1"/>
        <v>60</v>
      </c>
      <c r="B61" s="2">
        <f ca="1"/>
        <v>-0.6</v>
      </c>
      <c r="C61" s="2">
        <f ca="1"/>
        <v>1.4750000000000001E-2</v>
      </c>
    </row>
    <row r="62" spans="1:3">
      <c r="A62" s="2">
        <f ca="1"/>
        <v>61</v>
      </c>
      <c r="B62" s="2">
        <f ca="1"/>
        <v>-0.59322033898305082</v>
      </c>
      <c r="C62" s="2">
        <f ca="1"/>
        <v>1.4999999999999999E-2</v>
      </c>
    </row>
    <row r="63" spans="1:3">
      <c r="A63" s="2">
        <f ca="1"/>
        <v>62</v>
      </c>
      <c r="B63" s="2">
        <f ca="1"/>
        <v>-0.58644067796610166</v>
      </c>
      <c r="C63" s="2">
        <f ca="1"/>
        <v>1.525E-2</v>
      </c>
    </row>
    <row r="64" spans="1:3">
      <c r="A64" s="2">
        <f ca="1"/>
        <v>63</v>
      </c>
      <c r="B64" s="2">
        <f ca="1"/>
        <v>-0.57966101694915251</v>
      </c>
      <c r="C64" s="2">
        <f ca="1"/>
        <v>1.55E-2</v>
      </c>
    </row>
    <row r="65" spans="1:3">
      <c r="A65" s="2">
        <f ca="1"/>
        <v>64</v>
      </c>
      <c r="B65" s="2">
        <f ca="1"/>
        <v>-0.57288135593220335</v>
      </c>
      <c r="C65" s="2">
        <f ca="1"/>
        <v>1.575E-2</v>
      </c>
    </row>
    <row r="66" spans="1:3">
      <c r="A66" s="2">
        <f ca="1"/>
        <v>65</v>
      </c>
      <c r="B66" s="2">
        <f ca="1"/>
        <v>-0.56610169491525419</v>
      </c>
      <c r="C66" s="2">
        <f ca="1"/>
        <v>1.6E-2</v>
      </c>
    </row>
    <row r="67" spans="1:3">
      <c r="A67" s="2">
        <f ca="1"/>
        <v>66</v>
      </c>
      <c r="B67" s="2">
        <f ca="1"/>
        <v>-0.55932203389830504</v>
      </c>
      <c r="C67" s="2">
        <f ca="1"/>
        <v>1.6250000000000001E-2</v>
      </c>
    </row>
    <row r="68" spans="1:3">
      <c r="A68" s="2">
        <f ca="1"/>
        <v>67</v>
      </c>
      <c r="B68" s="2">
        <f ca="1"/>
        <v>-0.55254237288135588</v>
      </c>
      <c r="C68" s="2">
        <f ca="1"/>
        <v>1.6500000000000001E-2</v>
      </c>
    </row>
    <row r="69" spans="1:3">
      <c r="A69" s="2">
        <f ca="1"/>
        <v>68</v>
      </c>
      <c r="B69" s="2">
        <f ca="1"/>
        <v>-0.54576271186440672</v>
      </c>
      <c r="C69" s="2">
        <f ca="1"/>
        <v>1.6750000000000001E-2</v>
      </c>
    </row>
    <row r="70" spans="1:3">
      <c r="A70" s="2">
        <f ca="1"/>
        <v>69</v>
      </c>
      <c r="B70" s="2">
        <f ca="1"/>
        <v>-0.53898305084745757</v>
      </c>
      <c r="C70" s="2">
        <f ca="1"/>
        <v>1.7000000000000001E-2</v>
      </c>
    </row>
    <row r="71" spans="1:3">
      <c r="A71" s="2">
        <f ca="1"/>
        <v>70</v>
      </c>
      <c r="B71" s="2">
        <f ca="1"/>
        <v>-0.53220338983050841</v>
      </c>
      <c r="C71" s="2">
        <f ca="1"/>
        <v>1.7250000000000001E-2</v>
      </c>
    </row>
    <row r="72" spans="1:3">
      <c r="A72" s="2">
        <f ca="1"/>
        <v>71</v>
      </c>
      <c r="B72" s="2">
        <f ca="1"/>
        <v>-0.52542372881355925</v>
      </c>
      <c r="C72" s="2">
        <f ca="1"/>
        <v>1.7500000000000002E-2</v>
      </c>
    </row>
    <row r="73" spans="1:3">
      <c r="A73" s="2">
        <f ca="1"/>
        <v>72</v>
      </c>
      <c r="B73" s="2">
        <f ca="1"/>
        <v>-0.5186440677966101</v>
      </c>
      <c r="C73" s="2">
        <f ca="1"/>
        <v>1.7750000000000002E-2</v>
      </c>
    </row>
    <row r="74" spans="1:3">
      <c r="A74" s="2">
        <f ca="1"/>
        <v>73</v>
      </c>
      <c r="B74" s="2">
        <f ca="1"/>
        <v>-0.51186440677966094</v>
      </c>
      <c r="C74" s="2">
        <f ca="1"/>
        <v>1.8000000000000002E-2</v>
      </c>
    </row>
    <row r="75" spans="1:3">
      <c r="A75" s="2">
        <f ca="1"/>
        <v>74</v>
      </c>
      <c r="B75" s="2">
        <f ca="1"/>
        <v>-0.5050847457627119</v>
      </c>
      <c r="C75" s="2">
        <f ca="1"/>
        <v>1.8249999999999999E-2</v>
      </c>
    </row>
    <row r="76" spans="1:3">
      <c r="A76" s="2">
        <f ca="1"/>
        <v>75</v>
      </c>
      <c r="B76" s="2">
        <f ca="1"/>
        <v>-0.49830508474576274</v>
      </c>
      <c r="C76" s="2">
        <f ca="1"/>
        <v>1.8499999999999999E-2</v>
      </c>
    </row>
    <row r="77" spans="1:3">
      <c r="A77" s="2">
        <f ca="1"/>
        <v>76</v>
      </c>
      <c r="B77" s="2">
        <f ca="1"/>
        <v>-0.49152542372881358</v>
      </c>
      <c r="C77" s="2">
        <f ca="1"/>
        <v>1.8749999999999999E-2</v>
      </c>
    </row>
    <row r="78" spans="1:3">
      <c r="A78" s="2">
        <f ca="1"/>
        <v>77</v>
      </c>
      <c r="B78" s="2">
        <f ca="1"/>
        <v>-0.48474576271186443</v>
      </c>
      <c r="C78" s="2">
        <f ca="1"/>
        <v>1.9E-2</v>
      </c>
    </row>
    <row r="79" spans="1:3">
      <c r="A79" s="2">
        <f ca="1"/>
        <v>78</v>
      </c>
      <c r="B79" s="2">
        <f ca="1"/>
        <v>-0.47796610169491527</v>
      </c>
      <c r="C79" s="2">
        <f ca="1"/>
        <v>1.925E-2</v>
      </c>
    </row>
    <row r="80" spans="1:3">
      <c r="A80" s="2">
        <f ca="1"/>
        <v>79</v>
      </c>
      <c r="B80" s="2">
        <f ca="1"/>
        <v>-0.47118644067796611</v>
      </c>
      <c r="C80" s="2">
        <f ca="1"/>
        <v>1.95E-2</v>
      </c>
    </row>
    <row r="81" spans="1:3">
      <c r="A81" s="2">
        <f ca="1"/>
        <v>80</v>
      </c>
      <c r="B81" s="2">
        <f ca="1"/>
        <v>-0.46440677966101696</v>
      </c>
      <c r="C81" s="2">
        <f ca="1"/>
        <v>1.975E-2</v>
      </c>
    </row>
    <row r="82" spans="1:3">
      <c r="A82" s="2">
        <f ca="1"/>
        <v>81</v>
      </c>
      <c r="B82" s="2">
        <f ca="1"/>
        <v>-0.4576271186440678</v>
      </c>
      <c r="C82" s="2">
        <f ca="1"/>
        <v>0.02</v>
      </c>
    </row>
    <row r="83" spans="1:3">
      <c r="A83" s="2">
        <f ca="1"/>
        <v>82</v>
      </c>
      <c r="B83" s="2">
        <f ca="1"/>
        <v>-0.45084745762711864</v>
      </c>
      <c r="C83" s="2">
        <f ca="1"/>
        <v>2.0250000000000001E-2</v>
      </c>
    </row>
    <row r="84" spans="1:3">
      <c r="A84" s="2">
        <f ca="1"/>
        <v>83</v>
      </c>
      <c r="B84" s="2">
        <f ca="1"/>
        <v>-0.44406779661016949</v>
      </c>
      <c r="C84" s="2">
        <f ca="1"/>
        <v>2.0500000000000001E-2</v>
      </c>
    </row>
    <row r="85" spans="1:3">
      <c r="A85" s="2">
        <f ca="1"/>
        <v>84</v>
      </c>
      <c r="B85" s="2">
        <f ca="1"/>
        <v>-0.43728813559322033</v>
      </c>
      <c r="C85" s="2">
        <f ca="1"/>
        <v>2.0750000000000001E-2</v>
      </c>
    </row>
    <row r="86" spans="1:3">
      <c r="A86" s="2">
        <f ca="1"/>
        <v>85</v>
      </c>
      <c r="B86" s="2">
        <f ca="1"/>
        <v>-0.43050847457627117</v>
      </c>
      <c r="C86" s="2">
        <f ca="1"/>
        <v>2.1000000000000001E-2</v>
      </c>
    </row>
    <row r="87" spans="1:3">
      <c r="A87" s="2">
        <f ca="1"/>
        <v>86</v>
      </c>
      <c r="B87" s="2">
        <f ca="1"/>
        <v>-0.42372881355932202</v>
      </c>
      <c r="C87" s="2">
        <f ca="1"/>
        <v>2.1250000000000002E-2</v>
      </c>
    </row>
    <row r="88" spans="1:3">
      <c r="A88" s="2">
        <f ca="1"/>
        <v>87</v>
      </c>
      <c r="B88" s="2">
        <f ca="1"/>
        <v>-0.41694915254237286</v>
      </c>
      <c r="C88" s="2">
        <f ca="1"/>
        <v>2.1500000000000002E-2</v>
      </c>
    </row>
    <row r="89" spans="1:3">
      <c r="A89" s="2">
        <f ca="1"/>
        <v>88</v>
      </c>
      <c r="B89" s="2">
        <f ca="1"/>
        <v>-0.41016949152542359</v>
      </c>
      <c r="C89" s="2">
        <f ca="1"/>
        <v>2.1750000000000002E-2</v>
      </c>
    </row>
    <row r="90" spans="1:3">
      <c r="A90" s="2">
        <f ca="1"/>
        <v>89</v>
      </c>
      <c r="B90" s="2">
        <f ca="1"/>
        <v>-0.40338983050847455</v>
      </c>
      <c r="C90" s="2">
        <f ca="1"/>
        <v>2.1999999999999999E-2</v>
      </c>
    </row>
    <row r="91" spans="1:3">
      <c r="A91" s="2">
        <f ca="1"/>
        <v>90</v>
      </c>
      <c r="B91" s="2">
        <f ca="1"/>
        <v>-0.39661016949152539</v>
      </c>
      <c r="C91" s="2">
        <f ca="1"/>
        <v>2.2249999999999999E-2</v>
      </c>
    </row>
    <row r="92" spans="1:3">
      <c r="A92" s="2">
        <f ca="1"/>
        <v>91</v>
      </c>
      <c r="B92" s="2">
        <f ca="1"/>
        <v>-0.38983050847457623</v>
      </c>
      <c r="C92" s="2">
        <f ca="1"/>
        <v>2.2499999999999999E-2</v>
      </c>
    </row>
    <row r="93" spans="1:3">
      <c r="A93" s="2">
        <f ca="1"/>
        <v>92</v>
      </c>
      <c r="B93" s="2">
        <f ca="1"/>
        <v>-0.38305084745762707</v>
      </c>
      <c r="C93" s="2">
        <f ca="1"/>
        <v>2.2749999999999999E-2</v>
      </c>
    </row>
    <row r="94" spans="1:3">
      <c r="A94" s="2">
        <f ca="1"/>
        <v>93</v>
      </c>
      <c r="B94" s="2">
        <f ca="1"/>
        <v>-0.37627118644067792</v>
      </c>
      <c r="C94" s="2">
        <f ca="1"/>
        <v>2.3E-2</v>
      </c>
    </row>
    <row r="95" spans="1:3">
      <c r="A95" s="2">
        <f ca="1"/>
        <v>94</v>
      </c>
      <c r="B95" s="2">
        <f ca="1"/>
        <v>-0.36949152542372876</v>
      </c>
      <c r="C95" s="2">
        <f ca="1"/>
        <v>2.325E-2</v>
      </c>
    </row>
    <row r="96" spans="1:3">
      <c r="A96" s="2">
        <f ca="1"/>
        <v>95</v>
      </c>
      <c r="B96" s="2">
        <f ca="1"/>
        <v>-0.3627118644067796</v>
      </c>
      <c r="C96" s="2">
        <f ca="1"/>
        <v>2.35E-2</v>
      </c>
    </row>
    <row r="97" spans="1:3">
      <c r="A97" s="2">
        <f ca="1"/>
        <v>96</v>
      </c>
      <c r="B97" s="2">
        <f ca="1"/>
        <v>-0.35593220338983045</v>
      </c>
      <c r="C97" s="2">
        <f ca="1"/>
        <v>2.375E-2</v>
      </c>
    </row>
    <row r="98" spans="1:3">
      <c r="A98" s="2">
        <f ca="1"/>
        <v>97</v>
      </c>
      <c r="B98" s="2">
        <f ca="1"/>
        <v>-0.34915254237288129</v>
      </c>
      <c r="C98" s="2">
        <f ca="1"/>
        <v>2.4E-2</v>
      </c>
    </row>
    <row r="99" spans="1:3">
      <c r="A99" s="2">
        <f ca="1"/>
        <v>98</v>
      </c>
      <c r="B99" s="2">
        <f ca="1"/>
        <v>-0.34237288135593213</v>
      </c>
      <c r="C99" s="2">
        <f ca="1"/>
        <v>2.4250000000000001E-2</v>
      </c>
    </row>
    <row r="100" spans="1:3">
      <c r="A100" s="2">
        <f ca="1"/>
        <v>99</v>
      </c>
      <c r="B100" s="2">
        <f ca="1"/>
        <v>-0.33559322033898298</v>
      </c>
      <c r="C100" s="2">
        <f ca="1"/>
        <v>2.4500000000000001E-2</v>
      </c>
    </row>
    <row r="101" spans="1:3">
      <c r="A101" s="2">
        <f ca="1"/>
        <v>100</v>
      </c>
      <c r="B101" s="2">
        <f ca="1"/>
        <v>-0.32881355932203382</v>
      </c>
      <c r="C101" s="2">
        <f ca="1"/>
        <v>2.4750000000000001E-2</v>
      </c>
    </row>
    <row r="102" spans="1:3">
      <c r="A102" s="2">
        <f ca="1"/>
        <v>101</v>
      </c>
      <c r="B102" s="2">
        <f ca="1"/>
        <v>-0.32203389830508466</v>
      </c>
      <c r="C102" s="2">
        <f ca="1"/>
        <v>2.5000000000000001E-2</v>
      </c>
    </row>
    <row r="103" spans="1:3">
      <c r="A103" s="2">
        <f ca="1"/>
        <v>102</v>
      </c>
      <c r="B103" s="2">
        <f ca="1"/>
        <v>-0.31525423728813551</v>
      </c>
      <c r="C103" s="2">
        <f ca="1"/>
        <v>2.5250000000000002E-2</v>
      </c>
    </row>
    <row r="104" spans="1:3">
      <c r="A104" s="2">
        <f ca="1"/>
        <v>103</v>
      </c>
      <c r="B104" s="2">
        <f ca="1"/>
        <v>-0.30847457627118635</v>
      </c>
      <c r="C104" s="2">
        <f ca="1"/>
        <v>2.5500000000000002E-2</v>
      </c>
    </row>
    <row r="105" spans="1:3">
      <c r="A105" s="2">
        <f ca="1"/>
        <v>104</v>
      </c>
      <c r="B105" s="2">
        <f ca="1"/>
        <v>-0.30169491525423719</v>
      </c>
      <c r="C105" s="2">
        <f ca="1"/>
        <v>2.5750000000000002E-2</v>
      </c>
    </row>
    <row r="106" spans="1:3">
      <c r="A106" s="2">
        <f ca="1"/>
        <v>105</v>
      </c>
      <c r="B106" s="2">
        <f ca="1"/>
        <v>-0.29491525423728804</v>
      </c>
      <c r="C106" s="2">
        <f ca="1"/>
        <v>2.6000000000000002E-2</v>
      </c>
    </row>
    <row r="107" spans="1:3">
      <c r="A107" s="2">
        <f ca="1"/>
        <v>106</v>
      </c>
      <c r="B107" s="2">
        <f ca="1"/>
        <v>-0.28813559322033899</v>
      </c>
      <c r="C107" s="2">
        <f ca="1"/>
        <v>2.6249999999999999E-2</v>
      </c>
    </row>
    <row r="108" spans="1:3">
      <c r="A108" s="2">
        <f ca="1"/>
        <v>107</v>
      </c>
      <c r="B108" s="2">
        <f ca="1"/>
        <v>-0.28135593220338984</v>
      </c>
      <c r="C108" s="2">
        <f ca="1"/>
        <v>2.6499999999999999E-2</v>
      </c>
    </row>
    <row r="109" spans="1:3">
      <c r="A109" s="2">
        <f ca="1"/>
        <v>108</v>
      </c>
      <c r="B109" s="2">
        <f ca="1"/>
        <v>-0.27457627118644068</v>
      </c>
      <c r="C109" s="2">
        <f ca="1"/>
        <v>2.6749999999999999E-2</v>
      </c>
    </row>
    <row r="110" spans="1:3">
      <c r="A110" s="2">
        <f ca="1"/>
        <v>109</v>
      </c>
      <c r="B110" s="2">
        <f ca="1"/>
        <v>-0.26779661016949152</v>
      </c>
      <c r="C110" s="2">
        <f ca="1"/>
        <v>2.7E-2</v>
      </c>
    </row>
    <row r="111" spans="1:3">
      <c r="A111" s="2">
        <f ca="1"/>
        <v>110</v>
      </c>
      <c r="B111" s="2">
        <f ca="1"/>
        <v>-0.26101694915254237</v>
      </c>
      <c r="C111" s="2">
        <f ca="1"/>
        <v>2.725E-2</v>
      </c>
    </row>
    <row r="112" spans="1:3">
      <c r="A112" s="2">
        <f ca="1"/>
        <v>111</v>
      </c>
      <c r="B112" s="2">
        <f ca="1"/>
        <v>-0.25423728813559321</v>
      </c>
      <c r="C112" s="2">
        <f ca="1"/>
        <v>2.75E-2</v>
      </c>
    </row>
    <row r="113" spans="1:3">
      <c r="A113" s="2">
        <f ca="1"/>
        <v>112</v>
      </c>
      <c r="B113" s="2">
        <f ca="1"/>
        <v>-0.24745762711864405</v>
      </c>
      <c r="C113" s="2">
        <f ca="1"/>
        <v>2.775E-2</v>
      </c>
    </row>
    <row r="114" spans="1:3">
      <c r="A114" s="2">
        <f ca="1"/>
        <v>113</v>
      </c>
      <c r="B114" s="2">
        <f ca="1"/>
        <v>-0.2406779661016949</v>
      </c>
      <c r="C114" s="2">
        <f ca="1"/>
        <v>2.8000000000000001E-2</v>
      </c>
    </row>
    <row r="115" spans="1:3">
      <c r="A115" s="2">
        <f ca="1"/>
        <v>114</v>
      </c>
      <c r="B115" s="2">
        <f ca="1"/>
        <v>-0.23389830508474574</v>
      </c>
      <c r="C115" s="2">
        <f ca="1"/>
        <v>2.8250000000000001E-2</v>
      </c>
    </row>
    <row r="116" spans="1:3">
      <c r="A116" s="2">
        <f ca="1"/>
        <v>115</v>
      </c>
      <c r="B116" s="2">
        <f ca="1"/>
        <v>-0.22711864406779658</v>
      </c>
      <c r="C116" s="2">
        <f ca="1"/>
        <v>2.8500000000000001E-2</v>
      </c>
    </row>
    <row r="117" spans="1:3">
      <c r="A117" s="2">
        <f ca="1"/>
        <v>116</v>
      </c>
      <c r="B117" s="2">
        <f ca="1"/>
        <v>-0.22033898305084743</v>
      </c>
      <c r="C117" s="2">
        <f ca="1"/>
        <v>2.8750000000000001E-2</v>
      </c>
    </row>
    <row r="118" spans="1:3">
      <c r="A118" s="2">
        <f ca="1"/>
        <v>117</v>
      </c>
      <c r="B118" s="2">
        <f ca="1"/>
        <v>-0.21355932203389827</v>
      </c>
      <c r="C118" s="2">
        <f ca="1"/>
        <v>2.9000000000000001E-2</v>
      </c>
    </row>
    <row r="119" spans="1:3">
      <c r="A119" s="2">
        <f ca="1"/>
        <v>118</v>
      </c>
      <c r="B119" s="2">
        <f ca="1"/>
        <v>-0.20677966101694911</v>
      </c>
      <c r="C119" s="2">
        <f ca="1"/>
        <v>2.9250000000000002E-2</v>
      </c>
    </row>
    <row r="120" spans="1:3">
      <c r="A120" s="2">
        <f ca="1"/>
        <v>119</v>
      </c>
      <c r="B120" s="2">
        <f ca="1"/>
        <v>-0.19999999999999996</v>
      </c>
      <c r="C120" s="2">
        <f ca="1"/>
        <v>2.9500000000000002E-2</v>
      </c>
    </row>
    <row r="121" spans="1:3">
      <c r="A121" s="2">
        <f ca="1"/>
        <v>120</v>
      </c>
      <c r="B121" s="2">
        <f ca="1"/>
        <v>-0.1932203389830508</v>
      </c>
      <c r="C121" s="2">
        <f ca="1"/>
        <v>2.9750000000000002E-2</v>
      </c>
    </row>
    <row r="122" spans="1:3">
      <c r="A122" s="2">
        <f ca="1"/>
        <v>121</v>
      </c>
      <c r="B122" s="2">
        <f ca="1"/>
        <v>-0.18644067796610164</v>
      </c>
      <c r="C122" s="2">
        <f ca="1"/>
        <v>0.03</v>
      </c>
    </row>
    <row r="123" spans="1:3">
      <c r="A123" s="2">
        <f ca="1"/>
        <v>122</v>
      </c>
      <c r="B123" s="2">
        <f ca="1"/>
        <v>-0.17966101694915249</v>
      </c>
      <c r="C123" s="2">
        <f ca="1"/>
        <v>3.0249999999999999E-2</v>
      </c>
    </row>
    <row r="124" spans="1:3">
      <c r="A124" s="2">
        <f ca="1"/>
        <v>123</v>
      </c>
      <c r="B124" s="2">
        <f ca="1"/>
        <v>-0.17288135593220333</v>
      </c>
      <c r="C124" s="2">
        <f ca="1"/>
        <v>3.0499999999999999E-2</v>
      </c>
    </row>
    <row r="125" spans="1:3">
      <c r="A125" s="2">
        <f ca="1"/>
        <v>124</v>
      </c>
      <c r="B125" s="2">
        <f ca="1"/>
        <v>-0.16610169491525417</v>
      </c>
      <c r="C125" s="2">
        <f ca="1"/>
        <v>3.075E-2</v>
      </c>
    </row>
    <row r="126" spans="1:3">
      <c r="A126" s="2">
        <f ca="1"/>
        <v>125</v>
      </c>
      <c r="B126" s="2">
        <f ca="1"/>
        <v>-0.15932203389830502</v>
      </c>
      <c r="C126" s="2">
        <f ca="1"/>
        <v>3.1E-2</v>
      </c>
    </row>
    <row r="127" spans="1:3">
      <c r="A127" s="2">
        <f ca="1"/>
        <v>126</v>
      </c>
      <c r="B127" s="2">
        <f ca="1"/>
        <v>-0.15254237288135586</v>
      </c>
      <c r="C127" s="2">
        <f ca="1"/>
        <v>3.125E-2</v>
      </c>
    </row>
    <row r="128" spans="1:3">
      <c r="A128" s="2">
        <f ca="1"/>
        <v>127</v>
      </c>
      <c r="B128" s="2">
        <f ca="1"/>
        <v>-0.1457627118644067</v>
      </c>
      <c r="C128" s="2">
        <f ca="1"/>
        <v>3.15E-2</v>
      </c>
    </row>
    <row r="129" spans="1:3">
      <c r="A129" s="2">
        <f ca="1"/>
        <v>128</v>
      </c>
      <c r="B129" s="2">
        <f ca="1"/>
        <v>-0.13898305084745755</v>
      </c>
      <c r="C129" s="2">
        <f ca="1"/>
        <v>3.175E-2</v>
      </c>
    </row>
    <row r="130" spans="1:3">
      <c r="A130" s="2">
        <f ca="1"/>
        <v>129</v>
      </c>
      <c r="B130" s="2">
        <f ca="1"/>
        <v>-0.13220338983050839</v>
      </c>
      <c r="C130" s="2">
        <f ca="1"/>
        <v>3.2000000000000001E-2</v>
      </c>
    </row>
    <row r="131" spans="1:3">
      <c r="A131" s="2">
        <f ca="1"/>
        <v>130</v>
      </c>
      <c r="B131" s="2">
        <f ca="1"/>
        <v>-0.12542372881355923</v>
      </c>
      <c r="C131" s="2">
        <f ca="1"/>
        <v>3.2250000000000001E-2</v>
      </c>
    </row>
    <row r="132" spans="1:3">
      <c r="A132" s="2">
        <f ca="1"/>
        <v>131</v>
      </c>
      <c r="B132" s="2">
        <f ca="1"/>
        <v>-0.11864406779661008</v>
      </c>
      <c r="C132" s="2">
        <f ca="1"/>
        <v>3.2500000000000001E-2</v>
      </c>
    </row>
    <row r="133" spans="1:3">
      <c r="A133" s="2">
        <f ca="1"/>
        <v>132</v>
      </c>
      <c r="B133" s="2">
        <f ca="1"/>
        <v>-0.11186440677966092</v>
      </c>
      <c r="C133" s="2">
        <f ca="1"/>
        <v>3.2750000000000001E-2</v>
      </c>
    </row>
    <row r="134" spans="1:3">
      <c r="A134" s="2">
        <f ca="1"/>
        <v>133</v>
      </c>
      <c r="B134" s="2">
        <f ca="1"/>
        <v>-0.10508474576271176</v>
      </c>
      <c r="C134" s="2">
        <f ca="1"/>
        <v>3.3000000000000002E-2</v>
      </c>
    </row>
    <row r="135" spans="1:3">
      <c r="A135" s="2">
        <f ca="1"/>
        <v>134</v>
      </c>
      <c r="B135" s="2">
        <f ca="1"/>
        <v>-9.8305084745762605E-2</v>
      </c>
      <c r="C135" s="2">
        <f ca="1"/>
        <v>3.3250000000000002E-2</v>
      </c>
    </row>
    <row r="136" spans="1:3">
      <c r="A136" s="2">
        <f ca="1"/>
        <v>135</v>
      </c>
      <c r="B136" s="2">
        <f ca="1"/>
        <v>-9.1525423728813449E-2</v>
      </c>
      <c r="C136" s="2">
        <f ca="1"/>
        <v>3.3500000000000002E-2</v>
      </c>
    </row>
    <row r="137" spans="1:3">
      <c r="A137" s="2">
        <f ca="1"/>
        <v>136</v>
      </c>
      <c r="B137" s="2">
        <f ca="1"/>
        <v>-8.4745762711864292E-2</v>
      </c>
      <c r="C137" s="2">
        <f ca="1"/>
        <v>3.3750000000000002E-2</v>
      </c>
    </row>
    <row r="138" spans="1:3">
      <c r="A138" s="2">
        <f ca="1"/>
        <v>137</v>
      </c>
      <c r="B138" s="2">
        <f ca="1"/>
        <v>-7.7966101694915135E-2</v>
      </c>
      <c r="C138" s="2">
        <f ca="1"/>
        <v>3.4000000000000002E-2</v>
      </c>
    </row>
    <row r="139" spans="1:3">
      <c r="A139" s="2">
        <f ca="1"/>
        <v>138</v>
      </c>
      <c r="B139" s="2">
        <f ca="1"/>
        <v>-7.1186440677965979E-2</v>
      </c>
      <c r="C139" s="2">
        <f ca="1"/>
        <v>3.4250000000000003E-2</v>
      </c>
    </row>
    <row r="140" spans="1:3">
      <c r="A140" s="2">
        <f ca="1"/>
        <v>139</v>
      </c>
      <c r="B140" s="2">
        <f ca="1"/>
        <v>-6.4406779661016822E-2</v>
      </c>
      <c r="C140" s="2">
        <f ca="1"/>
        <v>3.4500000000000003E-2</v>
      </c>
    </row>
    <row r="141" spans="1:3">
      <c r="A141" s="2">
        <f ca="1"/>
        <v>140</v>
      </c>
      <c r="B141" s="2">
        <f ca="1"/>
        <v>-5.7627118644067665E-2</v>
      </c>
      <c r="C141" s="2">
        <f ca="1"/>
        <v>3.4750000000000003E-2</v>
      </c>
    </row>
    <row r="142" spans="1:3">
      <c r="A142" s="2">
        <f ca="1"/>
        <v>141</v>
      </c>
      <c r="B142" s="2">
        <f ca="1"/>
        <v>-5.0847457627118509E-2</v>
      </c>
      <c r="C142" s="2">
        <f ca="1"/>
        <v>3.5000000000000003E-2</v>
      </c>
    </row>
    <row r="143" spans="1:3">
      <c r="A143" s="2">
        <f ca="1"/>
        <v>142</v>
      </c>
      <c r="B143" s="2">
        <f ca="1"/>
        <v>-4.4067796610169352E-2</v>
      </c>
      <c r="C143" s="2">
        <f ca="1"/>
        <v>3.5250000000000004E-2</v>
      </c>
    </row>
    <row r="144" spans="1:3">
      <c r="A144" s="2">
        <f ca="1"/>
        <v>143</v>
      </c>
      <c r="B144" s="2">
        <f ca="1"/>
        <v>-3.7288135593220195E-2</v>
      </c>
      <c r="C144" s="2">
        <f ca="1"/>
        <v>3.5500000000000004E-2</v>
      </c>
    </row>
    <row r="145" spans="1:3">
      <c r="A145" s="2">
        <f ca="1"/>
        <v>144</v>
      </c>
      <c r="B145" s="2">
        <f ca="1"/>
        <v>-3.0508474576271039E-2</v>
      </c>
      <c r="C145" s="2">
        <f ca="1"/>
        <v>3.5750000000000004E-2</v>
      </c>
    </row>
    <row r="146" spans="1:3">
      <c r="A146" s="2">
        <f ca="1"/>
        <v>145</v>
      </c>
      <c r="B146" s="2">
        <f ca="1"/>
        <v>-2.3728813559321882E-2</v>
      </c>
      <c r="C146" s="2">
        <f ca="1"/>
        <v>3.6000000000000004E-2</v>
      </c>
    </row>
    <row r="147" spans="1:3">
      <c r="A147" s="2">
        <f ca="1"/>
        <v>146</v>
      </c>
      <c r="B147" s="2">
        <f ca="1"/>
        <v>-1.6949152542372947E-2</v>
      </c>
      <c r="C147" s="2">
        <f ca="1"/>
        <v>3.6249999999999998E-2</v>
      </c>
    </row>
    <row r="148" spans="1:3">
      <c r="A148" s="2">
        <f ca="1"/>
        <v>147</v>
      </c>
      <c r="B148" s="2">
        <f ca="1"/>
        <v>-1.0169491525423791E-2</v>
      </c>
      <c r="C148" s="2">
        <f ca="1"/>
        <v>3.6499999999999998E-2</v>
      </c>
    </row>
    <row r="149" spans="1:3">
      <c r="A149" s="2">
        <f ca="1"/>
        <v>148</v>
      </c>
      <c r="B149" s="2">
        <f ca="1"/>
        <v>-3.3898305084746339E-3</v>
      </c>
      <c r="C149" s="2">
        <f ca="1"/>
        <v>3.6749999999999998E-2</v>
      </c>
    </row>
    <row r="150" spans="1:3">
      <c r="A150" s="2">
        <f ca="1"/>
        <v>149</v>
      </c>
      <c r="B150" s="2">
        <f ca="1"/>
        <v>3.3898305084745228E-3</v>
      </c>
      <c r="C150" s="2">
        <f ca="1"/>
        <v>3.6999999999999998E-2</v>
      </c>
    </row>
    <row r="151" spans="1:3">
      <c r="A151" s="2">
        <f ca="1"/>
        <v>150</v>
      </c>
      <c r="B151" s="2">
        <f ca="1"/>
        <v>1.0169491525423791E-2</v>
      </c>
      <c r="C151" s="2">
        <f ca="1"/>
        <v>3.7249999999999998E-2</v>
      </c>
    </row>
    <row r="152" spans="1:3">
      <c r="A152" s="2">
        <f ca="1"/>
        <v>151</v>
      </c>
      <c r="B152" s="2">
        <f ca="1"/>
        <v>1.6949152542372836E-2</v>
      </c>
      <c r="C152" s="2">
        <f ca="1"/>
        <v>3.7499999999999999E-2</v>
      </c>
    </row>
    <row r="153" spans="1:3">
      <c r="A153" s="2">
        <f ca="1"/>
        <v>152</v>
      </c>
      <c r="B153" s="2">
        <f ca="1"/>
        <v>2.3728813559322104E-2</v>
      </c>
      <c r="C153" s="2">
        <f ca="1"/>
        <v>3.7749999999999999E-2</v>
      </c>
    </row>
    <row r="154" spans="1:3">
      <c r="A154" s="2">
        <f ca="1"/>
        <v>153</v>
      </c>
      <c r="B154" s="2">
        <f ca="1"/>
        <v>3.050847457627115E-2</v>
      </c>
      <c r="C154" s="2">
        <f ca="1"/>
        <v>3.7999999999999999E-2</v>
      </c>
    </row>
    <row r="155" spans="1:3">
      <c r="A155" s="2">
        <f ca="1"/>
        <v>154</v>
      </c>
      <c r="B155" s="2">
        <f ca="1"/>
        <v>3.7288135593220417E-2</v>
      </c>
      <c r="C155" s="2">
        <f ca="1"/>
        <v>3.8249999999999999E-2</v>
      </c>
    </row>
    <row r="156" spans="1:3">
      <c r="A156" s="2">
        <f ca="1"/>
        <v>155</v>
      </c>
      <c r="B156" s="2">
        <f ca="1"/>
        <v>4.4067796610169463E-2</v>
      </c>
      <c r="C156" s="2">
        <f ca="1"/>
        <v>3.85E-2</v>
      </c>
    </row>
    <row r="157" spans="1:3">
      <c r="A157" s="2">
        <f ca="1"/>
        <v>156</v>
      </c>
      <c r="B157" s="2">
        <f ca="1"/>
        <v>5.0847457627118731E-2</v>
      </c>
      <c r="C157" s="2">
        <f ca="1"/>
        <v>3.875E-2</v>
      </c>
    </row>
    <row r="158" spans="1:3">
      <c r="A158" s="2">
        <f ca="1"/>
        <v>157</v>
      </c>
      <c r="B158" s="2">
        <f ca="1"/>
        <v>5.7627118644067776E-2</v>
      </c>
      <c r="C158" s="2">
        <f ca="1"/>
        <v>3.9E-2</v>
      </c>
    </row>
    <row r="159" spans="1:3">
      <c r="A159" s="2">
        <f ca="1"/>
        <v>158</v>
      </c>
      <c r="B159" s="2">
        <f ca="1"/>
        <v>6.4406779661017044E-2</v>
      </c>
      <c r="C159" s="2">
        <f ca="1"/>
        <v>3.925E-2</v>
      </c>
    </row>
    <row r="160" spans="1:3">
      <c r="A160" s="2">
        <f ca="1"/>
        <v>159</v>
      </c>
      <c r="B160" s="2">
        <f ca="1"/>
        <v>7.118644067796609E-2</v>
      </c>
      <c r="C160" s="2">
        <f ca="1"/>
        <v>3.95E-2</v>
      </c>
    </row>
    <row r="161" spans="1:3">
      <c r="A161" s="2">
        <f ca="1"/>
        <v>160</v>
      </c>
      <c r="B161" s="2">
        <f ca="1"/>
        <v>7.7966101694915357E-2</v>
      </c>
      <c r="C161" s="2">
        <f ca="1"/>
        <v>3.9750000000000001E-2</v>
      </c>
    </row>
    <row r="162" spans="1:3">
      <c r="A162" s="2">
        <f ca="1"/>
        <v>161</v>
      </c>
      <c r="B162" s="2">
        <f ca="1"/>
        <v>8.4745762711864403E-2</v>
      </c>
      <c r="C162" s="2">
        <f ca="1"/>
        <v>0.04</v>
      </c>
    </row>
    <row r="163" spans="1:3">
      <c r="A163" s="2">
        <f ca="1"/>
        <v>162</v>
      </c>
      <c r="B163" s="2">
        <f ca="1"/>
        <v>9.1525423728813671E-2</v>
      </c>
      <c r="C163" s="2">
        <f ca="1"/>
        <v>4.0250000000000001E-2</v>
      </c>
    </row>
    <row r="164" spans="1:3">
      <c r="A164" s="2">
        <f ca="1"/>
        <v>163</v>
      </c>
      <c r="B164" s="2">
        <f ca="1"/>
        <v>9.8305084745762716E-2</v>
      </c>
      <c r="C164" s="2">
        <f ca="1"/>
        <v>4.0500000000000001E-2</v>
      </c>
    </row>
    <row r="165" spans="1:3">
      <c r="A165" s="2">
        <f ca="1"/>
        <v>164</v>
      </c>
      <c r="B165" s="2">
        <f ca="1"/>
        <v>0.10508474576271198</v>
      </c>
      <c r="C165" s="2">
        <f ca="1"/>
        <v>4.0750000000000001E-2</v>
      </c>
    </row>
    <row r="166" spans="1:3">
      <c r="A166" s="2">
        <f ca="1"/>
        <v>165</v>
      </c>
      <c r="B166" s="2">
        <f ca="1"/>
        <v>0.11186440677966103</v>
      </c>
      <c r="C166" s="2">
        <f ca="1"/>
        <v>4.1000000000000002E-2</v>
      </c>
    </row>
    <row r="167" spans="1:3">
      <c r="A167" s="2">
        <f ca="1"/>
        <v>166</v>
      </c>
      <c r="B167" s="2">
        <f ca="1"/>
        <v>0.1186440677966103</v>
      </c>
      <c r="C167" s="2">
        <f ca="1"/>
        <v>4.1250000000000002E-2</v>
      </c>
    </row>
    <row r="168" spans="1:3">
      <c r="A168" s="2">
        <f ca="1"/>
        <v>167</v>
      </c>
      <c r="B168" s="2">
        <f ca="1"/>
        <v>0.12542372881355934</v>
      </c>
      <c r="C168" s="2">
        <f ca="1"/>
        <v>4.1500000000000002E-2</v>
      </c>
    </row>
    <row r="169" spans="1:3">
      <c r="A169" s="2">
        <f ca="1"/>
        <v>168</v>
      </c>
      <c r="B169" s="2">
        <f ca="1"/>
        <v>0.13220338983050861</v>
      </c>
      <c r="C169" s="2">
        <f ca="1"/>
        <v>4.1750000000000002E-2</v>
      </c>
    </row>
    <row r="170" spans="1:3">
      <c r="A170" s="2">
        <f ca="1"/>
        <v>169</v>
      </c>
      <c r="B170" s="2">
        <f ca="1"/>
        <v>0.13898305084745766</v>
      </c>
      <c r="C170" s="2">
        <f ca="1"/>
        <v>4.2000000000000003E-2</v>
      </c>
    </row>
    <row r="171" spans="1:3">
      <c r="A171" s="2">
        <f ca="1"/>
        <v>170</v>
      </c>
      <c r="B171" s="2">
        <f ca="1"/>
        <v>0.14576271186440692</v>
      </c>
      <c r="C171" s="2">
        <f ca="1"/>
        <v>4.2250000000000003E-2</v>
      </c>
    </row>
    <row r="172" spans="1:3">
      <c r="A172" s="2">
        <f ca="1"/>
        <v>171</v>
      </c>
      <c r="B172" s="2">
        <f ca="1"/>
        <v>0.15254237288135597</v>
      </c>
      <c r="C172" s="2">
        <f ca="1"/>
        <v>4.2500000000000003E-2</v>
      </c>
    </row>
    <row r="173" spans="1:3">
      <c r="A173" s="2">
        <f ca="1"/>
        <v>172</v>
      </c>
      <c r="B173" s="2">
        <f ca="1"/>
        <v>0.15932203389830524</v>
      </c>
      <c r="C173" s="2">
        <f ca="1"/>
        <v>4.2750000000000003E-2</v>
      </c>
    </row>
    <row r="174" spans="1:3">
      <c r="A174" s="2">
        <f ca="1"/>
        <v>173</v>
      </c>
      <c r="B174" s="2">
        <f ca="1"/>
        <v>0.16610169491525428</v>
      </c>
      <c r="C174" s="2">
        <f ca="1"/>
        <v>4.3000000000000003E-2</v>
      </c>
    </row>
    <row r="175" spans="1:3">
      <c r="A175" s="2">
        <f ca="1"/>
        <v>174</v>
      </c>
      <c r="B175" s="2">
        <f ca="1"/>
        <v>0.17288135593220355</v>
      </c>
      <c r="C175" s="2">
        <f ca="1"/>
        <v>4.3250000000000004E-2</v>
      </c>
    </row>
    <row r="176" spans="1:3">
      <c r="A176" s="2">
        <f ca="1"/>
        <v>175</v>
      </c>
      <c r="B176" s="2">
        <f ca="1"/>
        <v>0.17966101694915282</v>
      </c>
      <c r="C176" s="2">
        <f ca="1"/>
        <v>4.3500000000000004E-2</v>
      </c>
    </row>
    <row r="177" spans="1:3">
      <c r="A177" s="2">
        <f ca="1"/>
        <v>176</v>
      </c>
      <c r="B177" s="2">
        <f ca="1"/>
        <v>0.18644067796610186</v>
      </c>
      <c r="C177" s="2">
        <f ca="1"/>
        <v>4.3750000000000004E-2</v>
      </c>
    </row>
    <row r="178" spans="1:3">
      <c r="A178" s="2">
        <f ca="1"/>
        <v>177</v>
      </c>
      <c r="B178" s="2">
        <f ca="1"/>
        <v>0.19322033898305091</v>
      </c>
      <c r="C178" s="2">
        <f ca="1"/>
        <v>4.3999999999999997E-2</v>
      </c>
    </row>
    <row r="179" spans="1:3">
      <c r="A179" s="2">
        <f ca="1"/>
        <v>178</v>
      </c>
      <c r="B179" s="2">
        <f ca="1"/>
        <v>0.19999999999999996</v>
      </c>
      <c r="C179" s="2">
        <f ca="1"/>
        <v>4.4249999999999998E-2</v>
      </c>
    </row>
    <row r="180" spans="1:3">
      <c r="A180" s="2">
        <f ca="1"/>
        <v>179</v>
      </c>
      <c r="B180" s="2">
        <f ca="1"/>
        <v>0.20677966101694922</v>
      </c>
      <c r="C180" s="2">
        <f ca="1"/>
        <v>4.4499999999999998E-2</v>
      </c>
    </row>
    <row r="181" spans="1:3">
      <c r="A181" s="2">
        <f ca="1"/>
        <v>180</v>
      </c>
      <c r="B181" s="2">
        <f ca="1"/>
        <v>0.21355932203389827</v>
      </c>
      <c r="C181" s="2">
        <f ca="1"/>
        <v>4.4749999999999998E-2</v>
      </c>
    </row>
    <row r="182" spans="1:3">
      <c r="A182" s="2">
        <f ca="1"/>
        <v>181</v>
      </c>
      <c r="B182" s="2">
        <f ca="1"/>
        <v>0.22033898305084754</v>
      </c>
      <c r="C182" s="2">
        <f ca="1"/>
        <v>4.4999999999999998E-2</v>
      </c>
    </row>
    <row r="183" spans="1:3">
      <c r="A183" s="2">
        <f ca="1"/>
        <v>182</v>
      </c>
      <c r="B183" s="2">
        <f ca="1"/>
        <v>0.22711864406779658</v>
      </c>
      <c r="C183" s="2">
        <f ca="1"/>
        <v>4.5249999999999999E-2</v>
      </c>
    </row>
    <row r="184" spans="1:3">
      <c r="A184" s="2">
        <f ca="1"/>
        <v>183</v>
      </c>
      <c r="B184" s="2">
        <f ca="1"/>
        <v>0.23389830508474585</v>
      </c>
      <c r="C184" s="2">
        <f ca="1"/>
        <v>4.5499999999999999E-2</v>
      </c>
    </row>
    <row r="185" spans="1:3">
      <c r="A185" s="2">
        <f ca="1"/>
        <v>184</v>
      </c>
      <c r="B185" s="2">
        <f ca="1"/>
        <v>0.2406779661016949</v>
      </c>
      <c r="C185" s="2">
        <f ca="1"/>
        <v>4.5749999999999999E-2</v>
      </c>
    </row>
    <row r="186" spans="1:3">
      <c r="A186" s="2">
        <f ca="1"/>
        <v>185</v>
      </c>
      <c r="B186" s="2">
        <f ca="1"/>
        <v>0.24745762711864416</v>
      </c>
      <c r="C186" s="2">
        <f ca="1"/>
        <v>4.5999999999999999E-2</v>
      </c>
    </row>
    <row r="187" spans="1:3">
      <c r="A187" s="2">
        <f ca="1"/>
        <v>186</v>
      </c>
      <c r="B187" s="2">
        <f ca="1"/>
        <v>0.25423728813559321</v>
      </c>
      <c r="C187" s="2">
        <f ca="1"/>
        <v>4.6249999999999999E-2</v>
      </c>
    </row>
    <row r="188" spans="1:3">
      <c r="A188" s="2">
        <f ca="1"/>
        <v>187</v>
      </c>
      <c r="B188" s="2">
        <f ca="1"/>
        <v>0.26101694915254248</v>
      </c>
      <c r="C188" s="2">
        <f ca="1"/>
        <v>4.65E-2</v>
      </c>
    </row>
    <row r="189" spans="1:3">
      <c r="A189" s="2">
        <f ca="1"/>
        <v>188</v>
      </c>
      <c r="B189" s="2">
        <f ca="1"/>
        <v>0.26779661016949152</v>
      </c>
      <c r="C189" s="2">
        <f ca="1"/>
        <v>4.675E-2</v>
      </c>
    </row>
    <row r="190" spans="1:3">
      <c r="A190" s="2">
        <f ca="1"/>
        <v>189</v>
      </c>
      <c r="B190" s="2">
        <f ca="1"/>
        <v>0.27457627118644079</v>
      </c>
      <c r="C190" s="2">
        <f ca="1"/>
        <v>4.7E-2</v>
      </c>
    </row>
    <row r="191" spans="1:3">
      <c r="A191" s="2">
        <f ca="1"/>
        <v>190</v>
      </c>
      <c r="B191" s="2">
        <f ca="1"/>
        <v>0.28135593220338984</v>
      </c>
      <c r="C191" s="2">
        <f ca="1"/>
        <v>4.725E-2</v>
      </c>
    </row>
    <row r="192" spans="1:3">
      <c r="A192" s="2">
        <f ca="1"/>
        <v>191</v>
      </c>
      <c r="B192" s="2">
        <f ca="1"/>
        <v>0.2881355932203391</v>
      </c>
      <c r="C192" s="2">
        <f ca="1"/>
        <v>4.7500000000000001E-2</v>
      </c>
    </row>
    <row r="193" spans="1:3">
      <c r="A193" s="2">
        <f ca="1"/>
        <v>192</v>
      </c>
      <c r="B193" s="2">
        <f ca="1"/>
        <v>0.29491525423728815</v>
      </c>
      <c r="C193" s="2">
        <f ca="1"/>
        <v>4.7750000000000001E-2</v>
      </c>
    </row>
    <row r="194" spans="1:3">
      <c r="A194" s="2">
        <f ca="1"/>
        <v>193</v>
      </c>
      <c r="B194" s="2">
        <f ca="1"/>
        <v>0.30169491525423742</v>
      </c>
      <c r="C194" s="2">
        <f ca="1"/>
        <v>4.8000000000000001E-2</v>
      </c>
    </row>
    <row r="195" spans="1:3">
      <c r="A195" s="2">
        <f ca="1"/>
        <v>194</v>
      </c>
      <c r="B195" s="2">
        <f ca="1"/>
        <v>0.30847457627118646</v>
      </c>
      <c r="C195" s="2">
        <f ca="1"/>
        <v>4.8250000000000001E-2</v>
      </c>
    </row>
    <row r="196" spans="1:3">
      <c r="A196" s="2">
        <f ca="1"/>
        <v>195</v>
      </c>
      <c r="B196" s="2">
        <f ca="1"/>
        <v>0.31525423728813573</v>
      </c>
      <c r="C196" s="2">
        <f ca="1"/>
        <v>4.8500000000000001E-2</v>
      </c>
    </row>
    <row r="197" spans="1:3">
      <c r="A197" s="2">
        <f ca="1"/>
        <v>196</v>
      </c>
      <c r="B197" s="2">
        <f ca="1"/>
        <v>0.32203389830508478</v>
      </c>
      <c r="C197" s="2">
        <f ca="1"/>
        <v>4.8750000000000002E-2</v>
      </c>
    </row>
    <row r="198" spans="1:3">
      <c r="A198" s="2">
        <f ca="1"/>
        <v>197</v>
      </c>
      <c r="B198" s="2">
        <f ca="1"/>
        <v>0.32881355932203404</v>
      </c>
      <c r="C198" s="2">
        <f ca="1"/>
        <v>4.9000000000000002E-2</v>
      </c>
    </row>
    <row r="199" spans="1:3">
      <c r="A199" s="2">
        <f ca="1"/>
        <v>198</v>
      </c>
      <c r="B199" s="2">
        <f ca="1"/>
        <v>0.33559322033898309</v>
      </c>
      <c r="C199" s="2">
        <f ca="1"/>
        <v>4.9250000000000002E-2</v>
      </c>
    </row>
    <row r="200" spans="1:3">
      <c r="A200" s="2">
        <f ca="1"/>
        <v>199</v>
      </c>
      <c r="B200" s="2">
        <f ca="1"/>
        <v>0.34237288135593236</v>
      </c>
      <c r="C200" s="2">
        <f ca="1"/>
        <v>4.9500000000000002E-2</v>
      </c>
    </row>
    <row r="201" spans="1:3">
      <c r="A201" s="2">
        <f ca="1"/>
        <v>200</v>
      </c>
      <c r="B201" s="2">
        <f ca="1"/>
        <v>0.3491525423728814</v>
      </c>
      <c r="C201" s="2">
        <f ca="1"/>
        <v>4.9750000000000003E-2</v>
      </c>
    </row>
    <row r="202" spans="1:3">
      <c r="A202" s="2">
        <f ca="1"/>
        <v>201</v>
      </c>
      <c r="B202" s="2">
        <f ca="1"/>
        <v>0.35593220338983067</v>
      </c>
      <c r="C202" s="2">
        <f ca="1"/>
        <v>0.05</v>
      </c>
    </row>
    <row r="203" spans="1:3">
      <c r="A203" s="2">
        <f ca="1"/>
        <v>202</v>
      </c>
      <c r="B203" s="2">
        <f ca="1"/>
        <v>0.36271186440677972</v>
      </c>
      <c r="C203" s="2">
        <f ca="1"/>
        <v>5.0250000000000003E-2</v>
      </c>
    </row>
    <row r="204" spans="1:3">
      <c r="A204" s="2">
        <f ca="1"/>
        <v>203</v>
      </c>
      <c r="B204" s="2">
        <f ca="1"/>
        <v>0.36949152542372898</v>
      </c>
      <c r="C204" s="2">
        <f ca="1"/>
        <v>5.0500000000000003E-2</v>
      </c>
    </row>
    <row r="205" spans="1:3">
      <c r="A205" s="2">
        <f ca="1"/>
        <v>204</v>
      </c>
      <c r="B205" s="2">
        <f ca="1"/>
        <v>0.37627118644067803</v>
      </c>
      <c r="C205" s="2">
        <f ca="1"/>
        <v>5.0750000000000003E-2</v>
      </c>
    </row>
    <row r="206" spans="1:3">
      <c r="A206" s="2">
        <f ca="1"/>
        <v>205</v>
      </c>
      <c r="B206" s="2">
        <f ca="1"/>
        <v>0.3830508474576273</v>
      </c>
      <c r="C206" s="2">
        <f ca="1"/>
        <v>5.1000000000000004E-2</v>
      </c>
    </row>
    <row r="207" spans="1:3">
      <c r="A207" s="2">
        <f ca="1"/>
        <v>206</v>
      </c>
      <c r="B207" s="2">
        <f ca="1"/>
        <v>0.38983050847457634</v>
      </c>
      <c r="C207" s="2">
        <f ca="1"/>
        <v>5.1250000000000004E-2</v>
      </c>
    </row>
    <row r="208" spans="1:3">
      <c r="A208" s="2">
        <f ca="1"/>
        <v>207</v>
      </c>
      <c r="B208" s="2">
        <f ca="1"/>
        <v>0.39661016949152561</v>
      </c>
      <c r="C208" s="2">
        <f ca="1"/>
        <v>5.1500000000000004E-2</v>
      </c>
    </row>
    <row r="209" spans="1:3">
      <c r="A209" s="2">
        <f ca="1"/>
        <v>208</v>
      </c>
      <c r="B209" s="2">
        <f ca="1"/>
        <v>0.40338983050847488</v>
      </c>
      <c r="C209" s="2">
        <f ca="1"/>
        <v>5.1750000000000004E-2</v>
      </c>
    </row>
    <row r="210" spans="1:3">
      <c r="A210" s="2">
        <f ca="1"/>
        <v>209</v>
      </c>
      <c r="B210" s="2">
        <f ca="1"/>
        <v>0.41016949152542392</v>
      </c>
      <c r="C210" s="2">
        <f ca="1"/>
        <v>5.2000000000000005E-2</v>
      </c>
    </row>
    <row r="211" spans="1:3">
      <c r="A211" s="2">
        <f ca="1"/>
        <v>210</v>
      </c>
      <c r="B211" s="2">
        <f ca="1"/>
        <v>0.41694915254237297</v>
      </c>
      <c r="C211" s="2">
        <f ca="1"/>
        <v>5.2249999999999998E-2</v>
      </c>
    </row>
    <row r="212" spans="1:3">
      <c r="A212" s="2">
        <f ca="1"/>
        <v>211</v>
      </c>
      <c r="B212" s="2">
        <f ca="1"/>
        <v>0.42372881355932202</v>
      </c>
      <c r="C212" s="2">
        <f ca="1"/>
        <v>5.2499999999999998E-2</v>
      </c>
    </row>
    <row r="213" spans="1:3">
      <c r="A213" s="2">
        <f ca="1"/>
        <v>212</v>
      </c>
      <c r="B213" s="2">
        <f ca="1"/>
        <v>0.43050847457627128</v>
      </c>
      <c r="C213" s="2">
        <f ca="1"/>
        <v>5.2749999999999998E-2</v>
      </c>
    </row>
    <row r="214" spans="1:3">
      <c r="A214" s="2">
        <f ca="1"/>
        <v>213</v>
      </c>
      <c r="B214" s="2">
        <f ca="1"/>
        <v>0.43728813559322033</v>
      </c>
      <c r="C214" s="2">
        <f ca="1"/>
        <v>5.2999999999999999E-2</v>
      </c>
    </row>
    <row r="215" spans="1:3">
      <c r="A215" s="2">
        <f ca="1"/>
        <v>214</v>
      </c>
      <c r="B215" s="2">
        <f ca="1"/>
        <v>0.4440677966101696</v>
      </c>
      <c r="C215" s="2">
        <f ca="1"/>
        <v>5.3249999999999999E-2</v>
      </c>
    </row>
    <row r="216" spans="1:3">
      <c r="A216" s="2">
        <f ca="1"/>
        <v>215</v>
      </c>
      <c r="B216" s="2">
        <f ca="1"/>
        <v>0.45084745762711864</v>
      </c>
      <c r="C216" s="2">
        <f ca="1"/>
        <v>5.3499999999999999E-2</v>
      </c>
    </row>
    <row r="217" spans="1:3">
      <c r="A217" s="2">
        <f ca="1"/>
        <v>216</v>
      </c>
      <c r="B217" s="2">
        <f ca="1"/>
        <v>0.45762711864406791</v>
      </c>
      <c r="C217" s="2">
        <f ca="1"/>
        <v>5.3749999999999999E-2</v>
      </c>
    </row>
    <row r="218" spans="1:3">
      <c r="A218" s="2">
        <f ca="1"/>
        <v>217</v>
      </c>
      <c r="B218" s="2">
        <f ca="1"/>
        <v>0.46440677966101696</v>
      </c>
      <c r="C218" s="2">
        <f ca="1"/>
        <v>5.3999999999999999E-2</v>
      </c>
    </row>
    <row r="219" spans="1:3">
      <c r="A219" s="2">
        <f ca="1"/>
        <v>218</v>
      </c>
      <c r="B219" s="2">
        <f ca="1"/>
        <v>0.47118644067796622</v>
      </c>
      <c r="C219" s="2">
        <f ca="1"/>
        <v>5.425E-2</v>
      </c>
    </row>
    <row r="220" spans="1:3">
      <c r="A220" s="2">
        <f ca="1"/>
        <v>219</v>
      </c>
      <c r="B220" s="2">
        <f ca="1"/>
        <v>0.47796610169491527</v>
      </c>
      <c r="C220" s="2">
        <f ca="1"/>
        <v>5.45E-2</v>
      </c>
    </row>
    <row r="221" spans="1:3">
      <c r="A221" s="2">
        <f ca="1"/>
        <v>220</v>
      </c>
      <c r="B221" s="2">
        <f ca="1"/>
        <v>0.48474576271186454</v>
      </c>
      <c r="C221" s="2">
        <f ca="1"/>
        <v>5.475E-2</v>
      </c>
    </row>
    <row r="222" spans="1:3">
      <c r="A222" s="2">
        <f ca="1"/>
        <v>221</v>
      </c>
      <c r="B222" s="2">
        <f ca="1"/>
        <v>0.49152542372881358</v>
      </c>
      <c r="C222" s="2">
        <f ca="1"/>
        <v>5.5E-2</v>
      </c>
    </row>
    <row r="223" spans="1:3">
      <c r="A223" s="2">
        <f ca="1"/>
        <v>222</v>
      </c>
      <c r="B223" s="2">
        <f ca="1"/>
        <v>0.49830508474576285</v>
      </c>
      <c r="C223" s="2">
        <f ca="1"/>
        <v>5.525E-2</v>
      </c>
    </row>
    <row r="224" spans="1:3">
      <c r="A224" s="2">
        <f ca="1"/>
        <v>223</v>
      </c>
      <c r="B224" s="2">
        <f ca="1"/>
        <v>0.5050847457627119</v>
      </c>
      <c r="C224" s="2">
        <f ca="1"/>
        <v>5.5500000000000001E-2</v>
      </c>
    </row>
    <row r="225" spans="1:3">
      <c r="A225" s="2">
        <f ca="1"/>
        <v>224</v>
      </c>
      <c r="B225" s="2">
        <f ca="1"/>
        <v>0.51186440677966116</v>
      </c>
      <c r="C225" s="2">
        <f ca="1"/>
        <v>5.5750000000000001E-2</v>
      </c>
    </row>
    <row r="226" spans="1:3">
      <c r="A226" s="2">
        <f ca="1"/>
        <v>225</v>
      </c>
      <c r="B226" s="2">
        <f ca="1"/>
        <v>0.51864406779661021</v>
      </c>
      <c r="C226" s="2">
        <f ca="1"/>
        <v>5.6000000000000001E-2</v>
      </c>
    </row>
    <row r="227" spans="1:3">
      <c r="A227" s="2">
        <f ca="1"/>
        <v>226</v>
      </c>
      <c r="B227" s="2">
        <f ca="1"/>
        <v>0.52542372881355948</v>
      </c>
      <c r="C227" s="2">
        <f ca="1"/>
        <v>5.6250000000000001E-2</v>
      </c>
    </row>
    <row r="228" spans="1:3">
      <c r="A228" s="2">
        <f ca="1"/>
        <v>227</v>
      </c>
      <c r="B228" s="2">
        <f ca="1"/>
        <v>0.53220338983050852</v>
      </c>
      <c r="C228" s="2">
        <f ca="1"/>
        <v>5.6500000000000002E-2</v>
      </c>
    </row>
    <row r="229" spans="1:3">
      <c r="A229" s="2">
        <f ca="1"/>
        <v>228</v>
      </c>
      <c r="B229" s="2">
        <f ca="1"/>
        <v>0.53898305084745779</v>
      </c>
      <c r="C229" s="2">
        <f ca="1"/>
        <v>5.6750000000000002E-2</v>
      </c>
    </row>
    <row r="230" spans="1:3">
      <c r="A230" s="2">
        <f ca="1"/>
        <v>229</v>
      </c>
      <c r="B230" s="2">
        <f ca="1"/>
        <v>0.54576271186440684</v>
      </c>
      <c r="C230" s="2">
        <f ca="1"/>
        <v>5.7000000000000002E-2</v>
      </c>
    </row>
    <row r="231" spans="1:3">
      <c r="A231" s="2">
        <f ca="1"/>
        <v>230</v>
      </c>
      <c r="B231" s="2">
        <f ca="1"/>
        <v>0.5525423728813561</v>
      </c>
      <c r="C231" s="2">
        <f ca="1"/>
        <v>5.7250000000000002E-2</v>
      </c>
    </row>
    <row r="232" spans="1:3">
      <c r="A232" s="2">
        <f ca="1"/>
        <v>231</v>
      </c>
      <c r="B232" s="2">
        <f ca="1"/>
        <v>0.55932203389830515</v>
      </c>
      <c r="C232" s="2">
        <f ca="1"/>
        <v>5.7500000000000002E-2</v>
      </c>
    </row>
    <row r="233" spans="1:3">
      <c r="A233" s="2">
        <f ca="1"/>
        <v>232</v>
      </c>
      <c r="B233" s="2">
        <f ca="1"/>
        <v>0.56610169491525442</v>
      </c>
      <c r="C233" s="2">
        <f ca="1"/>
        <v>5.7750000000000003E-2</v>
      </c>
    </row>
    <row r="234" spans="1:3">
      <c r="A234" s="2">
        <f ca="1"/>
        <v>233</v>
      </c>
      <c r="B234" s="2">
        <f ca="1"/>
        <v>0.57288135593220346</v>
      </c>
      <c r="C234" s="2">
        <f ca="1"/>
        <v>5.8000000000000003E-2</v>
      </c>
    </row>
    <row r="235" spans="1:3">
      <c r="A235" s="2">
        <f ca="1"/>
        <v>234</v>
      </c>
      <c r="B235" s="2">
        <f ca="1"/>
        <v>0.57966101694915273</v>
      </c>
      <c r="C235" s="2">
        <f ca="1"/>
        <v>5.8250000000000003E-2</v>
      </c>
    </row>
    <row r="236" spans="1:3">
      <c r="A236" s="2">
        <f ca="1"/>
        <v>235</v>
      </c>
      <c r="B236" s="2">
        <f ca="1"/>
        <v>0.58644067796610178</v>
      </c>
      <c r="C236" s="2">
        <f ca="1"/>
        <v>5.8500000000000003E-2</v>
      </c>
    </row>
    <row r="237" spans="1:3">
      <c r="A237" s="2">
        <f ca="1"/>
        <v>236</v>
      </c>
      <c r="B237" s="2">
        <f ca="1"/>
        <v>0.59322033898305104</v>
      </c>
      <c r="C237" s="2">
        <f ca="1"/>
        <v>5.8750000000000004E-2</v>
      </c>
    </row>
    <row r="238" spans="1:3">
      <c r="A238" s="2">
        <f ca="1"/>
        <v>237</v>
      </c>
      <c r="B238" s="2">
        <f ca="1"/>
        <v>0.60000000000000009</v>
      </c>
      <c r="C238" s="2">
        <f ca="1"/>
        <v>5.9000000000000004E-2</v>
      </c>
    </row>
    <row r="239" spans="1:3">
      <c r="A239" s="2">
        <f ca="1"/>
        <v>238</v>
      </c>
      <c r="B239" s="2">
        <f ca="1"/>
        <v>0.60677966101694936</v>
      </c>
      <c r="C239" s="2">
        <f ca="1"/>
        <v>5.9250000000000004E-2</v>
      </c>
    </row>
    <row r="240" spans="1:3">
      <c r="A240" s="2">
        <f ca="1"/>
        <v>239</v>
      </c>
      <c r="B240" s="2">
        <f ca="1"/>
        <v>0.6135593220338984</v>
      </c>
      <c r="C240" s="2">
        <f ca="1"/>
        <v>5.9500000000000004E-2</v>
      </c>
    </row>
    <row r="241" spans="1:3">
      <c r="A241" s="2">
        <f ca="1"/>
        <v>240</v>
      </c>
      <c r="B241" s="2">
        <f ca="1"/>
        <v>0.62033898305084767</v>
      </c>
      <c r="C241" s="2">
        <f ca="1"/>
        <v>5.9750000000000004E-2</v>
      </c>
    </row>
    <row r="242" spans="1:3">
      <c r="A242" s="2">
        <f ca="1"/>
        <v>241</v>
      </c>
      <c r="B242" s="2">
        <f ca="1"/>
        <v>0.62711864406779672</v>
      </c>
      <c r="C242" s="2">
        <f ca="1"/>
        <v>0.06</v>
      </c>
    </row>
    <row r="243" spans="1:3">
      <c r="A243" s="2">
        <f ca="1"/>
        <v>242</v>
      </c>
      <c r="B243" s="2">
        <f ca="1"/>
        <v>0.63389830508474576</v>
      </c>
      <c r="C243" s="2">
        <f ca="1"/>
        <v>6.0249999999999998E-2</v>
      </c>
    </row>
    <row r="244" spans="1:3">
      <c r="A244" s="2">
        <f ca="1"/>
        <v>243</v>
      </c>
      <c r="B244" s="2">
        <f ca="1"/>
        <v>0.64067796610169503</v>
      </c>
      <c r="C244" s="2">
        <f ca="1"/>
        <v>6.0499999999999998E-2</v>
      </c>
    </row>
    <row r="245" spans="1:3">
      <c r="A245" s="2">
        <f ca="1"/>
        <v>244</v>
      </c>
      <c r="B245" s="2">
        <f ca="1"/>
        <v>0.64745762711864407</v>
      </c>
      <c r="C245" s="2">
        <f ca="1"/>
        <v>6.0749999999999998E-2</v>
      </c>
    </row>
    <row r="246" spans="1:3">
      <c r="A246" s="2">
        <f ca="1"/>
        <v>245</v>
      </c>
      <c r="B246" s="2">
        <f ca="1"/>
        <v>0.65423728813559334</v>
      </c>
      <c r="C246" s="2">
        <f ca="1"/>
        <v>6.0999999999999999E-2</v>
      </c>
    </row>
    <row r="247" spans="1:3">
      <c r="A247" s="2">
        <f ca="1"/>
        <v>246</v>
      </c>
      <c r="B247" s="2">
        <f ca="1"/>
        <v>0.66101694915254239</v>
      </c>
      <c r="C247" s="2">
        <f ca="1"/>
        <v>6.1249999999999999E-2</v>
      </c>
    </row>
    <row r="248" spans="1:3">
      <c r="A248" s="2">
        <f ca="1"/>
        <v>247</v>
      </c>
      <c r="B248" s="2">
        <f ca="1"/>
        <v>0.66779661016949166</v>
      </c>
      <c r="C248" s="2">
        <f ca="1"/>
        <v>6.1499999999999999E-2</v>
      </c>
    </row>
    <row r="249" spans="1:3">
      <c r="A249" s="2">
        <f ca="1"/>
        <v>248</v>
      </c>
      <c r="B249" s="2">
        <f ca="1"/>
        <v>0.6745762711864407</v>
      </c>
      <c r="C249" s="2">
        <f ca="1"/>
        <v>6.1749999999999999E-2</v>
      </c>
    </row>
    <row r="250" spans="1:3">
      <c r="A250" s="2">
        <f ca="1"/>
        <v>249</v>
      </c>
      <c r="B250" s="2">
        <f ca="1"/>
        <v>0.68135593220338997</v>
      </c>
      <c r="C250" s="2">
        <f ca="1"/>
        <v>6.2E-2</v>
      </c>
    </row>
    <row r="251" spans="1:3">
      <c r="A251" s="2">
        <f ca="1"/>
        <v>250</v>
      </c>
      <c r="B251" s="2">
        <f ca="1"/>
        <v>0.68813559322033901</v>
      </c>
      <c r="C251" s="2">
        <f ca="1"/>
        <v>6.225E-2</v>
      </c>
    </row>
    <row r="252" spans="1:3">
      <c r="A252" s="2">
        <f ca="1"/>
        <v>251</v>
      </c>
      <c r="B252" s="2">
        <f ca="1"/>
        <v>0.69491525423728828</v>
      </c>
      <c r="C252" s="2">
        <f ca="1"/>
        <v>6.25E-2</v>
      </c>
    </row>
    <row r="253" spans="1:3">
      <c r="A253" s="2">
        <f ca="1"/>
        <v>252</v>
      </c>
      <c r="B253" s="2">
        <f ca="1"/>
        <v>0.70169491525423733</v>
      </c>
      <c r="C253" s="2">
        <f ca="1"/>
        <v>6.275E-2</v>
      </c>
    </row>
    <row r="254" spans="1:3">
      <c r="A254" s="2">
        <f ca="1"/>
        <v>253</v>
      </c>
      <c r="B254" s="2">
        <f ca="1"/>
        <v>0.7084745762711866</v>
      </c>
      <c r="C254" s="2">
        <f ca="1"/>
        <v>6.3E-2</v>
      </c>
    </row>
    <row r="255" spans="1:3">
      <c r="A255" s="2">
        <f ca="1"/>
        <v>254</v>
      </c>
      <c r="B255" s="2">
        <f ca="1"/>
        <v>0.71525423728813564</v>
      </c>
      <c r="C255" s="2">
        <f ca="1"/>
        <v>6.3250000000000001E-2</v>
      </c>
    </row>
    <row r="256" spans="1:3">
      <c r="A256" s="2">
        <f ca="1"/>
        <v>255</v>
      </c>
      <c r="B256" s="2">
        <f ca="1"/>
        <v>0.72203389830508491</v>
      </c>
      <c r="C256" s="2">
        <f ca="1"/>
        <v>6.3500000000000001E-2</v>
      </c>
    </row>
    <row r="257" spans="1:3">
      <c r="A257" s="2">
        <f ca="1"/>
        <v>256</v>
      </c>
      <c r="B257" s="2">
        <f ca="1"/>
        <v>0.72881355932203395</v>
      </c>
      <c r="C257" s="2">
        <f ca="1"/>
        <v>6.3750000000000001E-2</v>
      </c>
    </row>
    <row r="258" spans="1:3">
      <c r="A258" s="2">
        <f ca="1"/>
        <v>257</v>
      </c>
      <c r="B258" s="2">
        <f ca="1"/>
        <v>0.73559322033898322</v>
      </c>
      <c r="C258" s="2">
        <f ca="1"/>
        <v>6.4000000000000001E-2</v>
      </c>
    </row>
    <row r="259" spans="1:3">
      <c r="A259" s="2">
        <f ca="1"/>
        <v>258</v>
      </c>
      <c r="B259" s="2">
        <f ca="1"/>
        <v>0.74237288135593227</v>
      </c>
      <c r="C259" s="2">
        <f ca="1"/>
        <v>6.4250000000000002E-2</v>
      </c>
    </row>
    <row r="260" spans="1:3">
      <c r="A260" s="2">
        <f ca="1"/>
        <v>259</v>
      </c>
      <c r="B260" s="2">
        <f ca="1"/>
        <v>0.74915254237288154</v>
      </c>
      <c r="C260" s="2">
        <f ca="1"/>
        <v>6.4500000000000002E-2</v>
      </c>
    </row>
    <row r="261" spans="1:3">
      <c r="A261" s="2">
        <f ca="1"/>
        <v>260</v>
      </c>
      <c r="B261" s="2">
        <f ca="1"/>
        <v>0.75593220338983058</v>
      </c>
      <c r="C261" s="2">
        <f ca="1"/>
        <v>6.4750000000000002E-2</v>
      </c>
    </row>
    <row r="262" spans="1:3">
      <c r="A262" s="2">
        <f ca="1"/>
        <v>261</v>
      </c>
      <c r="B262" s="2">
        <f ca="1"/>
        <v>0.76271186440677985</v>
      </c>
      <c r="C262" s="2">
        <f ca="1"/>
        <v>6.5000000000000002E-2</v>
      </c>
    </row>
    <row r="263" spans="1:3">
      <c r="A263" s="2">
        <f ca="1"/>
        <v>262</v>
      </c>
      <c r="B263" s="2">
        <f ca="1"/>
        <v>0.76949152542372889</v>
      </c>
      <c r="C263" s="2">
        <f ca="1"/>
        <v>6.5250000000000002E-2</v>
      </c>
    </row>
    <row r="264" spans="1:3">
      <c r="A264" s="2">
        <f ca="1"/>
        <v>263</v>
      </c>
      <c r="B264" s="2">
        <f ca="1"/>
        <v>0.77627118644067816</v>
      </c>
      <c r="C264" s="2">
        <f ca="1"/>
        <v>6.5500000000000003E-2</v>
      </c>
    </row>
    <row r="265" spans="1:3">
      <c r="A265" s="2">
        <f ca="1"/>
        <v>264</v>
      </c>
      <c r="B265" s="2">
        <f ca="1"/>
        <v>0.78305084745762721</v>
      </c>
      <c r="C265" s="2">
        <f ca="1"/>
        <v>6.5750000000000003E-2</v>
      </c>
    </row>
    <row r="266" spans="1:3">
      <c r="A266" s="2">
        <f ca="1"/>
        <v>265</v>
      </c>
      <c r="B266" s="2">
        <f ca="1"/>
        <v>0.78983050847457648</v>
      </c>
      <c r="C266" s="2">
        <f ca="1"/>
        <v>6.6000000000000003E-2</v>
      </c>
    </row>
    <row r="267" spans="1:3">
      <c r="A267" s="2">
        <f ca="1"/>
        <v>266</v>
      </c>
      <c r="B267" s="2">
        <f ca="1"/>
        <v>0.79661016949152552</v>
      </c>
      <c r="C267" s="2">
        <f ca="1"/>
        <v>6.6250000000000003E-2</v>
      </c>
    </row>
    <row r="268" spans="1:3">
      <c r="A268" s="2">
        <f ca="1"/>
        <v>267</v>
      </c>
      <c r="B268" s="2">
        <f ca="1"/>
        <v>0.80338983050847479</v>
      </c>
      <c r="C268" s="2">
        <f ca="1"/>
        <v>6.6500000000000004E-2</v>
      </c>
    </row>
    <row r="269" spans="1:3">
      <c r="A269" s="2">
        <f ca="1"/>
        <v>268</v>
      </c>
      <c r="B269" s="2">
        <f ca="1"/>
        <v>0.81016949152542383</v>
      </c>
      <c r="C269" s="2">
        <f ca="1"/>
        <v>6.6750000000000004E-2</v>
      </c>
    </row>
    <row r="270" spans="1:3">
      <c r="A270" s="2">
        <f ca="1"/>
        <v>269</v>
      </c>
      <c r="B270" s="2">
        <f ca="1"/>
        <v>0.8169491525423731</v>
      </c>
      <c r="C270" s="2">
        <f ca="1"/>
        <v>6.7000000000000004E-2</v>
      </c>
    </row>
    <row r="271" spans="1:3">
      <c r="A271" s="2">
        <f ca="1"/>
        <v>270</v>
      </c>
      <c r="B271" s="2">
        <f ca="1"/>
        <v>0.82372881355932215</v>
      </c>
      <c r="C271" s="2">
        <f ca="1"/>
        <v>6.7250000000000004E-2</v>
      </c>
    </row>
    <row r="272" spans="1:3">
      <c r="A272" s="2">
        <f ca="1"/>
        <v>271</v>
      </c>
      <c r="B272" s="2">
        <f ca="1"/>
        <v>0.83050847457627142</v>
      </c>
      <c r="C272" s="2">
        <f ca="1"/>
        <v>6.7500000000000004E-2</v>
      </c>
    </row>
    <row r="273" spans="1:3">
      <c r="A273" s="2">
        <f ca="1"/>
        <v>272</v>
      </c>
      <c r="B273" s="2">
        <f ca="1"/>
        <v>0.83728813559322046</v>
      </c>
      <c r="C273" s="2">
        <f ca="1"/>
        <v>6.7750000000000005E-2</v>
      </c>
    </row>
    <row r="274" spans="1:3">
      <c r="A274" s="2">
        <f ca="1"/>
        <v>273</v>
      </c>
      <c r="B274" s="2">
        <f ca="1"/>
        <v>0.84406779661016973</v>
      </c>
      <c r="C274" s="2">
        <f ca="1"/>
        <v>6.8000000000000005E-2</v>
      </c>
    </row>
    <row r="275" spans="1:3">
      <c r="A275" s="2">
        <f ca="1"/>
        <v>274</v>
      </c>
      <c r="B275" s="2">
        <f ca="1"/>
        <v>0.85084745762711878</v>
      </c>
      <c r="C275" s="2">
        <f ca="1"/>
        <v>6.8250000000000005E-2</v>
      </c>
    </row>
    <row r="276" spans="1:3">
      <c r="A276" s="2">
        <f ca="1"/>
        <v>275</v>
      </c>
      <c r="B276" s="2">
        <f ca="1"/>
        <v>0.85762711864406804</v>
      </c>
      <c r="C276" s="2">
        <f ca="1"/>
        <v>6.8500000000000005E-2</v>
      </c>
    </row>
    <row r="277" spans="1:3">
      <c r="A277" s="2">
        <f ca="1"/>
        <v>276</v>
      </c>
      <c r="B277" s="2">
        <f ca="1"/>
        <v>0.86440677966101709</v>
      </c>
      <c r="C277" s="2">
        <f ca="1"/>
        <v>6.8750000000000006E-2</v>
      </c>
    </row>
    <row r="278" spans="1:3">
      <c r="A278" s="2">
        <f ca="1"/>
        <v>277</v>
      </c>
      <c r="B278" s="2">
        <f ca="1"/>
        <v>0.87118644067796636</v>
      </c>
      <c r="C278" s="2">
        <f ca="1"/>
        <v>6.9000000000000006E-2</v>
      </c>
    </row>
    <row r="279" spans="1:3">
      <c r="A279" s="2">
        <f ca="1"/>
        <v>278</v>
      </c>
      <c r="B279" s="2">
        <f ca="1"/>
        <v>0.87796610169491562</v>
      </c>
      <c r="C279" s="2">
        <f ca="1"/>
        <v>6.9250000000000006E-2</v>
      </c>
    </row>
    <row r="280" spans="1:3">
      <c r="A280" s="2">
        <f ca="1"/>
        <v>279</v>
      </c>
      <c r="B280" s="2">
        <f ca="1"/>
        <v>0.88474576271186467</v>
      </c>
      <c r="C280" s="2">
        <f ca="1"/>
        <v>6.9500000000000006E-2</v>
      </c>
    </row>
    <row r="281" spans="1:3">
      <c r="A281" s="2">
        <f ca="1"/>
        <v>280</v>
      </c>
      <c r="B281" s="2">
        <f ca="1"/>
        <v>0.89152542372881394</v>
      </c>
      <c r="C281" s="2">
        <f ca="1"/>
        <v>6.9750000000000006E-2</v>
      </c>
    </row>
    <row r="282" spans="1:3">
      <c r="A282" s="2">
        <f ca="1"/>
        <v>281</v>
      </c>
      <c r="B282" s="2">
        <f ca="1"/>
        <v>0.89830508474576298</v>
      </c>
      <c r="C282" s="2">
        <f ca="1"/>
        <v>7.0000000000000007E-2</v>
      </c>
    </row>
    <row r="283" spans="1:3">
      <c r="A283" s="2">
        <f ca="1"/>
        <v>282</v>
      </c>
      <c r="B283" s="2">
        <f ca="1"/>
        <v>0.90508474576271225</v>
      </c>
      <c r="C283" s="2">
        <f ca="1"/>
        <v>7.0250000000000007E-2</v>
      </c>
    </row>
    <row r="284" spans="1:3">
      <c r="A284" s="2">
        <f ca="1"/>
        <v>283</v>
      </c>
      <c r="B284" s="2">
        <f ca="1"/>
        <v>0.9118644067796613</v>
      </c>
      <c r="C284" s="2">
        <f ca="1"/>
        <v>7.0500000000000007E-2</v>
      </c>
    </row>
    <row r="285" spans="1:3">
      <c r="A285" s="2">
        <f ca="1"/>
        <v>284</v>
      </c>
      <c r="B285" s="2">
        <f ca="1"/>
        <v>0.91864406779661056</v>
      </c>
      <c r="C285" s="2">
        <f ca="1"/>
        <v>7.0750000000000007E-2</v>
      </c>
    </row>
    <row r="286" spans="1:3">
      <c r="A286" s="2">
        <f ca="1"/>
        <v>285</v>
      </c>
      <c r="B286" s="2">
        <f ca="1"/>
        <v>0.92542372881355961</v>
      </c>
      <c r="C286" s="2">
        <f ca="1"/>
        <v>7.1000000000000008E-2</v>
      </c>
    </row>
    <row r="287" spans="1:3">
      <c r="A287" s="2">
        <f ca="1"/>
        <v>286</v>
      </c>
      <c r="B287" s="2">
        <f ca="1"/>
        <v>0.93220338983050888</v>
      </c>
      <c r="C287" s="2">
        <f ca="1"/>
        <v>7.1250000000000008E-2</v>
      </c>
    </row>
    <row r="288" spans="1:3">
      <c r="A288" s="2">
        <f ca="1"/>
        <v>287</v>
      </c>
      <c r="B288" s="2">
        <f ca="1"/>
        <v>0.93898305084745792</v>
      </c>
      <c r="C288" s="2">
        <f ca="1"/>
        <v>7.1500000000000008E-2</v>
      </c>
    </row>
    <row r="289" spans="1:3">
      <c r="A289" s="2">
        <f ca="1"/>
        <v>288</v>
      </c>
      <c r="B289" s="2">
        <f ca="1"/>
        <v>0.94576271186440719</v>
      </c>
      <c r="C289" s="2">
        <f ca="1"/>
        <v>7.1750000000000008E-2</v>
      </c>
    </row>
    <row r="290" spans="1:3">
      <c r="A290" s="2">
        <f ca="1"/>
        <v>289</v>
      </c>
      <c r="B290" s="2">
        <f ca="1"/>
        <v>0.95254237288135624</v>
      </c>
      <c r="C290" s="2">
        <f ca="1"/>
        <v>7.2000000000000008E-2</v>
      </c>
    </row>
    <row r="291" spans="1:3">
      <c r="A291" s="2">
        <f ca="1"/>
        <v>290</v>
      </c>
      <c r="B291" s="2">
        <f ca="1"/>
        <v>0.95932203389830506</v>
      </c>
      <c r="C291" s="2">
        <f ca="1"/>
        <v>7.2249999999999995E-2</v>
      </c>
    </row>
    <row r="292" spans="1:3">
      <c r="A292" s="2">
        <f ca="1"/>
        <v>291</v>
      </c>
      <c r="B292" s="2">
        <f ca="1"/>
        <v>0.96610169491525411</v>
      </c>
      <c r="C292" s="2">
        <f ca="1"/>
        <v>7.2499999999999995E-2</v>
      </c>
    </row>
    <row r="293" spans="1:3">
      <c r="A293" s="2">
        <f ca="1"/>
        <v>292</v>
      </c>
      <c r="B293" s="2">
        <f ca="1"/>
        <v>0.97288135593220337</v>
      </c>
      <c r="C293" s="2">
        <f ca="1"/>
        <v>7.2749999999999995E-2</v>
      </c>
    </row>
    <row r="294" spans="1:3">
      <c r="A294" s="2">
        <f ca="1"/>
        <v>293</v>
      </c>
      <c r="B294" s="2">
        <f ca="1"/>
        <v>0.97966101694915242</v>
      </c>
      <c r="C294" s="2">
        <f ca="1"/>
        <v>7.2999999999999995E-2</v>
      </c>
    </row>
    <row r="295" spans="1:3">
      <c r="A295" s="2">
        <f ca="1"/>
        <v>294</v>
      </c>
      <c r="B295" s="2">
        <f ca="1"/>
        <v>0.98644067796610169</v>
      </c>
      <c r="C295" s="2">
        <f ca="1"/>
        <v>7.3249999999999996E-2</v>
      </c>
    </row>
    <row r="296" spans="1:3">
      <c r="A296" s="2">
        <f ca="1"/>
        <v>295</v>
      </c>
      <c r="B296" s="2">
        <f ca="1"/>
        <v>0.99322033898305073</v>
      </c>
      <c r="C296" s="2">
        <f ca="1"/>
        <v>7.3499999999999996E-2</v>
      </c>
    </row>
    <row r="297" spans="1:3">
      <c r="A297" s="2">
        <f ca="1"/>
        <v>296</v>
      </c>
      <c r="B297" s="2">
        <f ca="1"/>
        <v>1</v>
      </c>
      <c r="C297" s="2">
        <f ca="1"/>
        <v>7.3749999999999996E-2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125E-8525-4BE6-A3B9-920B47E32A9E}">
  <dimension ref="A1:Q300"/>
  <sheetViews>
    <sheetView topLeftCell="A2" zoomScaleNormal="100" workbookViewId="0">
      <selection activeCell="E2" sqref="E2"/>
    </sheetView>
  </sheetViews>
  <sheetFormatPr defaultRowHeight="14.4"/>
  <cols>
    <col min="1" max="1" width="7" style="2" bestFit="1" customWidth="1"/>
    <col min="2" max="2" width="8.88671875" style="4"/>
    <col min="4" max="4" width="9.5546875" style="4" bestFit="1" customWidth="1"/>
    <col min="5" max="5" width="10.5546875" style="4" customWidth="1"/>
    <col min="6" max="6" width="12" style="4" customWidth="1"/>
    <col min="7" max="7" width="12.5546875" bestFit="1" customWidth="1"/>
    <col min="8" max="8" width="12.88671875" customWidth="1"/>
    <col min="10" max="10" width="12" bestFit="1" customWidth="1"/>
    <col min="11" max="11" width="10.5546875" customWidth="1"/>
    <col min="13" max="13" width="12.5546875" bestFit="1" customWidth="1"/>
    <col min="14" max="15" width="8.88671875" customWidth="1"/>
    <col min="21" max="21" width="8.88671875" customWidth="1"/>
  </cols>
  <sheetData>
    <row r="1" spans="1:17" s="8" customFormat="1" ht="35.1" customHeight="1">
      <c r="A1" s="9" t="s">
        <v>114</v>
      </c>
      <c r="B1" s="9" t="s">
        <v>121</v>
      </c>
      <c r="C1" s="9" t="s">
        <v>115</v>
      </c>
      <c r="D1" s="9" t="s">
        <v>122</v>
      </c>
      <c r="E1" s="9" t="s">
        <v>123</v>
      </c>
      <c r="F1" s="9" t="s">
        <v>124</v>
      </c>
      <c r="G1" s="9" t="s">
        <v>125</v>
      </c>
      <c r="H1" s="9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0" t="s">
        <v>131</v>
      </c>
      <c r="N1" s="10" t="s">
        <v>132</v>
      </c>
      <c r="O1" s="10" t="s">
        <v>133</v>
      </c>
      <c r="P1" s="10" t="s">
        <v>134</v>
      </c>
      <c r="Q1" s="10" t="s">
        <v>135</v>
      </c>
    </row>
    <row r="2" spans="1:17">
      <c r="A2" s="13" cm="1">
        <f t="array" aca="1" ref="A2:A297" ca="1">time_i</f>
        <v>1</v>
      </c>
      <c r="B2" s="12" cm="1">
        <f t="array" aca="1" ref="B2:B297" ca="1">time_x</f>
        <v>-1</v>
      </c>
      <c r="C2" s="4" cm="1">
        <f t="array" aca="1" ref="C2:C297" ca="1">time_t</f>
        <v>0</v>
      </c>
      <c r="D2" s="4" cm="1">
        <f t="array" aca="1" ref="D2:D297" ca="1">IF(time_x&lt;-1+(2*1/3),pA - (9*(pA - pB)*(time_x + 1)^2)/16,IF(time_x&lt;-1+(2*2/3),pA/2 + pB/2 - time_x*((3*pA)/4 - (3*pB)/4),pB + (9*(pA - pB)*(time_x - 1)^2)/16))</f>
        <v>0</v>
      </c>
      <c r="E2" s="4" cm="1">
        <f t="array" aca="1" ref="E2:E297" ca="1">(IF(time_x&lt;-1+(2*1/3),-(time_x + 1)*((9*pA)/8 - (9*pB)/8), IF(time_x&lt;-1+(2*2/3),(3*pB)/4 - (3*pA)/4, (time_x - 1)*((9*pA)/8 - (9*pB)/8))))/(0.5*tAB)</f>
        <v>0</v>
      </c>
      <c r="F2" s="4" cm="1">
        <f t="array" aca="1" ref="F2:F297" ca="1">(IF(time_x&lt;-1+(2*1/3),(9*pB)/8 - (9*pA)/8,IF(time_x&lt;-1+(2*2/3),0,(9*pA)/8 - (9*pB)/8)))/(0.5*tAB)^2</f>
        <v>2482.0453892559613</v>
      </c>
      <c r="G2" s="4" cm="1">
        <f t="array" aca="1" ref="G2:G297" ca="1">(IFERROR(INDEX(trap.qd2,time_i+1),INDEX(trap.qd2,n))-INDEX(trap.qd2,time_i-1))/(IFERROR(INDEX(time_t,time_i+1),INDEX(time_t,n))-INDEX(time_t,time_i-1))</f>
        <v>0</v>
      </c>
      <c r="H2" cm="1">
        <f t="array" aca="1" ref="H2:H297" ca="1">MOD(trap.q,2*PI())</f>
        <v>0</v>
      </c>
      <c r="I2" cm="1">
        <f t="array" aca="1" ref="I2:I297" ca="1">_xlfn.XLOOKUP(trap.qmod,prop.J_x,prop.J_y,,-1,2)+(trap.qmod-_xlfn.XLOOKUP(trap.qmod,prop.J_x,prop.J_x,,-1,2))*IFERROR((_xlfn.XLOOKUP(trap.qmod,prop.J_x,prop.J_y,,1,2)-_xlfn.XLOOKUP(trap.qmod,prop.J_x,prop.J_y,,-1,2))/(_xlfn.XLOOKUP(trap.qmod,prop.J_x,prop.J_x,,1,2)-_xlfn.XLOOKUP(trap.qmod,prop.J_x,prop.J_x,,-1,2)),0)</f>
        <v>3.6499468900000002E-3</v>
      </c>
      <c r="J2" cm="1">
        <f t="array" aca="1" ref="J2:J297" ca="1">_xlfn.XLOOKUP(trap.qmod,prop.dJ_x,prop.dJ_y,,-1,2)+(trap.qmod-_xlfn.XLOOKUP(trap.qmod,prop.dJ_x,prop.dJ_x,,-1,2))*IFERROR((_xlfn.XLOOKUP(trap.qmod,prop.dJ_x,prop.dJ_y,,1,2)-_xlfn.XLOOKUP(trap.qmod,prop.dJ_x,prop.dJ_y,,-1,2))/(_xlfn.XLOOKUP(trap.qmod,prop.dJ_x,prop.dJ_x,,1,2)-_xlfn.XLOOKUP(trap.qmod,prop.dJ_x,prop.dJ_x,,-1,2)),0)</f>
        <v>6.4224695402142974E-5</v>
      </c>
      <c r="K2" cm="1">
        <f t="array" aca="1" ref="K2:K297" ca="1">_xlfn.XLOOKUP(trap.qmod,prop.fw_x,prop.fw_y,,-1,2)+(trap.qmod-_xlfn.XLOOKUP(trap.qmod,prop.fw_x,prop.fw_x,,-1,2))*IFERROR((_xlfn.XLOOKUP(trap.qmod,prop.fw_x,prop.fw_y,,1,2)-_xlfn.XLOOKUP(trap.qmod,prop.fw_x,prop.fw_y,,-1,2))/(_xlfn.XLOOKUP(trap.qmod,prop.fw_x,prop.fw_x,,1,2)-_xlfn.XLOOKUP(trap.qmod,prop.fw_x,prop.fw_x,,-1,2)),0)</f>
        <v>0</v>
      </c>
      <c r="L2" cm="1">
        <f t="array" aca="1" ref="L2:L297" ca="1">_xlfn.XLOOKUP(trap.qmod,prop.Tl_x,prop.Tl_y,,-1,2)+(trap.qmod-_xlfn.XLOOKUP(trap.qmod,prop.Tl_x,prop.Tl_x,,-1,2))*IFERROR((_xlfn.XLOOKUP(trap.qmod,prop.Tl_x,prop.Tl_y,,1,2)-_xlfn.XLOOKUP(trap.qmod,prop.Tl_x,prop.Tl_y,,-1,2))/(_xlfn.XLOOKUP(trap.qmod,prop.Tl_x,prop.Tl_x,,1,2)-_xlfn.XLOOKUP(trap.qmod,prop.Tl_x,prop.Tl_x,,-1,2)),0)</f>
        <v>0.1025359665978</v>
      </c>
      <c r="M2" cm="1">
        <f t="array" aca="1" ref="M2:M297" ca="1">trap.J*trap.qd2</f>
        <v>9.0593338493536351</v>
      </c>
      <c r="N2" cm="1">
        <f t="array" aca="1" ref="N2:N297" ca="1">0.5*trap.dJ*trap.qd1^2</f>
        <v>0</v>
      </c>
      <c r="O2" cm="1">
        <f t="array" aca="1" ref="O2:O297" ca="1">trap.fw*trap.qd1</f>
        <v>0</v>
      </c>
      <c r="P2" cm="1">
        <f t="array" aca="1" ref="P2:P297" ca="1">trap.Tl+trap.Tacc+trap.Tvar+trap.Tf</f>
        <v>9.1618698159514356</v>
      </c>
      <c r="Q2" cm="1">
        <f t="array" aca="1" ref="Q2:Q297" ca="1">(IFERROR(INDEX(trap.Tm,time_i+1),INDEX(trap.Tm,n))-INDEX(trap.Tm,time_i-1))/(IFERROR(INDEX(time_t,time_i+1),INDEX(time_t,n))-INDEX(time_t,time_i-1))</f>
        <v>0.47778700413658726</v>
      </c>
    </row>
    <row r="3" spans="1:17">
      <c r="A3" s="2">
        <f ca="1"/>
        <v>2</v>
      </c>
      <c r="B3" s="4">
        <f ca="1"/>
        <v>-0.99322033898305084</v>
      </c>
      <c r="C3" s="4">
        <f ca="1"/>
        <v>2.5000000000000001E-4</v>
      </c>
      <c r="D3" s="4">
        <f ca="1"/>
        <v>7.756391841424887E-5</v>
      </c>
      <c r="E3" s="4">
        <f ca="1"/>
        <v>0.6205113473139906</v>
      </c>
      <c r="F3" s="4">
        <f ca="1"/>
        <v>2482.0453892559613</v>
      </c>
      <c r="G3">
        <f ca="1"/>
        <v>0</v>
      </c>
      <c r="H3">
        <f ca="1"/>
        <v>7.756391841424887E-5</v>
      </c>
      <c r="I3">
        <f ca="1"/>
        <v>3.6499518715190347E-3</v>
      </c>
      <c r="J3">
        <f ca="1"/>
        <v>6.5224229129601927E-5</v>
      </c>
      <c r="K3">
        <f ca="1"/>
        <v>0</v>
      </c>
      <c r="L3">
        <f ca="1"/>
        <v>0.10263049220873141</v>
      </c>
      <c r="M3">
        <f ca="1"/>
        <v>9.0593462137099863</v>
      </c>
      <c r="N3">
        <f ca="1"/>
        <v>1.255678375130819E-5</v>
      </c>
      <c r="O3">
        <f ca="1"/>
        <v>0</v>
      </c>
      <c r="P3">
        <f ca="1"/>
        <v>9.1619892627024697</v>
      </c>
      <c r="Q3">
        <f ca="1"/>
        <v>0.96019226588239803</v>
      </c>
    </row>
    <row r="4" spans="1:17">
      <c r="A4" s="2">
        <f ca="1"/>
        <v>3</v>
      </c>
      <c r="B4" s="4">
        <f ca="1"/>
        <v>-0.98644067796610169</v>
      </c>
      <c r="C4" s="4">
        <f ca="1"/>
        <v>5.0000000000000001E-4</v>
      </c>
      <c r="D4" s="4">
        <f ca="1"/>
        <v>3.1025567365699548E-4</v>
      </c>
      <c r="E4" s="4">
        <f ca="1"/>
        <v>1.2410226946279812</v>
      </c>
      <c r="F4" s="4">
        <f ca="1"/>
        <v>2482.0453892559613</v>
      </c>
      <c r="G4">
        <f ca="1"/>
        <v>0</v>
      </c>
      <c r="H4">
        <f ca="1"/>
        <v>3.1025567365699548E-4</v>
      </c>
      <c r="I4">
        <f ca="1"/>
        <v>3.6499668160761374E-3</v>
      </c>
      <c r="J4">
        <f ca="1"/>
        <v>6.8222830311978771E-5</v>
      </c>
      <c r="K4">
        <f ca="1"/>
        <v>0</v>
      </c>
      <c r="L4">
        <f ca="1"/>
        <v>0.10291406904152564</v>
      </c>
      <c r="M4">
        <f ca="1"/>
        <v>9.0593833067790381</v>
      </c>
      <c r="N4">
        <f ca="1"/>
        <v>5.2536263812486654E-5</v>
      </c>
      <c r="O4">
        <f ca="1"/>
        <v>0</v>
      </c>
      <c r="P4">
        <f ca="1"/>
        <v>9.1623499120843768</v>
      </c>
      <c r="Q4">
        <f ca="1"/>
        <v>1.9388575622194537</v>
      </c>
    </row>
    <row r="5" spans="1:17">
      <c r="A5" s="2">
        <f ca="1"/>
        <v>4</v>
      </c>
      <c r="B5" s="4">
        <f ca="1"/>
        <v>-0.97966101694915253</v>
      </c>
      <c r="C5" s="4">
        <f ca="1"/>
        <v>7.5000000000000002E-4</v>
      </c>
      <c r="D5" s="4">
        <f ca="1"/>
        <v>6.980752657282398E-4</v>
      </c>
      <c r="E5" s="4">
        <f ca="1"/>
        <v>1.8615340419419719</v>
      </c>
      <c r="F5" s="4">
        <f ca="1"/>
        <v>2482.0453892559613</v>
      </c>
      <c r="G5">
        <f ca="1"/>
        <v>0</v>
      </c>
      <c r="H5">
        <f ca="1"/>
        <v>6.980752657282398E-4</v>
      </c>
      <c r="I5">
        <f ca="1"/>
        <v>3.6499917236713095E-3</v>
      </c>
      <c r="J5">
        <f ca="1"/>
        <v>7.3220498949273506E-5</v>
      </c>
      <c r="K5">
        <f ca="1"/>
        <v>0</v>
      </c>
      <c r="L5">
        <f ca="1"/>
        <v>0.10338669709618271</v>
      </c>
      <c r="M5">
        <f ca="1"/>
        <v>9.0594451285607924</v>
      </c>
      <c r="N5">
        <f ca="1"/>
        <v>1.2686582660529705E-4</v>
      </c>
      <c r="O5">
        <f ca="1"/>
        <v>0</v>
      </c>
      <c r="P5">
        <f ca="1"/>
        <v>9.1629586914835794</v>
      </c>
      <c r="Q5">
        <f ca="1"/>
        <v>2.9544689194764828</v>
      </c>
    </row>
    <row r="6" spans="1:17">
      <c r="A6" s="2">
        <f ca="1"/>
        <v>5</v>
      </c>
      <c r="B6" s="4">
        <f ca="1"/>
        <v>-0.97288135593220337</v>
      </c>
      <c r="C6" s="4">
        <f ca="1"/>
        <v>1E-3</v>
      </c>
      <c r="D6" s="4">
        <f ca="1"/>
        <v>1.2410226946279819E-3</v>
      </c>
      <c r="E6" s="4">
        <f ca="1"/>
        <v>2.4820453892559624</v>
      </c>
      <c r="F6" s="4">
        <f ca="1"/>
        <v>2482.0453892559613</v>
      </c>
      <c r="G6">
        <f ca="1"/>
        <v>0</v>
      </c>
      <c r="H6">
        <f ca="1"/>
        <v>1.2410226946279819E-3</v>
      </c>
      <c r="I6">
        <f ca="1"/>
        <v>3.6500265943045498E-3</v>
      </c>
      <c r="J6">
        <f ca="1"/>
        <v>8.021723504148616E-5</v>
      </c>
      <c r="K6">
        <f ca="1"/>
        <v>0</v>
      </c>
      <c r="L6">
        <f ca="1"/>
        <v>0.1040483763727026</v>
      </c>
      <c r="M6">
        <f ca="1"/>
        <v>9.0595316790552474</v>
      </c>
      <c r="N6">
        <f ca="1"/>
        <v>2.4709111616600895E-4</v>
      </c>
      <c r="O6">
        <f ca="1"/>
        <v>0</v>
      </c>
      <c r="P6">
        <f ca="1"/>
        <v>9.163827146544115</v>
      </c>
      <c r="Q6">
        <f ca="1"/>
        <v>4.0927803983272781</v>
      </c>
    </row>
    <row r="7" spans="1:17">
      <c r="A7" s="2">
        <f ca="1"/>
        <v>6</v>
      </c>
      <c r="B7" s="4">
        <f ca="1"/>
        <v>-0.96610169491525422</v>
      </c>
      <c r="C7" s="4">
        <f ca="1"/>
        <v>1.25E-3</v>
      </c>
      <c r="D7" s="4">
        <f ca="1"/>
        <v>1.9390979603562217E-3</v>
      </c>
      <c r="E7" s="4">
        <f ca="1"/>
        <v>3.1025567365699533</v>
      </c>
      <c r="F7" s="4">
        <f ca="1"/>
        <v>2482.0453892559613</v>
      </c>
      <c r="G7">
        <f ca="1"/>
        <v>0</v>
      </c>
      <c r="H7">
        <f ca="1"/>
        <v>1.9390979603562217E-3</v>
      </c>
      <c r="I7">
        <f ca="1"/>
        <v>3.6500801442066254E-3</v>
      </c>
      <c r="J7">
        <f ca="1"/>
        <v>9.1707659711392294E-5</v>
      </c>
      <c r="K7">
        <f ca="1"/>
        <v>0</v>
      </c>
      <c r="L7">
        <f ca="1"/>
        <v>0.10489910687108532</v>
      </c>
      <c r="M7">
        <f ca="1"/>
        <v>9.0596645923427879</v>
      </c>
      <c r="N7">
        <f ca="1"/>
        <v>4.413824688699467E-4</v>
      </c>
      <c r="O7">
        <f ca="1"/>
        <v>0</v>
      </c>
      <c r="P7">
        <f ca="1"/>
        <v>9.1650050816827431</v>
      </c>
      <c r="Q7">
        <f ca="1"/>
        <v>5.5910434806172304</v>
      </c>
    </row>
    <row r="8" spans="1:17">
      <c r="A8" s="2">
        <f ca="1"/>
        <v>7</v>
      </c>
      <c r="B8" s="4">
        <f ca="1"/>
        <v>-0.95932203389830506</v>
      </c>
      <c r="C8" s="4">
        <f ca="1"/>
        <v>1.5E-3</v>
      </c>
      <c r="D8" s="4">
        <f ca="1"/>
        <v>2.7923010629129592E-3</v>
      </c>
      <c r="E8" s="4">
        <f ca="1"/>
        <v>3.7230680838839438</v>
      </c>
      <c r="F8" s="4">
        <f ca="1"/>
        <v>2482.0453892559613</v>
      </c>
      <c r="G8">
        <f ca="1"/>
        <v>0</v>
      </c>
      <c r="H8">
        <f ca="1"/>
        <v>2.7923010629129592E-3</v>
      </c>
      <c r="I8">
        <f ca="1"/>
        <v>3.6501733202559668E-3</v>
      </c>
      <c r="J8">
        <f ca="1"/>
        <v>1.1368685578661288E-4</v>
      </c>
      <c r="K8">
        <f ca="1"/>
        <v>0</v>
      </c>
      <c r="L8">
        <f ca="1"/>
        <v>0.10593888859133085</v>
      </c>
      <c r="M8">
        <f ca="1"/>
        <v>9.0598958595264456</v>
      </c>
      <c r="N8">
        <f ca="1"/>
        <v>7.8792016664720895E-4</v>
      </c>
      <c r="O8">
        <f ca="1"/>
        <v>0</v>
      </c>
      <c r="P8">
        <f ca="1"/>
        <v>9.1666226682844236</v>
      </c>
      <c r="Q8">
        <f ca="1"/>
        <v>7.3676011062957514</v>
      </c>
    </row>
    <row r="9" spans="1:17">
      <c r="A9" s="2">
        <f ca="1"/>
        <v>8</v>
      </c>
      <c r="B9" s="4">
        <f ca="1"/>
        <v>-0.9525423728813559</v>
      </c>
      <c r="C9" s="4">
        <f ca="1"/>
        <v>1.75E-3</v>
      </c>
      <c r="D9" s="4">
        <f ca="1"/>
        <v>3.8006320022981946E-3</v>
      </c>
      <c r="E9" s="4">
        <f ca="1"/>
        <v>4.3435794311979343</v>
      </c>
      <c r="F9" s="4">
        <f ca="1"/>
        <v>2482.0453892559613</v>
      </c>
      <c r="G9">
        <f ca="1"/>
        <v>0</v>
      </c>
      <c r="H9">
        <f ca="1"/>
        <v>3.8006320022981946E-3</v>
      </c>
      <c r="I9">
        <f ca="1"/>
        <v>3.6502973674617228E-3</v>
      </c>
      <c r="J9">
        <f ca="1"/>
        <v>1.396546951601162E-4</v>
      </c>
      <c r="K9">
        <f ca="1"/>
        <v>0</v>
      </c>
      <c r="L9">
        <f ca="1"/>
        <v>0.10716772153343923</v>
      </c>
      <c r="M9">
        <f ca="1"/>
        <v>9.0602037503215431</v>
      </c>
      <c r="N9">
        <f ca="1"/>
        <v>1.3174103809077285E-3</v>
      </c>
      <c r="O9">
        <f ca="1"/>
        <v>0</v>
      </c>
      <c r="P9">
        <f ca="1"/>
        <v>9.168688882235891</v>
      </c>
      <c r="Q9">
        <f ca="1"/>
        <v>9.4029177907053452</v>
      </c>
    </row>
    <row r="10" spans="1:17">
      <c r="A10" s="2">
        <f ca="1"/>
        <v>9</v>
      </c>
      <c r="B10" s="4">
        <f ca="1"/>
        <v>-0.94576271186440675</v>
      </c>
      <c r="C10" s="4">
        <f ca="1"/>
        <v>2E-3</v>
      </c>
      <c r="D10" s="4">
        <f ca="1"/>
        <v>4.9640907785119277E-3</v>
      </c>
      <c r="E10" s="4">
        <f ca="1"/>
        <v>4.9640907785119248</v>
      </c>
      <c r="F10" s="4">
        <f ca="1"/>
        <v>2482.0453892559613</v>
      </c>
      <c r="G10">
        <f ca="1"/>
        <v>0</v>
      </c>
      <c r="H10">
        <f ca="1"/>
        <v>4.9640907785119277E-3</v>
      </c>
      <c r="I10">
        <f ca="1"/>
        <v>3.6504767109759072E-3</v>
      </c>
      <c r="J10">
        <f ca="1"/>
        <v>1.6959789717853986E-4</v>
      </c>
      <c r="K10">
        <f ca="1"/>
        <v>0</v>
      </c>
      <c r="L10">
        <f ca="1"/>
        <v>0.10858560569741042</v>
      </c>
      <c r="M10">
        <f ca="1"/>
        <v>9.0606488890640176</v>
      </c>
      <c r="N10">
        <f ca="1"/>
        <v>2.0896324183490357E-3</v>
      </c>
      <c r="O10">
        <f ca="1"/>
        <v>0</v>
      </c>
      <c r="P10">
        <f ca="1"/>
        <v>9.1713241271797763</v>
      </c>
      <c r="Q10">
        <f ca="1"/>
        <v>11.894310985734785</v>
      </c>
    </row>
    <row r="11" spans="1:17">
      <c r="A11" s="2">
        <f ca="1"/>
        <v>10</v>
      </c>
      <c r="B11" s="4">
        <f ca="1"/>
        <v>-0.93898305084745759</v>
      </c>
      <c r="C11" s="4">
        <f ca="1"/>
        <v>2.2500000000000003E-3</v>
      </c>
      <c r="D11" s="4">
        <f ca="1"/>
        <v>6.2826773915541584E-3</v>
      </c>
      <c r="E11" s="4">
        <f ca="1"/>
        <v>5.5846021258259162</v>
      </c>
      <c r="F11" s="4">
        <f ca="1"/>
        <v>2482.0453892559613</v>
      </c>
      <c r="G11">
        <f ca="1"/>
        <v>0</v>
      </c>
      <c r="H11">
        <f ca="1"/>
        <v>6.2826773915541584E-3</v>
      </c>
      <c r="I11">
        <f ca="1"/>
        <v>3.6507269605601691E-3</v>
      </c>
      <c r="J11">
        <f ca="1"/>
        <v>2.0350769838404449E-4</v>
      </c>
      <c r="K11">
        <f ca="1"/>
        <v>0</v>
      </c>
      <c r="L11">
        <f ca="1"/>
        <v>0.11019254108324443</v>
      </c>
      <c r="M11">
        <f ca="1"/>
        <v>9.0612700198907969</v>
      </c>
      <c r="N11">
        <f ca="1"/>
        <v>3.1734767547169944E-3</v>
      </c>
      <c r="O11">
        <f ca="1"/>
        <v>0</v>
      </c>
      <c r="P11">
        <f ca="1"/>
        <v>9.1746360377287584</v>
      </c>
      <c r="Q11">
        <f ca="1"/>
        <v>14.791497237325757</v>
      </c>
    </row>
    <row r="12" spans="1:17">
      <c r="A12" s="2">
        <f ca="1"/>
        <v>11</v>
      </c>
      <c r="B12" s="4">
        <f ca="1"/>
        <v>-0.93220338983050843</v>
      </c>
      <c r="C12" s="4">
        <f ca="1"/>
        <v>2.5000000000000001E-3</v>
      </c>
      <c r="D12" s="4">
        <f ca="1"/>
        <v>7.7563918414248869E-3</v>
      </c>
      <c r="E12" s="4">
        <f ca="1"/>
        <v>6.2051134731399067</v>
      </c>
      <c r="F12" s="4">
        <f ca="1"/>
        <v>2482.0453892559613</v>
      </c>
      <c r="G12">
        <f ca="1"/>
        <v>0</v>
      </c>
      <c r="H12">
        <f ca="1"/>
        <v>7.7563918414248869E-3</v>
      </c>
      <c r="I12">
        <f ca="1"/>
        <v>3.6510550596211022E-3</v>
      </c>
      <c r="J12">
        <f ca="1"/>
        <v>2.4137958967963323E-4</v>
      </c>
      <c r="K12">
        <f ca="1"/>
        <v>0</v>
      </c>
      <c r="L12">
        <f ca="1"/>
        <v>0.11198852769094128</v>
      </c>
      <c r="M12">
        <f ca="1"/>
        <v>9.062084376652205</v>
      </c>
      <c r="N12">
        <f ca="1"/>
        <v>4.6469714552917025E-3</v>
      </c>
      <c r="O12">
        <f ca="1"/>
        <v>0</v>
      </c>
      <c r="P12">
        <f ca="1"/>
        <v>9.1787198757984392</v>
      </c>
      <c r="Q12">
        <f ca="1"/>
        <v>18.156511984919646</v>
      </c>
    </row>
    <row r="13" spans="1:17">
      <c r="A13" s="2">
        <f ca="1"/>
        <v>12</v>
      </c>
      <c r="B13" s="4">
        <f ca="1"/>
        <v>-0.92542372881355928</v>
      </c>
      <c r="C13" s="4">
        <f ca="1"/>
        <v>2.7499999999999998E-3</v>
      </c>
      <c r="D13" s="4">
        <f ca="1"/>
        <v>9.385234128124113E-3</v>
      </c>
      <c r="E13" s="4">
        <f ca="1"/>
        <v>6.8256248204538963</v>
      </c>
      <c r="F13" s="4">
        <f ca="1"/>
        <v>2482.0453892559613</v>
      </c>
      <c r="G13">
        <f ca="1"/>
        <v>0</v>
      </c>
      <c r="H13">
        <f ca="1"/>
        <v>9.385234128124113E-3</v>
      </c>
      <c r="I13">
        <f ca="1"/>
        <v>3.651481840461527E-3</v>
      </c>
      <c r="J13">
        <f ca="1"/>
        <v>2.8320162690510369E-4</v>
      </c>
      <c r="K13">
        <f ca="1"/>
        <v>0</v>
      </c>
      <c r="L13">
        <f ca="1"/>
        <v>0.11397356552050095</v>
      </c>
      <c r="M13">
        <f ca="1"/>
        <v>9.0631436660694042</v>
      </c>
      <c r="N13">
        <f ca="1"/>
        <v>6.5970621313131981E-3</v>
      </c>
      <c r="O13">
        <f ca="1"/>
        <v>0</v>
      </c>
      <c r="P13">
        <f ca="1"/>
        <v>9.1837142937212182</v>
      </c>
      <c r="Q13">
        <f ca="1"/>
        <v>22.093780476602376</v>
      </c>
    </row>
    <row r="14" spans="1:17">
      <c r="A14" s="2">
        <f ca="1"/>
        <v>13</v>
      </c>
      <c r="B14" s="4">
        <f ca="1"/>
        <v>-0.91864406779661012</v>
      </c>
      <c r="C14" s="4">
        <f ca="1"/>
        <v>3.0000000000000001E-3</v>
      </c>
      <c r="D14" s="4">
        <f ca="1"/>
        <v>1.1169204251651837E-2</v>
      </c>
      <c r="E14" s="4">
        <f ca="1"/>
        <v>7.4461361677678877</v>
      </c>
      <c r="F14" s="4">
        <f ca="1"/>
        <v>2482.0453892559613</v>
      </c>
      <c r="G14">
        <f ca="1"/>
        <v>0</v>
      </c>
      <c r="H14">
        <f ca="1"/>
        <v>1.1169204251651837E-2</v>
      </c>
      <c r="I14">
        <f ca="1"/>
        <v>3.6520280945059706E-3</v>
      </c>
      <c r="J14">
        <f ca="1"/>
        <v>3.2896121569446295E-4</v>
      </c>
      <c r="K14">
        <f ca="1"/>
        <v>0</v>
      </c>
      <c r="L14">
        <f ca="1"/>
        <v>0.11614765457192344</v>
      </c>
      <c r="M14">
        <f ca="1"/>
        <v>9.0644994934017777</v>
      </c>
      <c r="N14">
        <f ca="1"/>
        <v>9.119618063039828E-3</v>
      </c>
      <c r="O14">
        <f ca="1"/>
        <v>0</v>
      </c>
      <c r="P14">
        <f ca="1"/>
        <v>9.1897667660367404</v>
      </c>
      <c r="Q14">
        <f ca="1"/>
        <v>26.638325090456025</v>
      </c>
    </row>
    <row r="15" spans="1:17">
      <c r="A15" s="2">
        <f ca="1"/>
        <v>14</v>
      </c>
      <c r="B15" s="4">
        <f ca="1"/>
        <v>-0.91186440677966096</v>
      </c>
      <c r="C15" s="4">
        <f ca="1"/>
        <v>3.2500000000000003E-3</v>
      </c>
      <c r="D15" s="4">
        <f ca="1"/>
        <v>1.3108302212008059E-2</v>
      </c>
      <c r="E15" s="4">
        <f ca="1"/>
        <v>8.066647515081879</v>
      </c>
      <c r="F15" s="4">
        <f ca="1"/>
        <v>2482.0453892559613</v>
      </c>
      <c r="G15">
        <f ca="1"/>
        <v>0</v>
      </c>
      <c r="H15">
        <f ca="1"/>
        <v>1.3108302212008059E-2</v>
      </c>
      <c r="I15">
        <f ca="1"/>
        <v>3.6527145681406205E-3</v>
      </c>
      <c r="J15">
        <f ca="1"/>
        <v>3.7864322848303394E-4</v>
      </c>
      <c r="K15">
        <f ca="1"/>
        <v>0</v>
      </c>
      <c r="L15">
        <f ca="1"/>
        <v>0.11851079484520877</v>
      </c>
      <c r="M15">
        <f ca="1"/>
        <v>9.0662033521215069</v>
      </c>
      <c r="N15">
        <f ca="1"/>
        <v>1.2319309299729759E-2</v>
      </c>
      <c r="O15">
        <f ca="1"/>
        <v>0</v>
      </c>
      <c r="P15">
        <f ca="1"/>
        <v>9.1970334562664462</v>
      </c>
      <c r="Q15">
        <f ca="1"/>
        <v>31.825049654468529</v>
      </c>
    </row>
    <row r="16" spans="1:17">
      <c r="A16" s="2">
        <f ca="1"/>
        <v>15</v>
      </c>
      <c r="B16" s="4">
        <f ca="1"/>
        <v>-0.90508474576271181</v>
      </c>
      <c r="C16" s="4">
        <f ca="1"/>
        <v>3.5000000000000001E-3</v>
      </c>
      <c r="D16" s="4">
        <f ca="1"/>
        <v>1.5202528009192778E-2</v>
      </c>
      <c r="E16" s="4">
        <f ca="1"/>
        <v>8.6871588623958687</v>
      </c>
      <c r="F16" s="4">
        <f ca="1"/>
        <v>2482.0453892559613</v>
      </c>
      <c r="G16">
        <f ca="1"/>
        <v>0</v>
      </c>
      <c r="H16">
        <f ca="1"/>
        <v>1.5202528009192778E-2</v>
      </c>
      <c r="I16">
        <f ca="1"/>
        <v>3.6535619567851494E-3</v>
      </c>
      <c r="J16">
        <f ca="1"/>
        <v>4.3223538421360516E-4</v>
      </c>
      <c r="K16">
        <f ca="1"/>
        <v>0</v>
      </c>
      <c r="L16">
        <f ca="1"/>
        <v>0.12106298634035691</v>
      </c>
      <c r="M16">
        <f ca="1"/>
        <v>9.068306609199567</v>
      </c>
      <c r="N16">
        <f ca="1"/>
        <v>1.6309695324050005E-2</v>
      </c>
      <c r="O16">
        <f ca="1"/>
        <v>0</v>
      </c>
      <c r="P16">
        <f ca="1"/>
        <v>9.2056792908639746</v>
      </c>
      <c r="Q16">
        <f ca="1"/>
        <v>37.689116161384845</v>
      </c>
    </row>
    <row r="17" spans="1:17">
      <c r="A17" s="2">
        <f ca="1"/>
        <v>16</v>
      </c>
      <c r="B17" s="4">
        <f ca="1"/>
        <v>-0.89830508474576276</v>
      </c>
      <c r="C17" s="4">
        <f ca="1"/>
        <v>3.7499999999999999E-3</v>
      </c>
      <c r="D17" s="4">
        <f ca="1"/>
        <v>1.745188164320596E-2</v>
      </c>
      <c r="E17" s="4">
        <f ca="1"/>
        <v>9.3076702097098494</v>
      </c>
      <c r="F17" s="4">
        <f ca="1"/>
        <v>2482.0453892559613</v>
      </c>
      <c r="G17">
        <f ca="1"/>
        <v>0</v>
      </c>
      <c r="H17">
        <f ca="1"/>
        <v>1.745188164320596E-2</v>
      </c>
      <c r="I17">
        <f ca="1"/>
        <v>3.6545909212149464E-3</v>
      </c>
      <c r="J17">
        <f ca="1"/>
        <v>4.8972809609676752E-4</v>
      </c>
      <c r="K17">
        <f ca="1"/>
        <v>0</v>
      </c>
      <c r="L17">
        <f ca="1"/>
        <v>0.12380422905736783</v>
      </c>
      <c r="M17">
        <f ca="1"/>
        <v>9.0708605456182543</v>
      </c>
      <c r="N17">
        <f ca="1"/>
        <v>2.1213239671515199E-2</v>
      </c>
      <c r="O17">
        <f ca="1"/>
        <v>0</v>
      </c>
      <c r="P17">
        <f ca="1"/>
        <v>9.2158780143471386</v>
      </c>
      <c r="Q17">
        <f ca="1"/>
        <v>44.373082761278937</v>
      </c>
    </row>
    <row r="18" spans="1:17">
      <c r="A18" s="2">
        <f ca="1"/>
        <v>17</v>
      </c>
      <c r="B18" s="4">
        <f ca="1"/>
        <v>-0.89152542372881349</v>
      </c>
      <c r="C18" s="4">
        <f ca="1"/>
        <v>4.0000000000000001E-3</v>
      </c>
      <c r="D18" s="4">
        <f ca="1"/>
        <v>1.9856363114047711E-2</v>
      </c>
      <c r="E18" s="4">
        <f ca="1"/>
        <v>9.9281815570238496</v>
      </c>
      <c r="F18" s="4">
        <f ca="1"/>
        <v>2482.0453892559613</v>
      </c>
      <c r="G18">
        <f ca="1"/>
        <v>0</v>
      </c>
      <c r="H18">
        <f ca="1"/>
        <v>1.9856363114047711E-2</v>
      </c>
      <c r="I18">
        <f ca="1"/>
        <v>3.6558513628223909E-3</v>
      </c>
      <c r="J18">
        <f ca="1"/>
        <v>5.5108304629943494E-4</v>
      </c>
      <c r="K18">
        <f ca="1"/>
        <v>0</v>
      </c>
      <c r="L18">
        <f ca="1"/>
        <v>0.12671701908204025</v>
      </c>
      <c r="M18">
        <f ca="1"/>
        <v>9.0739890188984376</v>
      </c>
      <c r="N18">
        <f ca="1"/>
        <v>2.7159794264136786E-2</v>
      </c>
      <c r="O18">
        <f ca="1"/>
        <v>0</v>
      </c>
      <c r="P18">
        <f ca="1"/>
        <v>9.2278658322446141</v>
      </c>
      <c r="Q18">
        <f ca="1"/>
        <v>51.832288427103592</v>
      </c>
    </row>
    <row r="19" spans="1:17">
      <c r="A19" s="2">
        <f ca="1"/>
        <v>18</v>
      </c>
      <c r="B19" s="4">
        <f ca="1"/>
        <v>-0.88474576271186445</v>
      </c>
      <c r="C19" s="4">
        <f ca="1"/>
        <v>4.2500000000000003E-3</v>
      </c>
      <c r="D19" s="4">
        <f ca="1"/>
        <v>2.2415972421717882E-2</v>
      </c>
      <c r="E19" s="4">
        <f ca="1"/>
        <v>10.54869290433783</v>
      </c>
      <c r="F19" s="4">
        <f ca="1"/>
        <v>2482.0453892559613</v>
      </c>
      <c r="G19">
        <f ca="1"/>
        <v>0</v>
      </c>
      <c r="H19">
        <f ca="1"/>
        <v>2.2415972421717882E-2</v>
      </c>
      <c r="I19">
        <f ca="1"/>
        <v>3.6573414441838899E-3</v>
      </c>
      <c r="J19">
        <f ca="1"/>
        <v>6.1629286046008952E-4</v>
      </c>
      <c r="K19">
        <f ca="1"/>
        <v>0</v>
      </c>
      <c r="L19">
        <f ca="1"/>
        <v>0.12981772010397352</v>
      </c>
      <c r="M19">
        <f ca="1"/>
        <v>9.0776874684713622</v>
      </c>
      <c r="N19">
        <f ca="1"/>
        <v>3.4288969985353621E-2</v>
      </c>
      <c r="O19">
        <f ca="1"/>
        <v>0</v>
      </c>
      <c r="P19">
        <f ca="1"/>
        <v>9.2417941585606904</v>
      </c>
      <c r="Q19">
        <f ca="1"/>
        <v>60.142842294592157</v>
      </c>
    </row>
    <row r="20" spans="1:17">
      <c r="A20" s="2">
        <f ca="1"/>
        <v>19</v>
      </c>
      <c r="B20" s="4">
        <f ca="1"/>
        <v>-0.87796610169491518</v>
      </c>
      <c r="C20" s="4">
        <f ca="1"/>
        <v>4.5000000000000005E-3</v>
      </c>
      <c r="D20" s="4">
        <f ca="1"/>
        <v>2.5130709566216634E-2</v>
      </c>
      <c r="E20" s="4">
        <f ca="1"/>
        <v>11.169204251651832</v>
      </c>
      <c r="F20" s="4">
        <f ca="1"/>
        <v>2482.0453892559613</v>
      </c>
      <c r="G20">
        <f ca="1"/>
        <v>0</v>
      </c>
      <c r="H20">
        <f ca="1"/>
        <v>2.5130709566216634E-2</v>
      </c>
      <c r="I20">
        <f ca="1"/>
        <v>3.6591124354119009E-3</v>
      </c>
      <c r="J20">
        <f ca="1"/>
        <v>6.8532868754868999E-4</v>
      </c>
      <c r="K20">
        <f ca="1"/>
        <v>0</v>
      </c>
      <c r="L20">
        <f ca="1"/>
        <v>0.13310634239996344</v>
      </c>
      <c r="M20">
        <f ca="1"/>
        <v>9.0820831490832603</v>
      </c>
      <c r="N20">
        <f ca="1"/>
        <v>4.2747761908686385E-2</v>
      </c>
      <c r="O20">
        <f ca="1"/>
        <v>0</v>
      </c>
      <c r="P20">
        <f ca="1"/>
        <v>9.2579372533919102</v>
      </c>
      <c r="Q20">
        <f ca="1"/>
        <v>69.371780868468903</v>
      </c>
    </row>
    <row r="21" spans="1:17">
      <c r="A21" s="2">
        <f ca="1"/>
        <v>20</v>
      </c>
      <c r="B21" s="4">
        <f ca="1"/>
        <v>-0.87118644067796613</v>
      </c>
      <c r="C21" s="4">
        <f ca="1"/>
        <v>4.7499999999999999E-3</v>
      </c>
      <c r="D21" s="4">
        <f ca="1"/>
        <v>2.8000574547543799E-2</v>
      </c>
      <c r="E21" s="4">
        <f ca="1"/>
        <v>11.789715598965811</v>
      </c>
      <c r="F21" s="4">
        <f ca="1"/>
        <v>2482.0453892559613</v>
      </c>
      <c r="G21">
        <f ca="1"/>
        <v>0</v>
      </c>
      <c r="H21">
        <f ca="1"/>
        <v>2.8000574547543799E-2</v>
      </c>
      <c r="I21">
        <f ca="1"/>
        <v>3.6611761722524544E-3</v>
      </c>
      <c r="J21">
        <f ca="1"/>
        <v>7.5816853757884606E-4</v>
      </c>
      <c r="K21">
        <f ca="1"/>
        <v>0</v>
      </c>
      <c r="L21">
        <f ca="1"/>
        <v>0.13658288597000984</v>
      </c>
      <c r="M21">
        <f ca="1"/>
        <v>9.0872054375929938</v>
      </c>
      <c r="N21">
        <f ca="1"/>
        <v>5.2691725431921951E-2</v>
      </c>
      <c r="O21">
        <f ca="1"/>
        <v>0</v>
      </c>
      <c r="P21">
        <f ca="1"/>
        <v>9.2764800489949248</v>
      </c>
      <c r="Q21">
        <f ca="1"/>
        <v>79.58639248628792</v>
      </c>
    </row>
    <row r="22" spans="1:17">
      <c r="A22" s="2">
        <f ca="1"/>
        <v>21</v>
      </c>
      <c r="B22" s="4">
        <f ca="1"/>
        <v>-0.86440677966101698</v>
      </c>
      <c r="C22" s="4">
        <f ca="1"/>
        <v>5.0000000000000001E-3</v>
      </c>
      <c r="D22" s="4">
        <f ca="1"/>
        <v>3.1025567365699495E-2</v>
      </c>
      <c r="E22" s="4">
        <f ca="1"/>
        <v>12.410226946279803</v>
      </c>
      <c r="F22" s="4">
        <f ca="1"/>
        <v>2482.0453892559613</v>
      </c>
      <c r="G22">
        <f ca="1"/>
        <v>0</v>
      </c>
      <c r="H22">
        <f ca="1"/>
        <v>3.1025567365699495E-2</v>
      </c>
      <c r="I22">
        <f ca="1"/>
        <v>3.6635906653125863E-3</v>
      </c>
      <c r="J22">
        <f ca="1"/>
        <v>8.3479282876491011E-4</v>
      </c>
      <c r="K22">
        <f ca="1"/>
        <v>0</v>
      </c>
      <c r="L22">
        <f ca="1"/>
        <v>0.14024735081411285</v>
      </c>
      <c r="M22">
        <f ca="1"/>
        <v>9.093198318960285</v>
      </c>
      <c r="N22">
        <f ca="1"/>
        <v>6.4284779860657171E-2</v>
      </c>
      <c r="O22">
        <f ca="1"/>
        <v>0</v>
      </c>
      <c r="P22">
        <f ca="1"/>
        <v>9.2977304496350541</v>
      </c>
      <c r="Q22">
        <f ca="1"/>
        <v>90.850557415844605</v>
      </c>
    </row>
    <row r="23" spans="1:17">
      <c r="A23" s="2">
        <f ca="1"/>
        <v>22</v>
      </c>
      <c r="B23" s="4">
        <f ca="1"/>
        <v>-0.85762711864406782</v>
      </c>
      <c r="C23" s="4">
        <f ca="1"/>
        <v>5.2500000000000003E-3</v>
      </c>
      <c r="D23" s="4">
        <f ca="1"/>
        <v>3.4205688020683703E-2</v>
      </c>
      <c r="E23" s="4">
        <f ca="1"/>
        <v>13.030738293593794</v>
      </c>
      <c r="F23" s="4">
        <f ca="1"/>
        <v>2482.0453892559613</v>
      </c>
      <c r="G23">
        <f ca="1"/>
        <v>0</v>
      </c>
      <c r="H23">
        <f ca="1"/>
        <v>3.4205688020683703E-2</v>
      </c>
      <c r="I23">
        <f ca="1"/>
        <v>3.666375803295346E-3</v>
      </c>
      <c r="J23">
        <f ca="1"/>
        <v>9.1512801701907189E-4</v>
      </c>
      <c r="K23">
        <f ca="1"/>
        <v>0</v>
      </c>
      <c r="L23">
        <f ca="1"/>
        <v>0.14409973693227243</v>
      </c>
      <c r="M23">
        <f ca="1"/>
        <v>9.1001111578488345</v>
      </c>
      <c r="N23">
        <f ca="1"/>
        <v>7.7694432921741122E-2</v>
      </c>
      <c r="O23">
        <f ca="1"/>
        <v>0</v>
      </c>
      <c r="P23">
        <f ca="1"/>
        <v>9.3219053277028472</v>
      </c>
      <c r="Q23">
        <f ca="1"/>
        <v>103.05185972743666</v>
      </c>
    </row>
    <row r="24" spans="1:17">
      <c r="A24" s="2">
        <f ca="1"/>
        <v>23</v>
      </c>
      <c r="B24" s="4">
        <f ca="1"/>
        <v>-0.85084745762711866</v>
      </c>
      <c r="C24" s="4">
        <f ca="1"/>
        <v>5.4999999999999997E-3</v>
      </c>
      <c r="D24" s="4">
        <f ca="1"/>
        <v>3.7540936512496403E-2</v>
      </c>
      <c r="E24" s="4">
        <f ca="1"/>
        <v>13.651249640907784</v>
      </c>
      <c r="F24" s="4">
        <f ca="1"/>
        <v>2482.0453892559613</v>
      </c>
      <c r="G24">
        <f ca="1"/>
        <v>0</v>
      </c>
      <c r="H24">
        <f ca="1"/>
        <v>3.7540936512496403E-2</v>
      </c>
      <c r="I24">
        <f ca="1"/>
        <v>3.6695686765431577E-3</v>
      </c>
      <c r="J24">
        <f ca="1"/>
        <v>9.9920754813382826E-4</v>
      </c>
      <c r="K24">
        <f ca="1"/>
        <v>0</v>
      </c>
      <c r="L24">
        <f ca="1"/>
        <v>0.14811589627189709</v>
      </c>
      <c r="M24">
        <f ca="1"/>
        <v>9.1080360141720451</v>
      </c>
      <c r="N24">
        <f ca="1"/>
        <v>9.3104469054830621E-2</v>
      </c>
      <c r="O24">
        <f ca="1"/>
        <v>0</v>
      </c>
      <c r="P24">
        <f ca="1"/>
        <v>9.3492563794987724</v>
      </c>
      <c r="Q24">
        <f ca="1"/>
        <v>116.35040028314957</v>
      </c>
    </row>
    <row r="25" spans="1:17">
      <c r="A25" s="2">
        <f ca="1"/>
        <v>24</v>
      </c>
      <c r="B25" s="4">
        <f ca="1"/>
        <v>-0.84406779661016951</v>
      </c>
      <c r="C25" s="4">
        <f ca="1"/>
        <v>5.7499999999999999E-3</v>
      </c>
      <c r="D25" s="4">
        <f ca="1"/>
        <v>4.103131284113759E-2</v>
      </c>
      <c r="E25" s="4">
        <f ca="1"/>
        <v>14.271760988221775</v>
      </c>
      <c r="F25" s="4">
        <f ca="1"/>
        <v>2482.0453892559613</v>
      </c>
      <c r="G25">
        <f ca="1"/>
        <v>0</v>
      </c>
      <c r="H25">
        <f ca="1"/>
        <v>4.103131284113759E-2</v>
      </c>
      <c r="I25">
        <f ca="1"/>
        <v>3.6732094500361704E-3</v>
      </c>
      <c r="J25">
        <f ca="1"/>
        <v>1.0869412830995125E-3</v>
      </c>
      <c r="K25">
        <f ca="1"/>
        <v>0</v>
      </c>
      <c r="L25">
        <f ca="1"/>
        <v>0.15231213004605901</v>
      </c>
      <c r="M25">
        <f ca="1"/>
        <v>9.1170725792337013</v>
      </c>
      <c r="N25">
        <f ca="1"/>
        <v>0.1106958185646605</v>
      </c>
      <c r="O25">
        <f ca="1"/>
        <v>0</v>
      </c>
      <c r="P25">
        <f ca="1"/>
        <v>9.3800805278444219</v>
      </c>
      <c r="Q25">
        <f ca="1"/>
        <v>130.83473274859247</v>
      </c>
    </row>
    <row r="26" spans="1:17">
      <c r="A26" s="2">
        <f ca="1"/>
        <v>25</v>
      </c>
      <c r="B26" s="4">
        <f ca="1"/>
        <v>-0.83728813559322035</v>
      </c>
      <c r="C26" s="4">
        <f ca="1"/>
        <v>6.0000000000000001E-3</v>
      </c>
      <c r="D26" s="4">
        <f ca="1"/>
        <v>4.4676817006607292E-2</v>
      </c>
      <c r="E26" s="4">
        <f ca="1"/>
        <v>14.892272335535766</v>
      </c>
      <c r="F26" s="4">
        <f ca="1"/>
        <v>2482.0453892559613</v>
      </c>
      <c r="G26">
        <f ca="1"/>
        <v>0</v>
      </c>
      <c r="H26">
        <f ca="1"/>
        <v>4.4676817006607292E-2</v>
      </c>
      <c r="I26">
        <f ca="1"/>
        <v>3.677338212352207E-3</v>
      </c>
      <c r="J26">
        <f ca="1"/>
        <v>1.1782727066470648E-3</v>
      </c>
      <c r="K26">
        <f ca="1"/>
        <v>0</v>
      </c>
      <c r="L26">
        <f ca="1"/>
        <v>0.15669486309907257</v>
      </c>
      <c r="M26">
        <f ca="1"/>
        <v>9.1273203547035546</v>
      </c>
      <c r="N26">
        <f ca="1"/>
        <v>0.13065852807044151</v>
      </c>
      <c r="O26">
        <f ca="1"/>
        <v>0</v>
      </c>
      <c r="P26">
        <f ca="1"/>
        <v>9.4146737458730687</v>
      </c>
      <c r="Q26">
        <f ca="1"/>
        <v>146.52676869400224</v>
      </c>
    </row>
    <row r="27" spans="1:17">
      <c r="A27" s="2">
        <f ca="1"/>
        <v>26</v>
      </c>
      <c r="B27" s="4">
        <f ca="1"/>
        <v>-0.83050847457627119</v>
      </c>
      <c r="C27" s="4">
        <f ca="1"/>
        <v>6.2500000000000003E-3</v>
      </c>
      <c r="D27" s="4">
        <f ca="1"/>
        <v>4.8477449008905486E-2</v>
      </c>
      <c r="E27" s="4">
        <f ca="1"/>
        <v>15.512783682849758</v>
      </c>
      <c r="F27" s="4">
        <f ca="1"/>
        <v>2482.0453892559613</v>
      </c>
      <c r="G27">
        <f ca="1"/>
        <v>0</v>
      </c>
      <c r="H27">
        <f ca="1"/>
        <v>4.8477449008905486E-2</v>
      </c>
      <c r="I27">
        <f ca="1"/>
        <v>3.6819944163490764E-3</v>
      </c>
      <c r="J27">
        <f ca="1"/>
        <v>1.2732583220112809E-3</v>
      </c>
      <c r="K27">
        <f ca="1"/>
        <v>0</v>
      </c>
      <c r="L27">
        <f ca="1"/>
        <v>0.16126409543093778</v>
      </c>
      <c r="M27">
        <f ca="1"/>
        <v>9.1388772643654193</v>
      </c>
      <c r="N27">
        <f ca="1"/>
        <v>0.15320255239506755</v>
      </c>
      <c r="O27">
        <f ca="1"/>
        <v>0</v>
      </c>
      <c r="P27">
        <f ca="1"/>
        <v>9.4533439121914231</v>
      </c>
      <c r="Q27">
        <f ca="1"/>
        <v>163.43958944448275</v>
      </c>
    </row>
    <row r="28" spans="1:17">
      <c r="A28" s="2">
        <f ca="1"/>
        <v>27</v>
      </c>
      <c r="B28" s="4">
        <f ca="1"/>
        <v>-0.82372881355932204</v>
      </c>
      <c r="C28" s="4">
        <f ca="1"/>
        <v>6.5000000000000006E-3</v>
      </c>
      <c r="D28" s="4">
        <f ca="1"/>
        <v>5.2433208848032174E-2</v>
      </c>
      <c r="E28" s="4">
        <f ca="1"/>
        <v>16.133295030163744</v>
      </c>
      <c r="F28" s="4">
        <f ca="1"/>
        <v>2482.0453892559613</v>
      </c>
      <c r="G28">
        <f ca="1"/>
        <v>0</v>
      </c>
      <c r="H28">
        <f ca="1"/>
        <v>5.2433208848032174E-2</v>
      </c>
      <c r="I28">
        <f ca="1"/>
        <v>3.6872212455247287E-3</v>
      </c>
      <c r="J28">
        <f ca="1"/>
        <v>1.3717675494880565E-3</v>
      </c>
      <c r="K28">
        <f ca="1"/>
        <v>0</v>
      </c>
      <c r="L28">
        <f ca="1"/>
        <v>0.16601901940478295</v>
      </c>
      <c r="M28">
        <f ca="1"/>
        <v>9.1518504916212748</v>
      </c>
      <c r="N28">
        <f ca="1"/>
        <v>0.17852402956925345</v>
      </c>
      <c r="O28">
        <f ca="1"/>
        <v>0</v>
      </c>
      <c r="P28">
        <f ca="1"/>
        <v>9.4963935405953102</v>
      </c>
      <c r="Q28">
        <f ca="1"/>
        <v>181.56546131806209</v>
      </c>
    </row>
    <row r="29" spans="1:17">
      <c r="A29" s="2">
        <f ca="1"/>
        <v>28</v>
      </c>
      <c r="B29" s="4">
        <f ca="1"/>
        <v>-0.81694915254237288</v>
      </c>
      <c r="C29" s="4">
        <f ca="1"/>
        <v>6.7499999999999999E-3</v>
      </c>
      <c r="D29" s="4">
        <f ca="1"/>
        <v>5.6544096523987362E-2</v>
      </c>
      <c r="E29" s="4">
        <f ca="1"/>
        <v>16.753806377477737</v>
      </c>
      <c r="F29" s="4">
        <f ca="1"/>
        <v>2482.0453892559613</v>
      </c>
      <c r="G29">
        <f ca="1"/>
        <v>0</v>
      </c>
      <c r="H29">
        <f ca="1"/>
        <v>5.6544096523987362E-2</v>
      </c>
      <c r="I29">
        <f ca="1"/>
        <v>3.6930774581267994E-3</v>
      </c>
      <c r="J29">
        <f ca="1"/>
        <v>1.4736881978793658E-3</v>
      </c>
      <c r="K29">
        <f ca="1"/>
        <v>0</v>
      </c>
      <c r="L29">
        <f ca="1"/>
        <v>0.17091597487994387</v>
      </c>
      <c r="M29">
        <f ca="1"/>
        <v>9.1663858771087483</v>
      </c>
      <c r="N29">
        <f ca="1"/>
        <v>0.20682479086176156</v>
      </c>
      <c r="O29">
        <f ca="1"/>
        <v>0</v>
      </c>
      <c r="P29">
        <f ca="1"/>
        <v>9.5441266428504541</v>
      </c>
      <c r="Q29">
        <f ca="1"/>
        <v>200.98253996006594</v>
      </c>
    </row>
    <row r="30" spans="1:17">
      <c r="A30" s="2">
        <f ca="1"/>
        <v>29</v>
      </c>
      <c r="B30" s="4">
        <f ca="1"/>
        <v>-0.81016949152542372</v>
      </c>
      <c r="C30" s="4">
        <f ca="1"/>
        <v>7.0000000000000001E-3</v>
      </c>
      <c r="D30" s="4">
        <f ca="1"/>
        <v>6.0810112036771044E-2</v>
      </c>
      <c r="E30" s="4">
        <f ca="1"/>
        <v>17.374317724791727</v>
      </c>
      <c r="F30" s="4">
        <f ca="1"/>
        <v>2482.0453892559613</v>
      </c>
      <c r="G30">
        <f ca="1"/>
        <v>0</v>
      </c>
      <c r="H30">
        <f ca="1"/>
        <v>6.0810112036771044E-2</v>
      </c>
      <c r="I30">
        <f ca="1"/>
        <v>3.6995852996091704E-3</v>
      </c>
      <c r="J30">
        <f ca="1"/>
        <v>1.5791624814962704E-3</v>
      </c>
      <c r="K30">
        <f ca="1"/>
        <v>0</v>
      </c>
      <c r="L30">
        <f ca="1"/>
        <v>0.17599772112775239</v>
      </c>
      <c r="M30">
        <f ca="1"/>
        <v>9.1825386350540761</v>
      </c>
      <c r="N30">
        <f ca="1"/>
        <v>0.23834845439351421</v>
      </c>
      <c r="O30">
        <f ca="1"/>
        <v>0</v>
      </c>
      <c r="P30">
        <f ca="1"/>
        <v>9.596884810575343</v>
      </c>
      <c r="Q30">
        <f ca="1"/>
        <v>221.80161429039893</v>
      </c>
    </row>
    <row r="31" spans="1:17">
      <c r="A31" s="2">
        <f ca="1"/>
        <v>30</v>
      </c>
      <c r="B31" s="4">
        <f ca="1"/>
        <v>-0.80338983050847457</v>
      </c>
      <c r="C31" s="4">
        <f ca="1"/>
        <v>7.2500000000000004E-3</v>
      </c>
      <c r="D31" s="4">
        <f ca="1"/>
        <v>6.5231255386383233E-2</v>
      </c>
      <c r="E31" s="4">
        <f ca="1"/>
        <v>17.99482907210572</v>
      </c>
      <c r="F31" s="4">
        <f ca="1"/>
        <v>2482.0453892559613</v>
      </c>
      <c r="G31">
        <f ca="1"/>
        <v>0</v>
      </c>
      <c r="H31">
        <f ca="1"/>
        <v>6.5231255386383233E-2</v>
      </c>
      <c r="I31">
        <f ca="1"/>
        <v>3.7068118033977992E-3</v>
      </c>
      <c r="J31">
        <f ca="1"/>
        <v>1.6879329076936948E-3</v>
      </c>
      <c r="K31">
        <f ca="1"/>
        <v>0</v>
      </c>
      <c r="L31">
        <f ca="1"/>
        <v>0.18126425814820851</v>
      </c>
      <c r="M31">
        <f ca="1"/>
        <v>9.2004751454630824</v>
      </c>
      <c r="N31">
        <f ca="1"/>
        <v>0.27328804638436238</v>
      </c>
      <c r="O31">
        <f ca="1"/>
        <v>0</v>
      </c>
      <c r="P31">
        <f ca="1"/>
        <v>9.6550274499956537</v>
      </c>
      <c r="Q31">
        <f ca="1"/>
        <v>243.94579368388511</v>
      </c>
    </row>
    <row r="32" spans="1:17">
      <c r="A32" s="2">
        <f ca="1"/>
        <v>31</v>
      </c>
      <c r="B32" s="4">
        <f ca="1"/>
        <v>-0.79661016949152541</v>
      </c>
      <c r="C32" s="4">
        <f ca="1"/>
        <v>7.4999999999999997E-3</v>
      </c>
      <c r="D32" s="4">
        <f ca="1"/>
        <v>6.9807526572823922E-2</v>
      </c>
      <c r="E32" s="4">
        <f ca="1"/>
        <v>18.615340419419709</v>
      </c>
      <c r="F32" s="4">
        <f ca="1"/>
        <v>2482.0453892559613</v>
      </c>
      <c r="G32">
        <f ca="1"/>
        <v>0</v>
      </c>
      <c r="H32">
        <f ca="1"/>
        <v>6.9807526572823922E-2</v>
      </c>
      <c r="I32">
        <f ca="1"/>
        <v>3.7147841738339434E-3</v>
      </c>
      <c r="J32">
        <f ca="1"/>
        <v>1.8000079744266843E-3</v>
      </c>
      <c r="K32">
        <f ca="1"/>
        <v>0</v>
      </c>
      <c r="L32">
        <f ca="1"/>
        <v>0.18671558594131221</v>
      </c>
      <c r="M32">
        <f ca="1"/>
        <v>9.2202629307455553</v>
      </c>
      <c r="N32">
        <f ca="1"/>
        <v>0.3118791907304167</v>
      </c>
      <c r="O32">
        <f ca="1"/>
        <v>0</v>
      </c>
      <c r="P32">
        <f ca="1"/>
        <v>9.7188577074172855</v>
      </c>
      <c r="Q32">
        <f ca="1"/>
        <v>267.48655198997562</v>
      </c>
    </row>
    <row r="33" spans="1:17">
      <c r="A33" s="2">
        <f ca="1"/>
        <v>32</v>
      </c>
      <c r="B33" s="4">
        <f ca="1"/>
        <v>-0.78983050847457625</v>
      </c>
      <c r="C33" s="4">
        <f ca="1"/>
        <v>7.7499999999999999E-3</v>
      </c>
      <c r="D33" s="4">
        <f ca="1"/>
        <v>7.4538925596093097E-2</v>
      </c>
      <c r="E33" s="4">
        <f ca="1"/>
        <v>19.235851766733699</v>
      </c>
      <c r="F33" s="4">
        <f ca="1"/>
        <v>2482.0453892559613</v>
      </c>
      <c r="G33">
        <f ca="1"/>
        <v>0</v>
      </c>
      <c r="H33">
        <f ca="1"/>
        <v>7.4538925596093097E-2</v>
      </c>
      <c r="I33">
        <f ca="1"/>
        <v>3.7235819666106879E-3</v>
      </c>
      <c r="J33">
        <f ca="1"/>
        <v>1.9154752856129257E-3</v>
      </c>
      <c r="K33">
        <f ca="1"/>
        <v>0</v>
      </c>
      <c r="L33">
        <f ca="1"/>
        <v>0.19229111365249132</v>
      </c>
      <c r="M33">
        <f ca="1"/>
        <v>9.2420994517427033</v>
      </c>
      <c r="N33">
        <f ca="1"/>
        <v>0.3543801605954463</v>
      </c>
      <c r="O33">
        <f ca="1"/>
        <v>0</v>
      </c>
      <c r="P33">
        <f ca="1"/>
        <v>9.7887707259906414</v>
      </c>
      <c r="Q33">
        <f ca="1"/>
        <v>292.3893695738646</v>
      </c>
    </row>
    <row r="34" spans="1:17">
      <c r="A34" s="2">
        <f ca="1"/>
        <v>33</v>
      </c>
      <c r="B34" s="4">
        <f ca="1"/>
        <v>-0.7830508474576271</v>
      </c>
      <c r="C34" s="4">
        <f ca="1"/>
        <v>8.0000000000000002E-3</v>
      </c>
      <c r="D34" s="4">
        <f ca="1"/>
        <v>7.9425452456190759E-2</v>
      </c>
      <c r="E34" s="4">
        <f ca="1"/>
        <v>19.856363114047692</v>
      </c>
      <c r="F34" s="4">
        <f ca="1"/>
        <v>2482.0453892559613</v>
      </c>
      <c r="G34">
        <f ca="1"/>
        <v>0</v>
      </c>
      <c r="H34">
        <f ca="1"/>
        <v>7.9425452456190759E-2</v>
      </c>
      <c r="I34">
        <f ca="1"/>
        <v>3.7332328259989883E-3</v>
      </c>
      <c r="J34">
        <f ca="1"/>
        <v>2.0338572815108797E-3</v>
      </c>
      <c r="K34">
        <f ca="1"/>
        <v>0</v>
      </c>
      <c r="L34">
        <f ca="1"/>
        <v>0.19804937082081475</v>
      </c>
      <c r="M34">
        <f ca="1"/>
        <v>9.2660533227897908</v>
      </c>
      <c r="N34">
        <f ca="1"/>
        <v>0.40094969859361196</v>
      </c>
      <c r="O34">
        <f ca="1"/>
        <v>0</v>
      </c>
      <c r="P34">
        <f ca="1"/>
        <v>9.8650523922042179</v>
      </c>
      <c r="Q34">
        <f ca="1"/>
        <v>318.85172989901963</v>
      </c>
    </row>
    <row r="35" spans="1:17">
      <c r="A35" s="2">
        <f ca="1"/>
        <v>34</v>
      </c>
      <c r="B35" s="4">
        <f ca="1"/>
        <v>-0.77627118644067794</v>
      </c>
      <c r="C35" s="4">
        <f ca="1"/>
        <v>8.2500000000000004E-3</v>
      </c>
      <c r="D35" s="4">
        <f ca="1"/>
        <v>8.4467107153116935E-2</v>
      </c>
      <c r="E35" s="4">
        <f ca="1"/>
        <v>20.476874461361678</v>
      </c>
      <c r="F35" s="4">
        <f ca="1"/>
        <v>2482.0453892559613</v>
      </c>
      <c r="G35">
        <f ca="1"/>
        <v>0</v>
      </c>
      <c r="H35">
        <f ca="1"/>
        <v>8.4467107153116935E-2</v>
      </c>
      <c r="I35">
        <f ca="1"/>
        <v>3.7437939135161855E-3</v>
      </c>
      <c r="J35">
        <f ca="1"/>
        <v>2.1556745347477268E-3</v>
      </c>
      <c r="K35">
        <f ca="1"/>
        <v>0</v>
      </c>
      <c r="L35">
        <f ca="1"/>
        <v>0.20399042980400564</v>
      </c>
      <c r="M35">
        <f ca="1"/>
        <v>9.2922664213673798</v>
      </c>
      <c r="N35">
        <f ca="1"/>
        <v>0.45193973976876589</v>
      </c>
      <c r="O35">
        <f ca="1"/>
        <v>0</v>
      </c>
      <c r="P35">
        <f ca="1"/>
        <v>9.9481965909401513</v>
      </c>
      <c r="Q35">
        <f ca="1"/>
        <v>346.66908067490323</v>
      </c>
    </row>
    <row r="36" spans="1:17">
      <c r="A36" s="2">
        <f ca="1"/>
        <v>35</v>
      </c>
      <c r="B36" s="4">
        <f ca="1"/>
        <v>-0.76949152542372878</v>
      </c>
      <c r="C36" s="4">
        <f ca="1"/>
        <v>8.5000000000000006E-3</v>
      </c>
      <c r="D36" s="4">
        <f ca="1"/>
        <v>8.9663889686871612E-2</v>
      </c>
      <c r="E36" s="4">
        <f ca="1"/>
        <v>21.097385808675671</v>
      </c>
      <c r="F36" s="4">
        <f ca="1"/>
        <v>2482.0453892559613</v>
      </c>
      <c r="G36">
        <f ca="1"/>
        <v>0</v>
      </c>
      <c r="H36">
        <f ca="1"/>
        <v>8.9663889686871612E-2</v>
      </c>
      <c r="I36">
        <f ca="1"/>
        <v>3.7553196236448779E-3</v>
      </c>
      <c r="J36">
        <f ca="1"/>
        <v>2.2800908204069089E-3</v>
      </c>
      <c r="K36">
        <f ca="1"/>
        <v>0</v>
      </c>
      <c r="L36">
        <f ca="1"/>
        <v>0.2100793191495571</v>
      </c>
      <c r="M36">
        <f ca="1"/>
        <v>9.3208737570502009</v>
      </c>
      <c r="N36">
        <f ca="1"/>
        <v>0.50743385634191274</v>
      </c>
      <c r="O36">
        <f ca="1"/>
        <v>0</v>
      </c>
      <c r="P36">
        <f ca="1"/>
        <v>10.03838693254167</v>
      </c>
      <c r="Q36">
        <f ca="1"/>
        <v>375.8470426573478</v>
      </c>
    </row>
    <row r="37" spans="1:17">
      <c r="A37" s="2">
        <f ca="1"/>
        <v>36</v>
      </c>
      <c r="B37" s="4">
        <f ca="1"/>
        <v>-0.76271186440677963</v>
      </c>
      <c r="C37" s="4">
        <f ca="1"/>
        <v>8.7500000000000008E-3</v>
      </c>
      <c r="D37" s="4">
        <f ca="1"/>
        <v>9.5015800057454788E-2</v>
      </c>
      <c r="E37" s="4">
        <f ca="1"/>
        <v>21.717897155989661</v>
      </c>
      <c r="F37" s="4">
        <f ca="1"/>
        <v>2482.0453892559613</v>
      </c>
      <c r="G37">
        <f ca="1"/>
        <v>0</v>
      </c>
      <c r="H37">
        <f ca="1"/>
        <v>9.5015800057454788E-2</v>
      </c>
      <c r="I37">
        <f ca="1"/>
        <v>3.7678646698252453E-3</v>
      </c>
      <c r="J37">
        <f ca="1"/>
        <v>2.4076350462578808E-3</v>
      </c>
      <c r="K37">
        <f ca="1"/>
        <v>0</v>
      </c>
      <c r="L37">
        <f ca="1"/>
        <v>0.21630791303607672</v>
      </c>
      <c r="M37">
        <f ca="1"/>
        <v>9.3520111310801841</v>
      </c>
      <c r="N37">
        <f ca="1"/>
        <v>0.56780106815256415</v>
      </c>
      <c r="O37">
        <f ca="1"/>
        <v>0</v>
      </c>
      <c r="P37">
        <f ca="1"/>
        <v>10.136120112268825</v>
      </c>
      <c r="Q37">
        <f ca="1"/>
        <v>406.90182999655241</v>
      </c>
    </row>
    <row r="38" spans="1:17">
      <c r="A38" s="2">
        <f ca="1"/>
        <v>37</v>
      </c>
      <c r="B38" s="4">
        <f ca="1"/>
        <v>-0.75593220338983047</v>
      </c>
      <c r="C38" s="4">
        <f ca="1"/>
        <v>9.0000000000000011E-3</v>
      </c>
      <c r="D38" s="4">
        <f ca="1"/>
        <v>0.10052283826486645</v>
      </c>
      <c r="E38" s="4">
        <f ca="1"/>
        <v>22.338408503303654</v>
      </c>
      <c r="F38" s="4">
        <f ca="1"/>
        <v>2482.0453892559613</v>
      </c>
      <c r="G38">
        <f ca="1"/>
        <v>0</v>
      </c>
      <c r="H38">
        <f ca="1"/>
        <v>0.10052283826486645</v>
      </c>
      <c r="I38">
        <f ca="1"/>
        <v>3.7814831956192981E-3</v>
      </c>
      <c r="J38">
        <f ca="1"/>
        <v>2.5382852397475173E-3</v>
      </c>
      <c r="K38">
        <f ca="1"/>
        <v>0</v>
      </c>
      <c r="L38">
        <f ca="1"/>
        <v>0.22271704587582875</v>
      </c>
      <c r="M38">
        <f ca="1"/>
        <v>9.3858129302357778</v>
      </c>
      <c r="N38">
        <f ca="1"/>
        <v>0.63330787142834011</v>
      </c>
      <c r="O38">
        <f ca="1"/>
        <v>0</v>
      </c>
      <c r="P38">
        <f ca="1"/>
        <v>10.241837847539946</v>
      </c>
      <c r="Q38">
        <f ca="1"/>
        <v>439.1221511216774</v>
      </c>
    </row>
    <row r="39" spans="1:17">
      <c r="A39" s="2">
        <f ca="1"/>
        <v>38</v>
      </c>
      <c r="B39" s="4">
        <f ca="1"/>
        <v>-0.74915254237288131</v>
      </c>
      <c r="C39" s="4">
        <f ca="1"/>
        <v>9.2499999999999995E-3</v>
      </c>
      <c r="D39" s="4">
        <f ca="1"/>
        <v>0.10618500430910661</v>
      </c>
      <c r="E39" s="4">
        <f ca="1"/>
        <v>22.958919850617644</v>
      </c>
      <c r="F39" s="4">
        <f ca="1"/>
        <v>2482.0453892559613</v>
      </c>
      <c r="G39">
        <f ca="1"/>
        <v>0</v>
      </c>
      <c r="H39">
        <f ca="1"/>
        <v>0.10618500430910661</v>
      </c>
      <c r="I39">
        <f ca="1"/>
        <v>3.7962281902858795E-3</v>
      </c>
      <c r="J39">
        <f ca="1"/>
        <v>2.6711123543763492E-3</v>
      </c>
      <c r="K39">
        <f ca="1"/>
        <v>0</v>
      </c>
      <c r="L39">
        <f ca="1"/>
        <v>0.22928282295272887</v>
      </c>
      <c r="M39">
        <f ca="1"/>
        <v>9.4224106762625688</v>
      </c>
      <c r="N39">
        <f ca="1"/>
        <v>0.70398768861436478</v>
      </c>
      <c r="O39">
        <f ca="1"/>
        <v>0</v>
      </c>
      <c r="P39">
        <f ca="1"/>
        <v>10.355681187829664</v>
      </c>
      <c r="Q39">
        <f ca="1"/>
        <v>472.74985158318947</v>
      </c>
    </row>
    <row r="40" spans="1:17">
      <c r="A40" s="2">
        <f ca="1"/>
        <v>39</v>
      </c>
      <c r="B40" s="4">
        <f ca="1"/>
        <v>-0.74237288135593227</v>
      </c>
      <c r="C40" s="4">
        <f ca="1"/>
        <v>9.4999999999999998E-3</v>
      </c>
      <c r="D40" s="4">
        <f ca="1"/>
        <v>0.1120022981901752</v>
      </c>
      <c r="E40" s="4">
        <f ca="1"/>
        <v>23.579431197931623</v>
      </c>
      <c r="F40" s="4">
        <f ca="1"/>
        <v>2482.0453892559613</v>
      </c>
      <c r="G40">
        <f ca="1"/>
        <v>0</v>
      </c>
      <c r="H40">
        <f ca="1"/>
        <v>0.1120022981901752</v>
      </c>
      <c r="I40">
        <f ca="1"/>
        <v>3.8121626516056948E-3</v>
      </c>
      <c r="J40">
        <f ca="1"/>
        <v>2.8068651194704409E-3</v>
      </c>
      <c r="K40">
        <f ca="1"/>
        <v>0</v>
      </c>
      <c r="L40">
        <f ca="1"/>
        <v>0.23595816752418944</v>
      </c>
      <c r="M40">
        <f ca="1"/>
        <v>9.4619607325116935</v>
      </c>
      <c r="N40">
        <f ca="1"/>
        <v>0.78029387329565625</v>
      </c>
      <c r="O40">
        <f ca="1"/>
        <v>0</v>
      </c>
      <c r="P40">
        <f ca="1"/>
        <v>10.47821277333154</v>
      </c>
      <c r="Q40">
        <f ca="1"/>
        <v>508.23518961398719</v>
      </c>
    </row>
    <row r="41" spans="1:17">
      <c r="A41" s="2">
        <f ca="1"/>
        <v>40</v>
      </c>
      <c r="B41" s="4">
        <f ca="1"/>
        <v>-0.735593220338983</v>
      </c>
      <c r="C41" s="4">
        <f ca="1"/>
        <v>9.75E-3</v>
      </c>
      <c r="D41" s="4">
        <f ca="1"/>
        <v>0.11797471990807244</v>
      </c>
      <c r="E41" s="4">
        <f ca="1"/>
        <v>24.199942545245626</v>
      </c>
      <c r="F41" s="4">
        <f ca="1"/>
        <v>2482.0453892559613</v>
      </c>
      <c r="G41">
        <f ca="1"/>
        <v>0</v>
      </c>
      <c r="H41">
        <f ca="1"/>
        <v>0.11797471990807244</v>
      </c>
      <c r="I41">
        <f ca="1"/>
        <v>3.8293433785536101E-3</v>
      </c>
      <c r="J41">
        <f ca="1"/>
        <v>2.9451105786059014E-3</v>
      </c>
      <c r="K41">
        <f ca="1"/>
        <v>0</v>
      </c>
      <c r="L41">
        <f ca="1"/>
        <v>0.24281152128422248</v>
      </c>
      <c r="M41">
        <f ca="1"/>
        <v>9.5046040766168325</v>
      </c>
      <c r="N41">
        <f ca="1"/>
        <v>0.86238318473560249</v>
      </c>
      <c r="O41">
        <f ca="1"/>
        <v>0</v>
      </c>
      <c r="P41">
        <f ca="1"/>
        <v>10.609798782636657</v>
      </c>
      <c r="Q41">
        <f ca="1"/>
        <v>545.4012047437966</v>
      </c>
    </row>
    <row r="42" spans="1:17">
      <c r="A42" s="2">
        <f ca="1"/>
        <v>41</v>
      </c>
      <c r="B42" s="4">
        <f ca="1"/>
        <v>-0.72881355932203395</v>
      </c>
      <c r="C42" s="4">
        <f ca="1"/>
        <v>0.01</v>
      </c>
      <c r="D42" s="4">
        <f ca="1"/>
        <v>0.12410226946279798</v>
      </c>
      <c r="E42" s="4">
        <f ca="1"/>
        <v>24.820453892559605</v>
      </c>
      <c r="F42" s="4">
        <f ca="1"/>
        <v>2482.0453892559613</v>
      </c>
      <c r="G42">
        <f ca="1"/>
        <v>0</v>
      </c>
      <c r="H42">
        <f ca="1"/>
        <v>0.12410226946279798</v>
      </c>
      <c r="I42">
        <f ca="1"/>
        <v>3.8478170577308213E-3</v>
      </c>
      <c r="J42">
        <f ca="1"/>
        <v>3.0862461906048647E-3</v>
      </c>
      <c r="K42">
        <f ca="1"/>
        <v>0</v>
      </c>
      <c r="L42">
        <f ca="1"/>
        <v>0.24980819619349545</v>
      </c>
      <c r="M42">
        <f ca="1"/>
        <v>9.5504565868412232</v>
      </c>
      <c r="N42">
        <f ca="1"/>
        <v>0.95064859266872059</v>
      </c>
      <c r="O42">
        <f ca="1"/>
        <v>0</v>
      </c>
      <c r="P42">
        <f ca="1"/>
        <v>10.750913375703439</v>
      </c>
      <c r="Q42">
        <f ca="1"/>
        <v>583.38424552000788</v>
      </c>
    </row>
    <row r="43" spans="1:17">
      <c r="A43" s="2">
        <f ca="1"/>
        <v>42</v>
      </c>
      <c r="B43" s="4">
        <f ca="1"/>
        <v>-0.72203389830508469</v>
      </c>
      <c r="C43" s="4">
        <f ca="1"/>
        <v>1.025E-2</v>
      </c>
      <c r="D43" s="4">
        <f ca="1"/>
        <v>0.13038494685435226</v>
      </c>
      <c r="E43" s="4">
        <f ca="1"/>
        <v>25.440965239873609</v>
      </c>
      <c r="F43" s="4">
        <f ca="1"/>
        <v>2482.0453892559613</v>
      </c>
      <c r="G43">
        <f ca="1"/>
        <v>0</v>
      </c>
      <c r="H43">
        <f ca="1"/>
        <v>0.13038494685435226</v>
      </c>
      <c r="I43">
        <f ca="1"/>
        <v>3.867658447274738E-3</v>
      </c>
      <c r="J43">
        <f ca="1"/>
        <v>3.2287191975116048E-3</v>
      </c>
      <c r="K43">
        <f ca="1"/>
        <v>0</v>
      </c>
      <c r="L43">
        <f ca="1"/>
        <v>0.25690460373642621</v>
      </c>
      <c r="M43">
        <f ca="1"/>
        <v>9.5997038162751345</v>
      </c>
      <c r="N43">
        <f ca="1"/>
        <v>1.0448824853851002</v>
      </c>
      <c r="O43">
        <f ca="1"/>
        <v>0</v>
      </c>
      <c r="P43">
        <f ca="1"/>
        <v>10.901490905396662</v>
      </c>
      <c r="Q43">
        <f ca="1"/>
        <v>622.92155515747834</v>
      </c>
    </row>
    <row r="44" spans="1:17">
      <c r="A44" s="2">
        <f ca="1"/>
        <v>43</v>
      </c>
      <c r="B44" s="4">
        <f ca="1"/>
        <v>-0.71525423728813564</v>
      </c>
      <c r="C44" s="4">
        <f ca="1"/>
        <v>1.0500000000000001E-2</v>
      </c>
      <c r="D44" s="4">
        <f ca="1"/>
        <v>0.13682275208273481</v>
      </c>
      <c r="E44" s="4">
        <f ca="1"/>
        <v>26.061476587187588</v>
      </c>
      <c r="F44" s="4">
        <f ca="1"/>
        <v>2482.0453892559613</v>
      </c>
      <c r="G44">
        <f ca="1"/>
        <v>0</v>
      </c>
      <c r="H44">
        <f ca="1"/>
        <v>0.13682275208273481</v>
      </c>
      <c r="I44">
        <f ca="1"/>
        <v>3.8889131329816217E-3</v>
      </c>
      <c r="J44">
        <f ca="1"/>
        <v>3.3737869942768207E-3</v>
      </c>
      <c r="K44">
        <f ca="1"/>
        <v>0</v>
      </c>
      <c r="L44">
        <f ca="1"/>
        <v>0.26417623121868833</v>
      </c>
      <c r="M44">
        <f ca="1"/>
        <v>9.6524589109339889</v>
      </c>
      <c r="N44">
        <f ca="1"/>
        <v>1.1457390111295007</v>
      </c>
      <c r="O44">
        <f ca="1"/>
        <v>0</v>
      </c>
      <c r="P44">
        <f ca="1"/>
        <v>11.062374153282178</v>
      </c>
      <c r="Q44">
        <f ca="1"/>
        <v>664.50541536758169</v>
      </c>
    </row>
    <row r="45" spans="1:17">
      <c r="A45" s="2">
        <f ca="1"/>
        <v>44</v>
      </c>
      <c r="B45" s="4">
        <f ca="1"/>
        <v>-0.70847457627118637</v>
      </c>
      <c r="C45" s="4">
        <f ca="1"/>
        <v>1.0750000000000001E-2</v>
      </c>
      <c r="D45" s="4">
        <f ca="1"/>
        <v>0.14341568514794606</v>
      </c>
      <c r="E45" s="4">
        <f ca="1"/>
        <v>26.681987934501588</v>
      </c>
      <c r="F45" s="4">
        <f ca="1"/>
        <v>2482.0453892559613</v>
      </c>
      <c r="G45">
        <f ca="1"/>
        <v>0</v>
      </c>
      <c r="H45">
        <f ca="1"/>
        <v>0.14341568514794606</v>
      </c>
      <c r="I45">
        <f ca="1"/>
        <v>3.9116388831678603E-3</v>
      </c>
      <c r="J45">
        <f ca="1"/>
        <v>3.5209423323321258E-3</v>
      </c>
      <c r="K45">
        <f ca="1"/>
        <v>0</v>
      </c>
      <c r="L45">
        <f ca="1"/>
        <v>0.27154879702590506</v>
      </c>
      <c r="M45">
        <f ca="1"/>
        <v>9.7088652544011254</v>
      </c>
      <c r="N45">
        <f ca="1"/>
        <v>1.2533295616534206</v>
      </c>
      <c r="O45">
        <f ca="1"/>
        <v>0</v>
      </c>
      <c r="P45">
        <f ca="1"/>
        <v>11.233743613080453</v>
      </c>
      <c r="Q45">
        <f ca="1"/>
        <v>707.04554139739707</v>
      </c>
    </row>
    <row r="46" spans="1:17">
      <c r="A46" s="2">
        <f ca="1"/>
        <v>45</v>
      </c>
      <c r="B46" s="4">
        <f ca="1"/>
        <v>-0.70169491525423733</v>
      </c>
      <c r="C46" s="4">
        <f ca="1"/>
        <v>1.0999999999999999E-2</v>
      </c>
      <c r="D46" s="4">
        <f ca="1"/>
        <v>0.15016374604998561</v>
      </c>
      <c r="E46" s="4">
        <f ca="1"/>
        <v>27.302499281815567</v>
      </c>
      <c r="F46" s="4">
        <f ca="1"/>
        <v>2482.0453892559613</v>
      </c>
      <c r="G46">
        <f ca="1"/>
        <v>0</v>
      </c>
      <c r="H46">
        <f ca="1"/>
        <v>0.15016374604998561</v>
      </c>
      <c r="I46">
        <f ca="1"/>
        <v>3.9359003843430149E-3</v>
      </c>
      <c r="J46">
        <f ca="1"/>
        <v>3.6697783058750031E-3</v>
      </c>
      <c r="K46">
        <f ca="1"/>
        <v>0</v>
      </c>
      <c r="L46">
        <f ca="1"/>
        <v>0.27903858377916507</v>
      </c>
      <c r="M46">
        <f ca="1"/>
        <v>9.7690834015293451</v>
      </c>
      <c r="N46">
        <f ca="1"/>
        <v>1.3677749386723659</v>
      </c>
      <c r="O46">
        <f ca="1"/>
        <v>0</v>
      </c>
      <c r="P46">
        <f ca="1"/>
        <v>11.415896923980876</v>
      </c>
      <c r="Q46">
        <f ca="1"/>
        <v>751.32553058670317</v>
      </c>
    </row>
    <row r="47" spans="1:17">
      <c r="A47" s="2">
        <f ca="1"/>
        <v>46</v>
      </c>
      <c r="B47" s="4">
        <f ca="1"/>
        <v>-0.69491525423728806</v>
      </c>
      <c r="C47" s="4">
        <f ca="1"/>
        <v>1.125E-2</v>
      </c>
      <c r="D47" s="4">
        <f ca="1"/>
        <v>0.15706693478885383</v>
      </c>
      <c r="E47" s="4">
        <f ca="1"/>
        <v>27.923010629129564</v>
      </c>
      <c r="F47" s="4">
        <f ca="1"/>
        <v>2482.0453892559613</v>
      </c>
      <c r="G47">
        <f ca="1"/>
        <v>0</v>
      </c>
      <c r="H47">
        <f ca="1"/>
        <v>0.15706693478885383</v>
      </c>
      <c r="I47">
        <f ca="1"/>
        <v>3.9617545413974118E-3</v>
      </c>
      <c r="J47">
        <f ca="1"/>
        <v>3.8206020251110671E-3</v>
      </c>
      <c r="K47">
        <f ca="1"/>
        <v>0</v>
      </c>
      <c r="L47">
        <f ca="1"/>
        <v>0.28670054953824731</v>
      </c>
      <c r="M47">
        <f ca="1"/>
        <v>9.833254592839312</v>
      </c>
      <c r="N47">
        <f ca="1"/>
        <v>1.4894512359962433</v>
      </c>
      <c r="O47">
        <f ca="1"/>
        <v>0</v>
      </c>
      <c r="P47">
        <f ca="1"/>
        <v>11.609406378373803</v>
      </c>
      <c r="Q47">
        <f ca="1"/>
        <v>796.87349384948118</v>
      </c>
    </row>
    <row r="48" spans="1:17">
      <c r="A48" s="2">
        <f ca="1"/>
        <v>47</v>
      </c>
      <c r="B48" s="4">
        <f ca="1"/>
        <v>-0.68813559322033901</v>
      </c>
      <c r="C48" s="4">
        <f ca="1"/>
        <v>1.15E-2</v>
      </c>
      <c r="D48" s="4">
        <f ca="1"/>
        <v>0.16412525136455036</v>
      </c>
      <c r="E48" s="4">
        <f ca="1"/>
        <v>28.54352197644355</v>
      </c>
      <c r="F48" s="4">
        <f ca="1"/>
        <v>2482.0453892559613</v>
      </c>
      <c r="G48">
        <f ca="1"/>
        <v>0</v>
      </c>
      <c r="H48">
        <f ca="1"/>
        <v>0.16412525136455036</v>
      </c>
      <c r="I48">
        <f ca="1"/>
        <v>3.9892610816002483E-3</v>
      </c>
      <c r="J48">
        <f ca="1"/>
        <v>3.97288873441814E-3</v>
      </c>
      <c r="K48">
        <f ca="1"/>
        <v>0</v>
      </c>
      <c r="L48">
        <f ca="1"/>
        <v>0.29438551972511162</v>
      </c>
      <c r="M48">
        <f ca="1"/>
        <v>9.9015270741241448</v>
      </c>
      <c r="N48">
        <f ca="1"/>
        <v>1.6184210770563612</v>
      </c>
      <c r="O48">
        <f ca="1"/>
        <v>0</v>
      </c>
      <c r="P48">
        <f ca="1"/>
        <v>11.814333670905617</v>
      </c>
      <c r="Q48">
        <f ca="1"/>
        <v>843.49420804296494</v>
      </c>
    </row>
    <row r="49" spans="1:17">
      <c r="A49" s="2">
        <f ca="1"/>
        <v>48</v>
      </c>
      <c r="B49" s="4">
        <f ca="1"/>
        <v>-0.68135593220338975</v>
      </c>
      <c r="C49" s="4">
        <f ca="1"/>
        <v>1.175E-2</v>
      </c>
      <c r="D49" s="4">
        <f ca="1"/>
        <v>0.17133869577707564</v>
      </c>
      <c r="E49" s="4">
        <f ca="1"/>
        <v>29.164033323757547</v>
      </c>
      <c r="F49" s="4">
        <f ca="1"/>
        <v>2482.0453892559613</v>
      </c>
      <c r="G49">
        <f ca="1"/>
        <v>0</v>
      </c>
      <c r="H49">
        <f ca="1"/>
        <v>0.17133869577707564</v>
      </c>
      <c r="I49">
        <f ca="1"/>
        <v>4.0184808706911586E-3</v>
      </c>
      <c r="J49">
        <f ca="1"/>
        <v>4.1264625235028383E-3</v>
      </c>
      <c r="K49">
        <f ca="1"/>
        <v>0</v>
      </c>
      <c r="L49">
        <f ca="1"/>
        <v>0.30223911559860839</v>
      </c>
      <c r="M49">
        <f ca="1"/>
        <v>9.9740519169122699</v>
      </c>
      <c r="N49">
        <f ca="1"/>
        <v>1.7548624498844083</v>
      </c>
      <c r="O49">
        <f ca="1"/>
        <v>0</v>
      </c>
      <c r="P49">
        <f ca="1"/>
        <v>12.031153482395286</v>
      </c>
      <c r="Q49">
        <f ca="1"/>
        <v>891.79428135665182</v>
      </c>
    </row>
    <row r="50" spans="1:17">
      <c r="A50" s="2">
        <f ca="1"/>
        <v>49</v>
      </c>
      <c r="B50" s="4">
        <f ca="1"/>
        <v>-0.6745762711864407</v>
      </c>
      <c r="C50" s="4">
        <f ca="1"/>
        <v>1.2E-2</v>
      </c>
      <c r="D50" s="4">
        <f ca="1"/>
        <v>0.17870726802642917</v>
      </c>
      <c r="E50" s="4">
        <f ca="1"/>
        <v>29.784544671071533</v>
      </c>
      <c r="F50" s="4">
        <f ca="1"/>
        <v>2482.0453892559613</v>
      </c>
      <c r="G50">
        <f ca="1"/>
        <v>0</v>
      </c>
      <c r="H50">
        <f ca="1"/>
        <v>0.17870726802642917</v>
      </c>
      <c r="I50">
        <f ca="1"/>
        <v>4.0494631774985797E-3</v>
      </c>
      <c r="J50">
        <f ca="1"/>
        <v>4.2815277045784861E-3</v>
      </c>
      <c r="K50">
        <f ca="1"/>
        <v>0</v>
      </c>
      <c r="L50">
        <f ca="1"/>
        <v>0.31016689825252924</v>
      </c>
      <c r="M50">
        <f ca="1"/>
        <v>10.050951408672145</v>
      </c>
      <c r="N50">
        <f ca="1"/>
        <v>1.8991125046592701</v>
      </c>
      <c r="O50">
        <f ca="1"/>
        <v>0</v>
      </c>
      <c r="P50">
        <f ca="1"/>
        <v>12.260230811583943</v>
      </c>
      <c r="Q50">
        <f ca="1"/>
        <v>941.17133452000621</v>
      </c>
    </row>
    <row r="51" spans="1:17">
      <c r="A51" s="2">
        <f ca="1"/>
        <v>50</v>
      </c>
      <c r="B51" s="4">
        <f ca="1"/>
        <v>-0.66779661016949143</v>
      </c>
      <c r="C51" s="4">
        <f ca="1"/>
        <v>1.225E-2</v>
      </c>
      <c r="D51" s="4">
        <f ca="1"/>
        <v>0.18623096811261142</v>
      </c>
      <c r="E51" s="4">
        <f ca="1"/>
        <v>30.40505601838553</v>
      </c>
      <c r="F51" s="4">
        <f ca="1"/>
        <v>2482.0453892559613</v>
      </c>
      <c r="G51">
        <f ca="1"/>
        <v>0</v>
      </c>
      <c r="H51">
        <f ca="1"/>
        <v>0.18623096811261142</v>
      </c>
      <c r="I51">
        <f ca="1"/>
        <v>4.0822636616408619E-3</v>
      </c>
      <c r="J51">
        <f ca="1"/>
        <v>4.4375557119505291E-3</v>
      </c>
      <c r="K51">
        <f ca="1"/>
        <v>0</v>
      </c>
      <c r="L51">
        <f ca="1"/>
        <v>0.3181875850116973</v>
      </c>
      <c r="M51">
        <f ca="1"/>
        <v>10.132363699102859</v>
      </c>
      <c r="N51">
        <f ca="1"/>
        <v>2.0511878655407325</v>
      </c>
      <c r="O51">
        <f ca="1"/>
        <v>0</v>
      </c>
      <c r="P51">
        <f ca="1"/>
        <v>12.50173914965529</v>
      </c>
      <c r="Q51">
        <f ca="1"/>
        <v>991.65144185301119</v>
      </c>
    </row>
    <row r="52" spans="1:17">
      <c r="A52" s="2">
        <f ca="1"/>
        <v>51</v>
      </c>
      <c r="B52" s="4">
        <f ca="1"/>
        <v>-0.66101694915254239</v>
      </c>
      <c r="C52" s="4">
        <f ca="1"/>
        <v>1.2500000000000001E-2</v>
      </c>
      <c r="D52" s="4">
        <f ca="1"/>
        <v>0.19390979603562195</v>
      </c>
      <c r="E52" s="4">
        <f ca="1"/>
        <v>31.025567365699516</v>
      </c>
      <c r="F52" s="4">
        <f ca="1"/>
        <v>2482.0453892559613</v>
      </c>
      <c r="G52">
        <f ca="1"/>
        <v>0</v>
      </c>
      <c r="H52">
        <f ca="1"/>
        <v>0.19390979603562195</v>
      </c>
      <c r="I52">
        <f ca="1"/>
        <v>4.1169394603290492E-3</v>
      </c>
      <c r="J52">
        <f ca="1"/>
        <v>4.5944967390450639E-3</v>
      </c>
      <c r="K52">
        <f ca="1"/>
        <v>0</v>
      </c>
      <c r="L52">
        <f ca="1"/>
        <v>0.32632719782662817</v>
      </c>
      <c r="M52">
        <f ca="1"/>
        <v>10.218430605355643</v>
      </c>
      <c r="N52">
        <f ca="1"/>
        <v>2.2112987293281781</v>
      </c>
      <c r="O52">
        <f ca="1"/>
        <v>0</v>
      </c>
      <c r="P52">
        <f ca="1"/>
        <v>12.756056532510449</v>
      </c>
      <c r="Q52">
        <f ca="1"/>
        <v>1044.0962470968448</v>
      </c>
    </row>
    <row r="53" spans="1:17">
      <c r="A53" s="2">
        <f ca="1"/>
        <v>52</v>
      </c>
      <c r="B53" s="4">
        <f ca="1"/>
        <v>-0.65423728813559312</v>
      </c>
      <c r="C53" s="4">
        <f ca="1"/>
        <v>1.2750000000000001E-2</v>
      </c>
      <c r="D53" s="4">
        <f ca="1"/>
        <v>0.2017437517954612</v>
      </c>
      <c r="E53" s="4">
        <f ca="1"/>
        <v>31.646078713013512</v>
      </c>
      <c r="F53" s="4">
        <f ca="1"/>
        <v>2482.0453892559613</v>
      </c>
      <c r="G53">
        <f ca="1"/>
        <v>0</v>
      </c>
      <c r="H53">
        <f ca="1"/>
        <v>0.2017437517954612</v>
      </c>
      <c r="I53">
        <f ca="1"/>
        <v>4.15355733054868E-3</v>
      </c>
      <c r="J53">
        <f ca="1"/>
        <v>4.7529527018313009E-3</v>
      </c>
      <c r="K53">
        <f ca="1"/>
        <v>0</v>
      </c>
      <c r="L53">
        <f ca="1"/>
        <v>0.33448946687150422</v>
      </c>
      <c r="M53">
        <f ca="1"/>
        <v>10.30931782129865</v>
      </c>
      <c r="N53">
        <f ca="1"/>
        <v>2.3799799850335566</v>
      </c>
      <c r="O53">
        <f ca="1"/>
        <v>0</v>
      </c>
      <c r="P53">
        <f ca="1"/>
        <v>13.023787273203713</v>
      </c>
      <c r="Q53">
        <f ca="1"/>
        <v>1096.0773121146435</v>
      </c>
    </row>
    <row r="54" spans="1:17">
      <c r="A54" s="2">
        <f ca="1"/>
        <v>53</v>
      </c>
      <c r="B54" s="4">
        <f ca="1"/>
        <v>-0.64745762711864407</v>
      </c>
      <c r="C54" s="4">
        <f ca="1"/>
        <v>1.3000000000000001E-2</v>
      </c>
      <c r="D54" s="4">
        <f ca="1"/>
        <v>0.2097328353921287</v>
      </c>
      <c r="E54" s="4">
        <f ca="1"/>
        <v>32.266590060327488</v>
      </c>
      <c r="F54" s="4">
        <f ca="1"/>
        <v>2482.0453892559613</v>
      </c>
      <c r="G54">
        <f ca="1"/>
        <v>0</v>
      </c>
      <c r="H54">
        <f ca="1"/>
        <v>0.2097328353921287</v>
      </c>
      <c r="I54">
        <f ca="1"/>
        <v>4.192155820454682E-3</v>
      </c>
      <c r="J54">
        <f ca="1"/>
        <v>4.9103595786480665E-3</v>
      </c>
      <c r="K54">
        <f ca="1"/>
        <v>0</v>
      </c>
      <c r="L54">
        <f ca="1"/>
        <v>0.3428058710296048</v>
      </c>
      <c r="M54">
        <f ca="1"/>
        <v>10.405121025202085</v>
      </c>
      <c r="N54">
        <f ca="1"/>
        <v>2.556168292336082</v>
      </c>
      <c r="O54">
        <f ca="1"/>
        <v>0</v>
      </c>
      <c r="P54">
        <f ca="1"/>
        <v>13.304095188567771</v>
      </c>
      <c r="Q54">
        <f ca="1"/>
        <v>1148.8186416947699</v>
      </c>
    </row>
    <row r="55" spans="1:17">
      <c r="A55" s="2">
        <f ca="1"/>
        <v>54</v>
      </c>
      <c r="B55" s="4">
        <f ca="1"/>
        <v>-0.64067796610169492</v>
      </c>
      <c r="C55" s="4">
        <f ca="1"/>
        <v>1.325E-2</v>
      </c>
      <c r="D55" s="4">
        <f ca="1"/>
        <v>0.21787704682562481</v>
      </c>
      <c r="E55" s="4">
        <f ca="1"/>
        <v>32.887101407641481</v>
      </c>
      <c r="F55" s="4">
        <f ca="1"/>
        <v>2482.0453892559613</v>
      </c>
      <c r="G55">
        <f ca="1"/>
        <v>0</v>
      </c>
      <c r="H55">
        <f ca="1"/>
        <v>0.21787704682562481</v>
      </c>
      <c r="I55">
        <f ca="1"/>
        <v>4.2327939119276336E-3</v>
      </c>
      <c r="J55">
        <f ca="1"/>
        <v>5.0688320708246063E-3</v>
      </c>
      <c r="K55">
        <f ca="1"/>
        <v>0</v>
      </c>
      <c r="L55">
        <f ca="1"/>
        <v>0.35108332700409001</v>
      </c>
      <c r="M55">
        <f ca="1"/>
        <v>10.505986612770686</v>
      </c>
      <c r="N55">
        <f ca="1"/>
        <v>2.7411266542763202</v>
      </c>
      <c r="O55">
        <f ca="1"/>
        <v>0</v>
      </c>
      <c r="P55">
        <f ca="1"/>
        <v>13.598196594051096</v>
      </c>
      <c r="Q55">
        <f ca="1"/>
        <v>1204.1278792945564</v>
      </c>
    </row>
    <row r="56" spans="1:17">
      <c r="A56" s="2">
        <f ca="1"/>
        <v>55</v>
      </c>
      <c r="B56" s="4">
        <f ca="1"/>
        <v>-0.63389830508474576</v>
      </c>
      <c r="C56" s="4">
        <f ca="1"/>
        <v>1.35E-2</v>
      </c>
      <c r="D56" s="4">
        <f ca="1"/>
        <v>0.22617638609594945</v>
      </c>
      <c r="E56" s="4">
        <f ca="1"/>
        <v>33.507612754955474</v>
      </c>
      <c r="F56" s="4">
        <f ca="1"/>
        <v>2482.0453892559613</v>
      </c>
      <c r="G56">
        <f ca="1"/>
        <v>0</v>
      </c>
      <c r="H56">
        <f ca="1"/>
        <v>0.22617638609594945</v>
      </c>
      <c r="I56">
        <f ca="1"/>
        <v>4.275525352961663E-3</v>
      </c>
      <c r="J56">
        <f ca="1"/>
        <v>5.227461605871197E-3</v>
      </c>
      <c r="K56">
        <f ca="1"/>
        <v>0</v>
      </c>
      <c r="L56">
        <f ca="1"/>
        <v>0.35951844880666062</v>
      </c>
      <c r="M56">
        <f ca="1"/>
        <v>10.612047988965463</v>
      </c>
      <c r="N56">
        <f ca="1"/>
        <v>2.9345926904429254</v>
      </c>
      <c r="O56">
        <f ca="1"/>
        <v>0</v>
      </c>
      <c r="P56">
        <f ca="1"/>
        <v>13.906159128215048</v>
      </c>
      <c r="Q56">
        <f ca="1"/>
        <v>1259.4932552568341</v>
      </c>
    </row>
    <row r="57" spans="1:17">
      <c r="A57" s="2">
        <f ca="1"/>
        <v>56</v>
      </c>
      <c r="B57" s="4">
        <f ca="1"/>
        <v>-0.6271186440677966</v>
      </c>
      <c r="C57" s="4">
        <f ca="1"/>
        <v>1.375E-2</v>
      </c>
      <c r="D57" s="4">
        <f ca="1"/>
        <v>0.23463085320310256</v>
      </c>
      <c r="E57" s="4">
        <f ca="1"/>
        <v>34.128124102269467</v>
      </c>
      <c r="F57" s="4">
        <f ca="1"/>
        <v>2482.0453892559613</v>
      </c>
      <c r="G57">
        <f ca="1"/>
        <v>0</v>
      </c>
      <c r="H57">
        <f ca="1"/>
        <v>0.23463085320310256</v>
      </c>
      <c r="I57">
        <f ca="1"/>
        <v>4.3203934891131047E-3</v>
      </c>
      <c r="J57">
        <f ca="1"/>
        <v>5.3860214966995508E-3</v>
      </c>
      <c r="K57">
        <f ca="1"/>
        <v>0</v>
      </c>
      <c r="L57">
        <f ca="1"/>
        <v>0.36790315752716585</v>
      </c>
      <c r="M57">
        <f ca="1"/>
        <v>10.723412739424656</v>
      </c>
      <c r="N57">
        <f ca="1"/>
        <v>3.1366273247276917</v>
      </c>
      <c r="O57">
        <f ca="1"/>
        <v>0</v>
      </c>
      <c r="P57">
        <f ca="1"/>
        <v>14.227943221679514</v>
      </c>
      <c r="Q57">
        <f ca="1"/>
        <v>1315.7532936799316</v>
      </c>
    </row>
    <row r="58" spans="1:17">
      <c r="A58" s="2">
        <f ca="1"/>
        <v>57</v>
      </c>
      <c r="B58" s="4">
        <f ca="1"/>
        <v>-0.62033898305084745</v>
      </c>
      <c r="C58" s="4">
        <f ca="1"/>
        <v>1.4E-2</v>
      </c>
      <c r="D58" s="4">
        <f ca="1"/>
        <v>0.24324044814708418</v>
      </c>
      <c r="E58" s="4">
        <f ca="1"/>
        <v>34.748635449583453</v>
      </c>
      <c r="F58" s="4">
        <f ca="1"/>
        <v>2482.0453892559613</v>
      </c>
      <c r="G58">
        <f ca="1"/>
        <v>0</v>
      </c>
      <c r="H58">
        <f ca="1"/>
        <v>0.24324044814708418</v>
      </c>
      <c r="I58">
        <f ca="1"/>
        <v>4.3674484247399155E-3</v>
      </c>
      <c r="J58">
        <f ca="1"/>
        <v>5.5445102987402729E-3</v>
      </c>
      <c r="K58">
        <f ca="1"/>
        <v>0</v>
      </c>
      <c r="L58">
        <f ca="1"/>
        <v>0.37642209593624648</v>
      </c>
      <c r="M58">
        <f ca="1"/>
        <v>10.840205225438918</v>
      </c>
      <c r="N58">
        <f ca="1"/>
        <v>3.3474084536798485</v>
      </c>
      <c r="O58">
        <f ca="1"/>
        <v>0</v>
      </c>
      <c r="P58">
        <f ca="1"/>
        <v>14.564035775055014</v>
      </c>
      <c r="Q58">
        <f ca="1"/>
        <v>1372.1372249012898</v>
      </c>
    </row>
    <row r="59" spans="1:17">
      <c r="A59" s="2">
        <f ca="1"/>
        <v>58</v>
      </c>
      <c r="B59" s="4">
        <f ca="1"/>
        <v>-0.61355932203389829</v>
      </c>
      <c r="C59" s="4">
        <f ca="1"/>
        <v>1.4250000000000001E-2</v>
      </c>
      <c r="D59" s="4">
        <f ca="1"/>
        <v>0.25200517092789426</v>
      </c>
      <c r="E59" s="4">
        <f ca="1"/>
        <v>35.369146796897446</v>
      </c>
      <c r="F59" s="4">
        <f ca="1"/>
        <v>2482.0453892559613</v>
      </c>
      <c r="G59">
        <f ca="1"/>
        <v>0</v>
      </c>
      <c r="H59">
        <f ca="1"/>
        <v>0.25200517092789426</v>
      </c>
      <c r="I59">
        <f ca="1"/>
        <v>4.4167412156157701E-3</v>
      </c>
      <c r="J59">
        <f ca="1"/>
        <v>5.7020747844538609E-3</v>
      </c>
      <c r="K59">
        <f ca="1"/>
        <v>0</v>
      </c>
      <c r="L59">
        <f ca="1"/>
        <v>0.38487875737989657</v>
      </c>
      <c r="M59">
        <f ca="1"/>
        <v>10.962552169755892</v>
      </c>
      <c r="N59">
        <f ca="1"/>
        <v>3.5665809069943717</v>
      </c>
      <c r="O59">
        <f ca="1"/>
        <v>0</v>
      </c>
      <c r="P59">
        <f ca="1"/>
        <v>14.914011834130159</v>
      </c>
      <c r="Q59">
        <f ca="1"/>
        <v>1428.9323484716037</v>
      </c>
    </row>
    <row r="60" spans="1:17">
      <c r="A60" s="2">
        <f ca="1"/>
        <v>59</v>
      </c>
      <c r="B60" s="4">
        <f ca="1"/>
        <v>-0.60677966101694913</v>
      </c>
      <c r="C60" s="4">
        <f ca="1"/>
        <v>1.4500000000000001E-2</v>
      </c>
      <c r="D60" s="4">
        <f ca="1"/>
        <v>0.26092502154553293</v>
      </c>
      <c r="E60" s="4">
        <f ca="1"/>
        <v>35.98965814421144</v>
      </c>
      <c r="F60" s="4">
        <f ca="1"/>
        <v>2482.0453892559613</v>
      </c>
      <c r="G60">
        <f ca="1"/>
        <v>0</v>
      </c>
      <c r="H60">
        <f ca="1"/>
        <v>0.26092502154553293</v>
      </c>
      <c r="I60">
        <f ca="1"/>
        <v>4.4683063731586446E-3</v>
      </c>
      <c r="J60">
        <f ca="1"/>
        <v>5.8590901067015642E-3</v>
      </c>
      <c r="K60">
        <f ca="1"/>
        <v>0</v>
      </c>
      <c r="L60">
        <f ca="1"/>
        <v>0.39345339467794027</v>
      </c>
      <c r="M60">
        <f ca="1"/>
        <v>11.09053923128144</v>
      </c>
      <c r="N60">
        <f ca="1"/>
        <v>3.7945093233314351</v>
      </c>
      <c r="O60">
        <f ca="1"/>
        <v>0</v>
      </c>
      <c r="P60">
        <f ca="1"/>
        <v>15.278501949290817</v>
      </c>
      <c r="Q60">
        <f ca="1"/>
        <v>1486.5628493835516</v>
      </c>
    </row>
    <row r="61" spans="1:17">
      <c r="A61" s="2">
        <f ca="1"/>
        <v>60</v>
      </c>
      <c r="B61" s="4">
        <f ca="1"/>
        <v>-0.6</v>
      </c>
      <c r="C61" s="4">
        <f ca="1"/>
        <v>1.4750000000000001E-2</v>
      </c>
      <c r="D61" s="4">
        <f ca="1"/>
        <v>0.27000000000000007</v>
      </c>
      <c r="E61" s="4">
        <f ca="1"/>
        <v>36.610169491525426</v>
      </c>
      <c r="F61" s="4">
        <f ca="1"/>
        <v>2482.0453892559613</v>
      </c>
      <c r="G61">
        <f ca="1"/>
        <v>0</v>
      </c>
      <c r="H61">
        <f ca="1"/>
        <v>0.27000000000000007</v>
      </c>
      <c r="I61">
        <f ca="1"/>
        <v>4.522187724878694E-3</v>
      </c>
      <c r="J61">
        <f ca="1"/>
        <v>6.0151732909837063E-3</v>
      </c>
      <c r="K61">
        <f ca="1"/>
        <v>0</v>
      </c>
      <c r="L61">
        <f ca="1"/>
        <v>0.40193612117220306</v>
      </c>
      <c r="M61">
        <f ca="1"/>
        <v>11.224275191885068</v>
      </c>
      <c r="N61">
        <f ca="1"/>
        <v>4.0310819457646634</v>
      </c>
      <c r="O61">
        <f ca="1"/>
        <v>0</v>
      </c>
      <c r="P61">
        <f ca="1"/>
        <v>15.657293258821936</v>
      </c>
      <c r="Q61">
        <f ca="1"/>
        <v>1544.2683140626311</v>
      </c>
    </row>
    <row r="62" spans="1:17">
      <c r="A62" s="2">
        <f ca="1"/>
        <v>61</v>
      </c>
      <c r="B62" s="4">
        <f ca="1"/>
        <v>-0.59322033898305082</v>
      </c>
      <c r="C62" s="4">
        <f ca="1"/>
        <v>1.4999999999999999E-2</v>
      </c>
      <c r="D62" s="4">
        <f ca="1"/>
        <v>0.27923010629129569</v>
      </c>
      <c r="E62" s="4">
        <f ca="1"/>
        <v>37.230680838839419</v>
      </c>
      <c r="F62" s="4">
        <f ca="1"/>
        <v>2482.0453892559613</v>
      </c>
      <c r="G62">
        <f ca="1"/>
        <v>0</v>
      </c>
      <c r="H62">
        <f ca="1"/>
        <v>0.27923010629129569</v>
      </c>
      <c r="I62">
        <f ca="1"/>
        <v>4.578421487105069E-3</v>
      </c>
      <c r="J62">
        <f ca="1"/>
        <v>6.1700824728632741E-3</v>
      </c>
      <c r="K62">
        <f ca="1"/>
        <v>0</v>
      </c>
      <c r="L62">
        <f ca="1"/>
        <v>0.41053771258460336</v>
      </c>
      <c r="M62">
        <f ca="1"/>
        <v>11.363849942139558</v>
      </c>
      <c r="N62">
        <f ca="1"/>
        <v>4.2762484515979695</v>
      </c>
      <c r="O62">
        <f ca="1"/>
        <v>0</v>
      </c>
      <c r="P62">
        <f ca="1"/>
        <v>16.050636106322131</v>
      </c>
      <c r="Q62">
        <f ca="1"/>
        <v>1602.008188454399</v>
      </c>
    </row>
    <row r="63" spans="1:17">
      <c r="A63" s="2">
        <f ca="1"/>
        <v>62</v>
      </c>
      <c r="B63" s="4">
        <f ca="1"/>
        <v>-0.58644067796610166</v>
      </c>
      <c r="C63" s="4">
        <f ca="1"/>
        <v>1.525E-2</v>
      </c>
      <c r="D63" s="4">
        <f ca="1"/>
        <v>0.28861534041941972</v>
      </c>
      <c r="E63" s="4">
        <f ca="1"/>
        <v>37.851192186153412</v>
      </c>
      <c r="F63" s="4">
        <f ca="1"/>
        <v>2482.0453892559613</v>
      </c>
      <c r="G63">
        <f ca="1"/>
        <v>0</v>
      </c>
      <c r="H63">
        <f ca="1"/>
        <v>0.28861534041941972</v>
      </c>
      <c r="I63">
        <f ca="1"/>
        <v>4.6370581444613208E-3</v>
      </c>
      <c r="J63">
        <f ca="1"/>
        <v>6.3235435467799365E-3</v>
      </c>
      <c r="K63">
        <f ca="1"/>
        <v>0</v>
      </c>
      <c r="L63">
        <f ca="1"/>
        <v>0.41899783382588202</v>
      </c>
      <c r="M63">
        <f ca="1"/>
        <v>11.509388787172025</v>
      </c>
      <c r="N63">
        <f ca="1"/>
        <v>4.5299107320512269</v>
      </c>
      <c r="O63">
        <f ca="1"/>
        <v>0</v>
      </c>
      <c r="P63">
        <f ca="1"/>
        <v>16.458297353049133</v>
      </c>
      <c r="Q63">
        <f ca="1"/>
        <v>1659.7026793894456</v>
      </c>
    </row>
    <row r="64" spans="1:17">
      <c r="A64" s="2">
        <f ca="1"/>
        <v>63</v>
      </c>
      <c r="B64" s="4">
        <f ca="1"/>
        <v>-0.57966101694915251</v>
      </c>
      <c r="C64" s="4">
        <f ca="1"/>
        <v>1.55E-2</v>
      </c>
      <c r="D64" s="4">
        <f ca="1"/>
        <v>0.29815570238437239</v>
      </c>
      <c r="E64" s="4">
        <f ca="1"/>
        <v>38.471703533467398</v>
      </c>
      <c r="F64" s="4">
        <f ca="1"/>
        <v>2482.0453892559613</v>
      </c>
      <c r="G64">
        <f ca="1"/>
        <v>0</v>
      </c>
      <c r="H64">
        <f ca="1"/>
        <v>0.29815570238437239</v>
      </c>
      <c r="I64">
        <f ca="1"/>
        <v>4.6981126842051569E-3</v>
      </c>
      <c r="J64">
        <f ca="1"/>
        <v>6.4753706521229453E-3</v>
      </c>
      <c r="K64">
        <f ca="1"/>
        <v>0</v>
      </c>
      <c r="L64">
        <f ca="1"/>
        <v>0.42755121223790132</v>
      </c>
      <c r="M64">
        <f ca="1"/>
        <v>11.660928926036357</v>
      </c>
      <c r="N64">
        <f ca="1"/>
        <v>4.7920073077425966</v>
      </c>
      <c r="O64">
        <f ca="1"/>
        <v>0</v>
      </c>
      <c r="P64">
        <f ca="1"/>
        <v>16.880487446016854</v>
      </c>
      <c r="Q64">
        <f ca="1"/>
        <v>1717.2966829185425</v>
      </c>
    </row>
    <row r="65" spans="1:17">
      <c r="A65" s="2">
        <f ca="1"/>
        <v>64</v>
      </c>
      <c r="B65" s="4">
        <f ca="1"/>
        <v>-0.57288135593220335</v>
      </c>
      <c r="C65" s="4">
        <f ca="1"/>
        <v>1.575E-2</v>
      </c>
      <c r="D65" s="4">
        <f ca="1"/>
        <v>0.30785119218615348</v>
      </c>
      <c r="E65" s="4">
        <f ca="1"/>
        <v>39.092214880781391</v>
      </c>
      <c r="F65" s="4">
        <f ca="1"/>
        <v>2482.0453892559613</v>
      </c>
      <c r="G65">
        <f ca="1"/>
        <v>0</v>
      </c>
      <c r="H65">
        <f ca="1"/>
        <v>0.30785119218615348</v>
      </c>
      <c r="I65">
        <f ca="1"/>
        <v>4.761627396348599E-3</v>
      </c>
      <c r="J65">
        <f ca="1"/>
        <v>6.6252881995761577E-3</v>
      </c>
      <c r="K65">
        <f ca="1"/>
        <v>0</v>
      </c>
      <c r="L65">
        <f ca="1"/>
        <v>0.43598346862349252</v>
      </c>
      <c r="M65">
        <f ca="1"/>
        <v>11.818575324461907</v>
      </c>
      <c r="N65">
        <f ca="1"/>
        <v>5.0623869014230038</v>
      </c>
      <c r="O65">
        <f ca="1"/>
        <v>0</v>
      </c>
      <c r="P65">
        <f ca="1"/>
        <v>17.316945694508405</v>
      </c>
      <c r="Q65">
        <f ca="1"/>
        <v>1774.4710646792098</v>
      </c>
    </row>
    <row r="66" spans="1:17">
      <c r="A66" s="2">
        <f ca="1"/>
        <v>65</v>
      </c>
      <c r="B66" s="4">
        <f ca="1"/>
        <v>-0.56610169491525419</v>
      </c>
      <c r="C66" s="4">
        <f ca="1"/>
        <v>1.6E-2</v>
      </c>
      <c r="D66" s="4">
        <f ca="1"/>
        <v>0.31770180982476304</v>
      </c>
      <c r="E66" s="4">
        <f ca="1"/>
        <v>39.712726228095384</v>
      </c>
      <c r="F66" s="4">
        <f ca="1"/>
        <v>2482.0453892559613</v>
      </c>
      <c r="G66">
        <f ca="1"/>
        <v>0</v>
      </c>
      <c r="H66">
        <f ca="1"/>
        <v>0.31770180982476304</v>
      </c>
      <c r="I66">
        <f ca="1"/>
        <v>4.8276177913377065E-3</v>
      </c>
      <c r="J66">
        <f ca="1"/>
        <v>6.7730892256042379E-3</v>
      </c>
      <c r="K66">
        <f ca="1"/>
        <v>0</v>
      </c>
      <c r="L66">
        <f ca="1"/>
        <v>0.44443487463886122</v>
      </c>
      <c r="M66">
        <f ca="1"/>
        <v>11.982366480079802</v>
      </c>
      <c r="N66">
        <f ca="1"/>
        <v>5.3409216236377945</v>
      </c>
      <c r="O66">
        <f ca="1"/>
        <v>0</v>
      </c>
      <c r="P66">
        <f ca="1"/>
        <v>17.76772297835646</v>
      </c>
      <c r="Q66">
        <f ca="1"/>
        <v>1831.3032306465243</v>
      </c>
    </row>
    <row r="67" spans="1:17">
      <c r="A67" s="2">
        <f ca="1"/>
        <v>66</v>
      </c>
      <c r="B67" s="4">
        <f ca="1"/>
        <v>-0.55932203389830504</v>
      </c>
      <c r="C67" s="4">
        <f ca="1"/>
        <v>1.6250000000000001E-2</v>
      </c>
      <c r="D67" s="4">
        <f ca="1"/>
        <v>0.32770755530020113</v>
      </c>
      <c r="E67" s="4">
        <f ca="1"/>
        <v>40.333237575409377</v>
      </c>
      <c r="F67" s="4">
        <f ca="1"/>
        <v>2482.0453892559613</v>
      </c>
      <c r="G67">
        <f ca="1"/>
        <v>0</v>
      </c>
      <c r="H67">
        <f ca="1"/>
        <v>0.32770755530020113</v>
      </c>
      <c r="I67">
        <f ca="1"/>
        <v>4.8961225594743515E-3</v>
      </c>
      <c r="J67">
        <f ca="1"/>
        <v>6.9184810575572825E-3</v>
      </c>
      <c r="K67">
        <f ca="1"/>
        <v>0</v>
      </c>
      <c r="L67">
        <f ca="1"/>
        <v>0.45280998642764431</v>
      </c>
      <c r="M67">
        <f ca="1"/>
        <v>12.152398423975411</v>
      </c>
      <c r="N67">
        <f ca="1"/>
        <v>5.627388899428615</v>
      </c>
      <c r="O67">
        <f ca="1"/>
        <v>0</v>
      </c>
      <c r="P67">
        <f ca="1"/>
        <v>18.232597309831668</v>
      </c>
      <c r="Q67">
        <f ca="1"/>
        <v>1887.3497509190838</v>
      </c>
    </row>
    <row r="68" spans="1:17">
      <c r="A68" s="2">
        <f ca="1"/>
        <v>67</v>
      </c>
      <c r="B68" s="4">
        <f ca="1"/>
        <v>-0.55254237288135588</v>
      </c>
      <c r="C68" s="4">
        <f ca="1"/>
        <v>1.6500000000000001E-2</v>
      </c>
      <c r="D68" s="4">
        <f ca="1"/>
        <v>0.33786842861246774</v>
      </c>
      <c r="E68" s="4">
        <f ca="1"/>
        <v>40.953748922723356</v>
      </c>
      <c r="F68" s="4">
        <f ca="1"/>
        <v>2482.0453892559613</v>
      </c>
      <c r="G68">
        <f ca="1"/>
        <v>0</v>
      </c>
      <c r="H68">
        <f ca="1"/>
        <v>0.33786842861246774</v>
      </c>
      <c r="I68">
        <f ca="1"/>
        <v>4.9671514423421659E-3</v>
      </c>
      <c r="J68">
        <f ca="1"/>
        <v>7.0612501228589902E-3</v>
      </c>
      <c r="K68">
        <f ca="1"/>
        <v>0</v>
      </c>
      <c r="L68">
        <f ca="1"/>
        <v>0.46110444520124044</v>
      </c>
      <c r="M68">
        <f ca="1"/>
        <v>12.32869533520147</v>
      </c>
      <c r="N68">
        <f ca="1"/>
        <v>5.9215980734132918</v>
      </c>
      <c r="O68">
        <f ca="1"/>
        <v>0</v>
      </c>
      <c r="P68">
        <f ca="1"/>
        <v>18.711397853816003</v>
      </c>
      <c r="Q68">
        <f ca="1"/>
        <v>1942.7897935099363</v>
      </c>
    </row>
    <row r="69" spans="1:17">
      <c r="A69" s="2">
        <f ca="1"/>
        <v>68</v>
      </c>
      <c r="B69" s="4">
        <f ca="1"/>
        <v>-0.54576271186440672</v>
      </c>
      <c r="C69" s="4">
        <f ca="1"/>
        <v>1.6750000000000001E-2</v>
      </c>
      <c r="D69" s="4">
        <f ca="1"/>
        <v>0.34818442976156283</v>
      </c>
      <c r="E69" s="4">
        <f ca="1"/>
        <v>41.57426027003735</v>
      </c>
      <c r="F69" s="4">
        <f ca="1"/>
        <v>2482.0453892559613</v>
      </c>
      <c r="G69">
        <f ca="1"/>
        <v>0</v>
      </c>
      <c r="H69">
        <f ca="1"/>
        <v>0.34818442976156283</v>
      </c>
      <c r="I69">
        <f ca="1"/>
        <v>5.0407216786074217E-3</v>
      </c>
      <c r="J69">
        <f ca="1"/>
        <v>7.2011470024509073E-3</v>
      </c>
      <c r="K69">
        <f ca="1"/>
        <v>0</v>
      </c>
      <c r="L69">
        <f ca="1"/>
        <v>0.46939213399191687</v>
      </c>
      <c r="M69">
        <f ca="1"/>
        <v>12.51130000091012</v>
      </c>
      <c r="N69">
        <f ca="1"/>
        <v>6.2233000716845988</v>
      </c>
      <c r="O69">
        <f ca="1"/>
        <v>0</v>
      </c>
      <c r="P69">
        <f ca="1"/>
        <v>19.203992206586637</v>
      </c>
      <c r="Q69">
        <f ca="1"/>
        <v>1998.1449344594519</v>
      </c>
    </row>
    <row r="70" spans="1:17">
      <c r="A70" s="2">
        <f ca="1"/>
        <v>69</v>
      </c>
      <c r="B70" s="4">
        <f ca="1"/>
        <v>-0.53898305084745757</v>
      </c>
      <c r="C70" s="4">
        <f ca="1"/>
        <v>1.7000000000000001E-2</v>
      </c>
      <c r="D70" s="4">
        <f ca="1"/>
        <v>0.35865555874748645</v>
      </c>
      <c r="E70" s="4">
        <f ca="1"/>
        <v>42.194771617351343</v>
      </c>
      <c r="F70" s="4">
        <f ca="1"/>
        <v>2482.0453892559613</v>
      </c>
      <c r="G70">
        <f ca="1"/>
        <v>0</v>
      </c>
      <c r="H70">
        <f ca="1"/>
        <v>0.35865555874748645</v>
      </c>
      <c r="I70">
        <f ca="1"/>
        <v>5.1168541995392468E-3</v>
      </c>
      <c r="J70">
        <f ca="1"/>
        <v>7.3385053307225643E-3</v>
      </c>
      <c r="K70">
        <f ca="1"/>
        <v>0</v>
      </c>
      <c r="L70">
        <f ca="1"/>
        <v>0.47747308198790978</v>
      </c>
      <c r="M70">
        <f ca="1"/>
        <v>12.70026437346139</v>
      </c>
      <c r="N70">
        <f ca="1"/>
        <v>6.5327328655964294</v>
      </c>
      <c r="O70">
        <f ca="1"/>
        <v>0</v>
      </c>
      <c r="P70">
        <f ca="1"/>
        <v>19.710470321045729</v>
      </c>
      <c r="Q70">
        <f ca="1"/>
        <v>2054.2321604054105</v>
      </c>
    </row>
    <row r="71" spans="1:17">
      <c r="A71" s="2">
        <f ca="1"/>
        <v>70</v>
      </c>
      <c r="B71" s="4">
        <f ca="1"/>
        <v>-0.53220338983050841</v>
      </c>
      <c r="C71" s="4">
        <f ca="1"/>
        <v>1.7250000000000001E-2</v>
      </c>
      <c r="D71" s="4">
        <f ca="1"/>
        <v>0.36928181557023854</v>
      </c>
      <c r="E71" s="4">
        <f ca="1"/>
        <v>42.815282964665329</v>
      </c>
      <c r="F71" s="4">
        <f ca="1"/>
        <v>2482.0453892559613</v>
      </c>
      <c r="G71">
        <f ca="1"/>
        <v>0</v>
      </c>
      <c r="H71">
        <f ca="1"/>
        <v>0.36928181557023854</v>
      </c>
      <c r="I71">
        <f ca="1"/>
        <v>5.1955579838178084E-3</v>
      </c>
      <c r="J71">
        <f ca="1"/>
        <v>7.4734290948367662E-3</v>
      </c>
      <c r="K71">
        <f ca="1"/>
        <v>0</v>
      </c>
      <c r="L71">
        <f ca="1"/>
        <v>0.48554504777953988</v>
      </c>
      <c r="M71">
        <f ca="1"/>
        <v>12.89561073834699</v>
      </c>
      <c r="N71">
        <f ca="1"/>
        <v>6.8499525006628126</v>
      </c>
      <c r="O71">
        <f ca="1"/>
        <v>0</v>
      </c>
      <c r="P71">
        <f ca="1"/>
        <v>20.231108286789343</v>
      </c>
      <c r="Q71">
        <f ca="1"/>
        <v>2102.6935931182375</v>
      </c>
    </row>
    <row r="72" spans="1:17">
      <c r="A72" s="2">
        <f ca="1"/>
        <v>71</v>
      </c>
      <c r="B72" s="4">
        <f ca="1"/>
        <v>-0.52542372881355925</v>
      </c>
      <c r="C72" s="4">
        <f ca="1"/>
        <v>1.7500000000000002E-2</v>
      </c>
      <c r="D72" s="4">
        <f ca="1"/>
        <v>0.38006320022981915</v>
      </c>
      <c r="E72" s="4">
        <f ca="1"/>
        <v>43.435794311979322</v>
      </c>
      <c r="F72" s="4">
        <f ca="1"/>
        <v>2482.0453892559613</v>
      </c>
      <c r="G72">
        <f ca="1"/>
        <v>0</v>
      </c>
      <c r="H72">
        <f ca="1"/>
        <v>0.38006320022981915</v>
      </c>
      <c r="I72">
        <f ca="1"/>
        <v>5.2768232124871389E-3</v>
      </c>
      <c r="J72">
        <f ca="1"/>
        <v>7.6018134515983523E-3</v>
      </c>
      <c r="K72">
        <f ca="1"/>
        <v>0</v>
      </c>
      <c r="L72">
        <f ca="1"/>
        <v>0.49345243782816162</v>
      </c>
      <c r="M72">
        <f ca="1"/>
        <v>13.097314724472533</v>
      </c>
      <c r="N72">
        <f ca="1"/>
        <v>7.1710499553041576</v>
      </c>
      <c r="O72">
        <f ca="1"/>
        <v>0</v>
      </c>
      <c r="P72">
        <f ca="1"/>
        <v>20.761817117604849</v>
      </c>
      <c r="Q72">
        <f ca="1"/>
        <v>2151.9854334863435</v>
      </c>
    </row>
    <row r="73" spans="1:17">
      <c r="A73" s="2">
        <f ca="1"/>
        <v>72</v>
      </c>
      <c r="B73" s="4">
        <f ca="1"/>
        <v>-0.5186440677966101</v>
      </c>
      <c r="C73" s="4">
        <f ca="1"/>
        <v>1.7750000000000002E-2</v>
      </c>
      <c r="D73" s="4">
        <f ca="1"/>
        <v>0.39099971272622824</v>
      </c>
      <c r="E73" s="4">
        <f ca="1"/>
        <v>44.056305659293315</v>
      </c>
      <c r="F73" s="4">
        <f ca="1"/>
        <v>2482.0453892559613</v>
      </c>
      <c r="G73">
        <f ca="1"/>
        <v>0</v>
      </c>
      <c r="H73">
        <f ca="1"/>
        <v>0.39099971272622824</v>
      </c>
      <c r="I73">
        <f ca="1"/>
        <v>5.3606643244833961E-3</v>
      </c>
      <c r="J73">
        <f ca="1"/>
        <v>7.7286259626457732E-3</v>
      </c>
      <c r="K73">
        <f ca="1"/>
        <v>0</v>
      </c>
      <c r="L73">
        <f ca="1"/>
        <v>0.50121937389029014</v>
      </c>
      <c r="M73">
        <f ca="1"/>
        <v>13.305412169932936</v>
      </c>
      <c r="N73">
        <f ca="1"/>
        <v>7.5004694597092882</v>
      </c>
      <c r="O73">
        <f ca="1"/>
        <v>0</v>
      </c>
      <c r="P73">
        <f ca="1"/>
        <v>21.307101003532516</v>
      </c>
      <c r="Q73">
        <f ca="1"/>
        <v>2203.6868271390781</v>
      </c>
    </row>
    <row r="74" spans="1:17">
      <c r="A74" s="2">
        <f ca="1"/>
        <v>73</v>
      </c>
      <c r="B74" s="4">
        <f ca="1"/>
        <v>-0.51186440677966094</v>
      </c>
      <c r="C74" s="4">
        <f ca="1"/>
        <v>1.8000000000000002E-2</v>
      </c>
      <c r="D74" s="4">
        <f ca="1"/>
        <v>0.40209135305946581</v>
      </c>
      <c r="E74" s="4">
        <f ca="1"/>
        <v>44.676817006607308</v>
      </c>
      <c r="F74" s="4">
        <f ca="1"/>
        <v>2482.0453892559613</v>
      </c>
      <c r="G74">
        <f ca="1"/>
        <v>0</v>
      </c>
      <c r="H74">
        <f ca="1"/>
        <v>0.40209135305946581</v>
      </c>
      <c r="I74">
        <f ca="1"/>
        <v>5.4470647221708489E-3</v>
      </c>
      <c r="J74">
        <f ca="1"/>
        <v>7.8505005975669905E-3</v>
      </c>
      <c r="K74">
        <f ca="1"/>
        <v>0</v>
      </c>
      <c r="L74">
        <f ca="1"/>
        <v>0.50892848863037576</v>
      </c>
      <c r="M74">
        <f ca="1"/>
        <v>13.51986187864296</v>
      </c>
      <c r="N74">
        <f ca="1"/>
        <v>7.8348701639010523</v>
      </c>
      <c r="O74">
        <f ca="1"/>
        <v>0</v>
      </c>
      <c r="P74">
        <f ca="1"/>
        <v>21.863660531174389</v>
      </c>
      <c r="Q74">
        <f ca="1"/>
        <v>2249.4507460672671</v>
      </c>
    </row>
    <row r="75" spans="1:17">
      <c r="A75" s="2">
        <f ca="1"/>
        <v>74</v>
      </c>
      <c r="B75" s="4">
        <f ca="1"/>
        <v>-0.5050847457627119</v>
      </c>
      <c r="C75" s="4">
        <f ca="1"/>
        <v>1.8249999999999999E-2</v>
      </c>
      <c r="D75" s="4">
        <f ca="1"/>
        <v>0.41333812122953167</v>
      </c>
      <c r="E75" s="4">
        <f ca="1"/>
        <v>45.297328353921287</v>
      </c>
      <c r="F75" s="4">
        <f ca="1"/>
        <v>2482.0453892559613</v>
      </c>
      <c r="G75">
        <f ca="1"/>
        <v>0</v>
      </c>
      <c r="H75">
        <f ca="1"/>
        <v>0.41333812122953167</v>
      </c>
      <c r="I75">
        <f ca="1"/>
        <v>5.5360235115991564E-3</v>
      </c>
      <c r="J75">
        <f ca="1"/>
        <v>7.9682408677098134E-3</v>
      </c>
      <c r="K75">
        <f ca="1"/>
        <v>0</v>
      </c>
      <c r="L75">
        <f ca="1"/>
        <v>0.51635537611403592</v>
      </c>
      <c r="M75">
        <f ca="1"/>
        <v>13.740661631777282</v>
      </c>
      <c r="N75">
        <f ca="1"/>
        <v>8.174809368674822</v>
      </c>
      <c r="O75">
        <f ca="1"/>
        <v>0</v>
      </c>
      <c r="P75">
        <f ca="1"/>
        <v>22.431826376566143</v>
      </c>
      <c r="Q75">
        <f ca="1"/>
        <v>2294.3387878904668</v>
      </c>
    </row>
    <row r="76" spans="1:17">
      <c r="A76" s="2">
        <f ca="1"/>
        <v>75</v>
      </c>
      <c r="B76" s="4">
        <f ca="1"/>
        <v>-0.49830508474576274</v>
      </c>
      <c r="C76" s="4">
        <f ca="1"/>
        <v>1.8499999999999999E-2</v>
      </c>
      <c r="D76" s="4">
        <f ca="1"/>
        <v>0.42474001723642624</v>
      </c>
      <c r="E76" s="4">
        <f ca="1"/>
        <v>45.917839701235273</v>
      </c>
      <c r="F76" s="4">
        <f ca="1"/>
        <v>2482.0453892559613</v>
      </c>
      <c r="G76">
        <f ca="1"/>
        <v>0</v>
      </c>
      <c r="H76">
        <f ca="1"/>
        <v>0.42474001723642624</v>
      </c>
      <c r="I76">
        <f ca="1"/>
        <v>5.6275170987767197E-3</v>
      </c>
      <c r="J76">
        <f ca="1"/>
        <v>8.0812165384739273E-3</v>
      </c>
      <c r="K76">
        <f ca="1"/>
        <v>0</v>
      </c>
      <c r="L76">
        <f ca="1"/>
        <v>0.52366462165743044</v>
      </c>
      <c r="M76">
        <f ca="1"/>
        <v>13.967752867977842</v>
      </c>
      <c r="N76">
        <f ca="1"/>
        <v>8.5194124354843446</v>
      </c>
      <c r="O76">
        <f ca="1"/>
        <v>0</v>
      </c>
      <c r="P76">
        <f ca="1"/>
        <v>23.010829925119616</v>
      </c>
      <c r="Q76">
        <f ca="1"/>
        <v>2331.2627109356449</v>
      </c>
    </row>
    <row r="77" spans="1:17">
      <c r="A77" s="2">
        <f ca="1"/>
        <v>76</v>
      </c>
      <c r="B77" s="4">
        <f ca="1"/>
        <v>-0.49152542372881358</v>
      </c>
      <c r="C77" s="4">
        <f ca="1"/>
        <v>1.8749999999999999E-2</v>
      </c>
      <c r="D77" s="4">
        <f ca="1"/>
        <v>0.43629704108014933</v>
      </c>
      <c r="E77" s="4">
        <f ca="1"/>
        <v>46.538351048549266</v>
      </c>
      <c r="F77" s="4">
        <f ca="1"/>
        <v>2482.0453892559613</v>
      </c>
      <c r="G77">
        <f ca="1"/>
        <v>0</v>
      </c>
      <c r="H77">
        <f ca="1"/>
        <v>0.43629704108014933</v>
      </c>
      <c r="I77">
        <f ca="1"/>
        <v>5.7215368776226518E-3</v>
      </c>
      <c r="J77">
        <f ca="1"/>
        <v>8.1867272330774371E-3</v>
      </c>
      <c r="K77">
        <f ca="1"/>
        <v>0</v>
      </c>
      <c r="L77">
        <f ca="1"/>
        <v>0.53086241990943661</v>
      </c>
      <c r="M77">
        <f ca="1"/>
        <v>14.201114226561252</v>
      </c>
      <c r="N77">
        <f ca="1"/>
        <v>8.8654810855632782</v>
      </c>
      <c r="O77">
        <f ca="1"/>
        <v>0</v>
      </c>
      <c r="P77">
        <f ca="1"/>
        <v>23.597457732033966</v>
      </c>
      <c r="Q77">
        <f ca="1"/>
        <v>2377.5674727187857</v>
      </c>
    </row>
    <row r="78" spans="1:17">
      <c r="A78" s="2">
        <f ca="1"/>
        <v>77</v>
      </c>
      <c r="B78" s="4">
        <f ca="1"/>
        <v>-0.48474576271186443</v>
      </c>
      <c r="C78" s="4">
        <f ca="1"/>
        <v>1.9E-2</v>
      </c>
      <c r="D78" s="4">
        <f ca="1"/>
        <v>0.44800919276070095</v>
      </c>
      <c r="E78" s="4">
        <f ca="1"/>
        <v>47.15886239586326</v>
      </c>
      <c r="F78" s="4">
        <f ca="1"/>
        <v>2482.0453892559613</v>
      </c>
      <c r="G78">
        <f ca="1"/>
        <v>0</v>
      </c>
      <c r="H78">
        <f ca="1"/>
        <v>0.44800919276070095</v>
      </c>
      <c r="I78">
        <f ca="1"/>
        <v>5.8180572846064415E-3</v>
      </c>
      <c r="J78">
        <f ca="1"/>
        <v>8.2926194826104908E-3</v>
      </c>
      <c r="K78">
        <f ca="1"/>
        <v>0</v>
      </c>
      <c r="L78">
        <f ca="1"/>
        <v>0.53771142999834376</v>
      </c>
      <c r="M78">
        <f ca="1"/>
        <v>14.440682257684475</v>
      </c>
      <c r="N78">
        <f ca="1"/>
        <v>9.22121997379619</v>
      </c>
      <c r="O78">
        <f ca="1"/>
        <v>0</v>
      </c>
      <c r="P78">
        <f ca="1"/>
        <v>24.19961366147901</v>
      </c>
      <c r="Q78">
        <f ca="1"/>
        <v>2415.9029968856821</v>
      </c>
    </row>
    <row r="79" spans="1:17">
      <c r="A79" s="2">
        <f ca="1"/>
        <v>78</v>
      </c>
      <c r="B79" s="4">
        <f ca="1"/>
        <v>-0.47796610169491527</v>
      </c>
      <c r="C79" s="4">
        <f ca="1"/>
        <v>1.925E-2</v>
      </c>
      <c r="D79" s="4">
        <f ca="1"/>
        <v>0.45987647227808098</v>
      </c>
      <c r="E79" s="4">
        <f ca="1"/>
        <v>47.779373743177246</v>
      </c>
      <c r="F79" s="4">
        <f ca="1"/>
        <v>2482.0453892559613</v>
      </c>
      <c r="G79">
        <f ca="1"/>
        <v>0</v>
      </c>
      <c r="H79">
        <f ca="1"/>
        <v>0.45987647227808098</v>
      </c>
      <c r="I79">
        <f ca="1"/>
        <v>5.9170419493823258E-3</v>
      </c>
      <c r="J79">
        <f ca="1"/>
        <v>8.3882432071111148E-3</v>
      </c>
      <c r="K79">
        <f ca="1"/>
        <v>0</v>
      </c>
      <c r="L79">
        <f ca="1"/>
        <v>0.54441421615794505</v>
      </c>
      <c r="M79">
        <f ca="1"/>
        <v>14.686366688498508</v>
      </c>
      <c r="N79">
        <f ca="1"/>
        <v>9.5746283258203562</v>
      </c>
      <c r="O79">
        <f ca="1"/>
        <v>0</v>
      </c>
      <c r="P79">
        <f ca="1"/>
        <v>24.805409230476808</v>
      </c>
      <c r="Q79">
        <f ca="1"/>
        <v>2446.2964312417957</v>
      </c>
    </row>
    <row r="80" spans="1:17">
      <c r="A80" s="2">
        <f ca="1"/>
        <v>79</v>
      </c>
      <c r="B80" s="4">
        <f ca="1"/>
        <v>-0.47118644067796611</v>
      </c>
      <c r="C80" s="4">
        <f ca="1"/>
        <v>1.95E-2</v>
      </c>
      <c r="D80" s="4">
        <f ca="1"/>
        <v>0.4718988796322896</v>
      </c>
      <c r="E80" s="4">
        <f ca="1"/>
        <v>48.399885090491239</v>
      </c>
      <c r="F80" s="4">
        <f ca="1"/>
        <v>2482.0453892559613</v>
      </c>
      <c r="G80">
        <f ca="1"/>
        <v>0</v>
      </c>
      <c r="H80">
        <f ca="1"/>
        <v>0.4718988796322896</v>
      </c>
      <c r="I80">
        <f ca="1"/>
        <v>6.0184699875225718E-3</v>
      </c>
      <c r="J80">
        <f ca="1"/>
        <v>8.4810983837331506E-3</v>
      </c>
      <c r="K80">
        <f ca="1"/>
        <v>0</v>
      </c>
      <c r="L80">
        <f ca="1"/>
        <v>0.55095244788746078</v>
      </c>
      <c r="M80">
        <f ca="1"/>
        <v>14.938115682905782</v>
      </c>
      <c r="N80">
        <f ca="1"/>
        <v>9.9336937463066644</v>
      </c>
      <c r="O80">
        <f ca="1"/>
        <v>0</v>
      </c>
      <c r="P80">
        <f ca="1"/>
        <v>25.422761877099909</v>
      </c>
      <c r="Q80">
        <f ca="1"/>
        <v>2488.5361045535938</v>
      </c>
    </row>
    <row r="81" spans="1:17">
      <c r="A81" s="2">
        <f ca="1"/>
        <v>80</v>
      </c>
      <c r="B81" s="4">
        <f ca="1"/>
        <v>-0.46440677966101696</v>
      </c>
      <c r="C81" s="4">
        <f ca="1"/>
        <v>1.975E-2</v>
      </c>
      <c r="D81" s="4">
        <f ca="1"/>
        <v>0.48407641482332664</v>
      </c>
      <c r="E81" s="4">
        <f ca="1"/>
        <v>49.020396437805232</v>
      </c>
      <c r="F81" s="4">
        <f ca="1"/>
        <v>2482.0453892559613</v>
      </c>
      <c r="G81">
        <f ca="1"/>
        <v>0</v>
      </c>
      <c r="H81">
        <f ca="1"/>
        <v>0.48407641482332664</v>
      </c>
      <c r="I81">
        <f ca="1"/>
        <v>6.122289207802608E-3</v>
      </c>
      <c r="J81">
        <f ca="1"/>
        <v>8.5699178168239035E-3</v>
      </c>
      <c r="K81">
        <f ca="1"/>
        <v>0</v>
      </c>
      <c r="L81">
        <f ca="1"/>
        <v>0.55712446714113362</v>
      </c>
      <c r="M81">
        <f ca="1"/>
        <v>15.195799699917995</v>
      </c>
      <c r="N81">
        <f ca="1"/>
        <v>10.296753115694479</v>
      </c>
      <c r="O81">
        <f ca="1"/>
        <v>0</v>
      </c>
      <c r="P81">
        <f ca="1"/>
        <v>26.049677282753606</v>
      </c>
      <c r="Q81">
        <f ca="1"/>
        <v>2508.2489218392375</v>
      </c>
    </row>
    <row r="82" spans="1:17">
      <c r="A82" s="2">
        <f ca="1"/>
        <v>81</v>
      </c>
      <c r="B82" s="4">
        <f ca="1"/>
        <v>-0.4576271186440678</v>
      </c>
      <c r="C82" s="4">
        <f ca="1"/>
        <v>0.02</v>
      </c>
      <c r="D82" s="4">
        <f ca="1"/>
        <v>0.4964090778511922</v>
      </c>
      <c r="E82" s="4">
        <f ca="1"/>
        <v>49.640907785119218</v>
      </c>
      <c r="F82" s="4">
        <f ca="1"/>
        <v>2482.0453892559613</v>
      </c>
      <c r="G82">
        <f ca="1"/>
        <v>0</v>
      </c>
      <c r="H82">
        <f ca="1"/>
        <v>0.4964090778511922</v>
      </c>
      <c r="I82">
        <f ca="1"/>
        <v>6.2284596939721788E-3</v>
      </c>
      <c r="J82">
        <f ca="1"/>
        <v>8.6473594522270339E-3</v>
      </c>
      <c r="K82">
        <f ca="1"/>
        <v>0</v>
      </c>
      <c r="L82">
        <f ca="1"/>
        <v>0.56306980359840619</v>
      </c>
      <c r="M82">
        <f ca="1"/>
        <v>15.459319665590241</v>
      </c>
      <c r="N82">
        <f ca="1"/>
        <v>10.654496868830881</v>
      </c>
      <c r="O82">
        <f ca="1"/>
        <v>0</v>
      </c>
      <c r="P82">
        <f ca="1"/>
        <v>26.676886338019528</v>
      </c>
      <c r="Q82">
        <f ca="1"/>
        <v>2528.8019211863689</v>
      </c>
    </row>
    <row r="83" spans="1:17">
      <c r="A83" s="2">
        <f ca="1"/>
        <v>82</v>
      </c>
      <c r="B83" s="4">
        <f ca="1"/>
        <v>-0.45084745762711864</v>
      </c>
      <c r="C83" s="4">
        <f ca="1"/>
        <v>2.0250000000000001E-2</v>
      </c>
      <c r="D83" s="4">
        <f ca="1"/>
        <v>0.50889686871588624</v>
      </c>
      <c r="E83" s="4">
        <f ca="1"/>
        <v>50.261419132433211</v>
      </c>
      <c r="F83" s="4">
        <f ca="1"/>
        <v>2482.0453892559613</v>
      </c>
      <c r="G83">
        <f ca="1"/>
        <v>0</v>
      </c>
      <c r="H83">
        <f ca="1"/>
        <v>0.50889686871588624</v>
      </c>
      <c r="I83">
        <f ca="1"/>
        <v>6.3369391950335975E-3</v>
      </c>
      <c r="J83">
        <f ca="1"/>
        <v>8.7219283035611297E-3</v>
      </c>
      <c r="K83">
        <f ca="1"/>
        <v>0</v>
      </c>
      <c r="L83">
        <f ca="1"/>
        <v>0.56879517822586312</v>
      </c>
      <c r="M83">
        <f ca="1"/>
        <v>15.728570711028523</v>
      </c>
      <c r="N83">
        <f ca="1"/>
        <v>11.016712354092407</v>
      </c>
      <c r="O83">
        <f ca="1"/>
        <v>0</v>
      </c>
      <c r="P83">
        <f ca="1"/>
        <v>27.314078243346792</v>
      </c>
      <c r="Q83">
        <f ca="1"/>
        <v>2563.8646375793405</v>
      </c>
    </row>
    <row r="84" spans="1:17">
      <c r="A84" s="2">
        <f ca="1"/>
        <v>83</v>
      </c>
      <c r="B84" s="4">
        <f ca="1"/>
        <v>-0.44406779661016949</v>
      </c>
      <c r="C84" s="4">
        <f ca="1"/>
        <v>2.0500000000000001E-2</v>
      </c>
      <c r="D84" s="4">
        <f ca="1"/>
        <v>0.52153978741740881</v>
      </c>
      <c r="E84" s="4">
        <f ca="1"/>
        <v>50.881930479747204</v>
      </c>
      <c r="F84" s="4">
        <f ca="1"/>
        <v>2482.0453892559613</v>
      </c>
      <c r="G84">
        <f ca="1"/>
        <v>0</v>
      </c>
      <c r="H84">
        <f ca="1"/>
        <v>0.52153978741740881</v>
      </c>
      <c r="I84">
        <f ca="1"/>
        <v>6.4476650927994643E-3</v>
      </c>
      <c r="J84">
        <f ca="1"/>
        <v>8.7920828190981293E-3</v>
      </c>
      <c r="K84">
        <f ca="1"/>
        <v>0</v>
      </c>
      <c r="L84">
        <f ca="1"/>
        <v>0.57419817992001088</v>
      </c>
      <c r="M84">
        <f ca="1"/>
        <v>16.00339741504952</v>
      </c>
      <c r="N84">
        <f ca="1"/>
        <v>11.38122306183967</v>
      </c>
      <c r="O84">
        <f ca="1"/>
        <v>0</v>
      </c>
      <c r="P84">
        <f ca="1"/>
        <v>27.9588186568092</v>
      </c>
      <c r="Q84">
        <f ca="1"/>
        <v>2585.8825239589128</v>
      </c>
    </row>
    <row r="85" spans="1:17">
      <c r="A85" s="2">
        <f ca="1"/>
        <v>84</v>
      </c>
      <c r="B85" s="4">
        <f ca="1"/>
        <v>-0.43728813559322033</v>
      </c>
      <c r="C85" s="4">
        <f ca="1"/>
        <v>2.0750000000000001E-2</v>
      </c>
      <c r="D85" s="4">
        <f ca="1"/>
        <v>0.53433783395575984</v>
      </c>
      <c r="E85" s="4">
        <f ca="1"/>
        <v>51.502441827061197</v>
      </c>
      <c r="F85" s="4">
        <f ca="1"/>
        <v>2482.0453892559613</v>
      </c>
      <c r="G85">
        <f ca="1"/>
        <v>0</v>
      </c>
      <c r="H85">
        <f ca="1"/>
        <v>0.53433783395575984</v>
      </c>
      <c r="I85">
        <f ca="1"/>
        <v>6.5605748749439207E-3</v>
      </c>
      <c r="J85">
        <f ca="1"/>
        <v>8.8551423947960586E-3</v>
      </c>
      <c r="K85">
        <f ca="1"/>
        <v>0</v>
      </c>
      <c r="L85">
        <f ca="1"/>
        <v>0.57923558099876971</v>
      </c>
      <c r="M85">
        <f ca="1"/>
        <v>16.283644619223065</v>
      </c>
      <c r="N85">
        <f ca="1"/>
        <v>11.744139305104417</v>
      </c>
      <c r="O85">
        <f ca="1"/>
        <v>0</v>
      </c>
      <c r="P85">
        <f ca="1"/>
        <v>28.607019505326249</v>
      </c>
      <c r="Q85">
        <f ca="1"/>
        <v>2585.3602654259025</v>
      </c>
    </row>
    <row r="86" spans="1:17">
      <c r="A86" s="2">
        <f ca="1"/>
        <v>85</v>
      </c>
      <c r="B86" s="4">
        <f ca="1"/>
        <v>-0.43050847457627117</v>
      </c>
      <c r="C86" s="4">
        <f ca="1"/>
        <v>2.1000000000000001E-2</v>
      </c>
      <c r="D86" s="4">
        <f ca="1"/>
        <v>0.54729100833093947</v>
      </c>
      <c r="E86" s="4">
        <f ca="1"/>
        <v>52.122953174375183</v>
      </c>
      <c r="F86" s="4">
        <f ca="1"/>
        <v>2482.0453892559613</v>
      </c>
      <c r="G86">
        <f ca="1"/>
        <v>0</v>
      </c>
      <c r="H86">
        <f ca="1"/>
        <v>0.54729100833093947</v>
      </c>
      <c r="I86">
        <f ca="1"/>
        <v>6.6756041132816149E-3</v>
      </c>
      <c r="J86">
        <f ca="1"/>
        <v>8.9063151964434723E-3</v>
      </c>
      <c r="K86">
        <f ca="1"/>
        <v>0</v>
      </c>
      <c r="L86">
        <f ca="1"/>
        <v>0.58399780780691923</v>
      </c>
      <c r="M86">
        <f ca="1"/>
        <v>16.569152409868764</v>
      </c>
      <c r="N86">
        <f ca="1"/>
        <v>12.098348571846469</v>
      </c>
      <c r="O86">
        <f ca="1"/>
        <v>0</v>
      </c>
      <c r="P86">
        <f ca="1"/>
        <v>29.251498789522152</v>
      </c>
      <c r="Q86">
        <f ca="1"/>
        <v>2588.5029314722465</v>
      </c>
    </row>
    <row r="87" spans="1:17">
      <c r="A87" s="2">
        <f ca="1"/>
        <v>86</v>
      </c>
      <c r="B87" s="4">
        <f ca="1"/>
        <v>-0.42372881355932202</v>
      </c>
      <c r="C87" s="4">
        <f ca="1"/>
        <v>2.1250000000000002E-2</v>
      </c>
      <c r="D87" s="4">
        <f ca="1"/>
        <v>0.56039931054294745</v>
      </c>
      <c r="E87" s="4">
        <f ca="1"/>
        <v>52.743464521689177</v>
      </c>
      <c r="F87" s="4">
        <f ca="1"/>
        <v>2482.0453892559613</v>
      </c>
      <c r="G87">
        <f ca="1"/>
        <v>0</v>
      </c>
      <c r="H87">
        <f ca="1"/>
        <v>0.56039931054294745</v>
      </c>
      <c r="I87">
        <f ca="1"/>
        <v>6.7926926821734726E-3</v>
      </c>
      <c r="J87">
        <f ca="1"/>
        <v>8.9529852853580168E-3</v>
      </c>
      <c r="K87">
        <f ca="1"/>
        <v>0</v>
      </c>
      <c r="L87">
        <f ca="1"/>
        <v>0.58846517856504221</v>
      </c>
      <c r="M87">
        <f ca="1"/>
        <v>16.859771552421375</v>
      </c>
      <c r="N87">
        <f ca="1"/>
        <v>12.453034240075956</v>
      </c>
      <c r="O87">
        <f ca="1"/>
        <v>0</v>
      </c>
      <c r="P87">
        <f ca="1"/>
        <v>29.901270971062374</v>
      </c>
      <c r="Q87">
        <f ca="1"/>
        <v>2606.7040134983135</v>
      </c>
    </row>
    <row r="88" spans="1:17">
      <c r="A88" s="2">
        <f ca="1"/>
        <v>87</v>
      </c>
      <c r="B88" s="4">
        <f ca="1"/>
        <v>-0.41694915254237286</v>
      </c>
      <c r="C88" s="4">
        <f ca="1"/>
        <v>2.1500000000000002E-2</v>
      </c>
      <c r="D88" s="4">
        <f ca="1"/>
        <v>0.57366274059178402</v>
      </c>
      <c r="E88" s="4">
        <f ca="1"/>
        <v>53.36397586900317</v>
      </c>
      <c r="F88" s="4">
        <f ca="1"/>
        <v>2482.0453892559613</v>
      </c>
      <c r="G88">
        <f ca="1"/>
        <v>0</v>
      </c>
      <c r="H88">
        <f ca="1"/>
        <v>0.57366274059178402</v>
      </c>
      <c r="I88">
        <f ca="1"/>
        <v>6.9117564376520281E-3</v>
      </c>
      <c r="J88">
        <f ca="1"/>
        <v>8.9946067301912395E-3</v>
      </c>
      <c r="K88">
        <f ca="1"/>
        <v>0</v>
      </c>
      <c r="L88">
        <f ca="1"/>
        <v>0.59252420082873858</v>
      </c>
      <c r="M88">
        <f ca="1"/>
        <v>17.155293197734423</v>
      </c>
      <c r="N88">
        <f ca="1"/>
        <v>12.80703339770815</v>
      </c>
      <c r="O88">
        <f ca="1"/>
        <v>0</v>
      </c>
      <c r="P88">
        <f ca="1"/>
        <v>30.55485079627131</v>
      </c>
      <c r="Q88">
        <f ca="1"/>
        <v>2621.5098077815333</v>
      </c>
    </row>
    <row r="89" spans="1:17">
      <c r="A89" s="2">
        <f ca="1"/>
        <v>88</v>
      </c>
      <c r="B89" s="4">
        <f ca="1"/>
        <v>-0.41016949152542359</v>
      </c>
      <c r="C89" s="4">
        <f ca="1"/>
        <v>2.1750000000000002E-2</v>
      </c>
      <c r="D89" s="4">
        <f ca="1"/>
        <v>0.58708129847744928</v>
      </c>
      <c r="E89" s="4">
        <f ca="1"/>
        <v>53.984487216317163</v>
      </c>
      <c r="F89" s="4">
        <f ca="1"/>
        <v>2482.0453892559613</v>
      </c>
      <c r="G89">
        <f ca="1"/>
        <v>0</v>
      </c>
      <c r="H89">
        <f ca="1"/>
        <v>0.58708129847744928</v>
      </c>
      <c r="I89">
        <f ca="1"/>
        <v>7.0327052339275373E-3</v>
      </c>
      <c r="J89">
        <f ca="1"/>
        <v>9.0314949680051406E-3</v>
      </c>
      <c r="K89">
        <f ca="1"/>
        <v>0</v>
      </c>
      <c r="L89">
        <f ca="1"/>
        <v>0.59617712093654751</v>
      </c>
      <c r="M89">
        <f ca="1"/>
        <v>17.455493599866109</v>
      </c>
      <c r="N89">
        <f ca="1"/>
        <v>13.160355154150482</v>
      </c>
      <c r="O89">
        <f ca="1"/>
        <v>0</v>
      </c>
      <c r="P89">
        <f ca="1"/>
        <v>31.212025874953142</v>
      </c>
      <c r="Q89">
        <f ca="1"/>
        <v>2620.8344266061531</v>
      </c>
    </row>
    <row r="90" spans="1:17">
      <c r="A90" s="2">
        <f ca="1"/>
        <v>89</v>
      </c>
      <c r="B90" s="4">
        <f ca="1"/>
        <v>-0.40338983050847455</v>
      </c>
      <c r="C90" s="4">
        <f ca="1"/>
        <v>2.1999999999999999E-2</v>
      </c>
      <c r="D90" s="4">
        <f ca="1"/>
        <v>0.60065498419994257</v>
      </c>
      <c r="E90" s="4">
        <f ca="1"/>
        <v>54.604998563631149</v>
      </c>
      <c r="F90" s="4">
        <f ca="1"/>
        <v>2482.0453892559613</v>
      </c>
      <c r="G90">
        <f ca="1"/>
        <v>0</v>
      </c>
      <c r="H90">
        <f ca="1"/>
        <v>0.60065498419994257</v>
      </c>
      <c r="I90">
        <f ca="1"/>
        <v>7.1554620304101584E-3</v>
      </c>
      <c r="J90">
        <f ca="1"/>
        <v>9.0589786211126167E-3</v>
      </c>
      <c r="K90">
        <f ca="1"/>
        <v>0</v>
      </c>
      <c r="L90">
        <f ca="1"/>
        <v>0.59948161206204931</v>
      </c>
      <c r="M90">
        <f ca="1"/>
        <v>17.760181540575633</v>
      </c>
      <c r="N90">
        <f ca="1"/>
        <v>13.505604856936696</v>
      </c>
      <c r="O90">
        <f ca="1"/>
        <v>0</v>
      </c>
      <c r="P90">
        <f ca="1"/>
        <v>31.865268009574379</v>
      </c>
      <c r="Q90">
        <f ca="1"/>
        <v>2606.1766282565359</v>
      </c>
    </row>
    <row r="91" spans="1:17">
      <c r="A91" s="2">
        <f ca="1"/>
        <v>90</v>
      </c>
      <c r="B91" s="4">
        <f ca="1"/>
        <v>-0.39661016949152539</v>
      </c>
      <c r="C91" s="4">
        <f ca="1"/>
        <v>2.2249999999999999E-2</v>
      </c>
      <c r="D91" s="4">
        <f ca="1"/>
        <v>0.61438379775926466</v>
      </c>
      <c r="E91" s="4">
        <f ca="1"/>
        <v>55.225509910945135</v>
      </c>
      <c r="F91" s="4">
        <f ca="1"/>
        <v>2482.0453892559613</v>
      </c>
      <c r="G91">
        <f ca="1"/>
        <v>0</v>
      </c>
      <c r="H91">
        <f ca="1"/>
        <v>0.61438379775926466</v>
      </c>
      <c r="I91">
        <f ca="1"/>
        <v>7.2799324449019783E-3</v>
      </c>
      <c r="J91">
        <f ca="1"/>
        <v>9.0781786218703097E-3</v>
      </c>
      <c r="K91">
        <f ca="1"/>
        <v>0</v>
      </c>
      <c r="L91">
        <f ca="1"/>
        <v>0.60241837153215061</v>
      </c>
      <c r="M91">
        <f ca="1"/>
        <v>18.069122758963832</v>
      </c>
      <c r="N91">
        <f ca="1"/>
        <v>13.843573058585418</v>
      </c>
      <c r="O91">
        <f ca="1"/>
        <v>0</v>
      </c>
      <c r="P91">
        <f ca="1"/>
        <v>32.515114189081402</v>
      </c>
      <c r="Q91">
        <f ca="1"/>
        <v>2581.6859712848532</v>
      </c>
    </row>
    <row r="92" spans="1:17">
      <c r="A92" s="2">
        <f ca="1"/>
        <v>91</v>
      </c>
      <c r="B92" s="4">
        <f ca="1"/>
        <v>-0.38983050847457623</v>
      </c>
      <c r="C92" s="4">
        <f ca="1"/>
        <v>2.2499999999999999E-2</v>
      </c>
      <c r="D92" s="4">
        <f ca="1"/>
        <v>0.62826773915541523</v>
      </c>
      <c r="E92" s="4">
        <f ca="1"/>
        <v>55.846021258259128</v>
      </c>
      <c r="F92" s="4">
        <f ca="1"/>
        <v>2482.0453892559613</v>
      </c>
      <c r="G92">
        <f ca="1"/>
        <v>0</v>
      </c>
      <c r="H92">
        <f ca="1"/>
        <v>0.62826773915541523</v>
      </c>
      <c r="I92">
        <f ca="1"/>
        <v>7.4060114496298035E-3</v>
      </c>
      <c r="J92">
        <f ca="1"/>
        <v>9.086307460083147E-3</v>
      </c>
      <c r="K92">
        <f ca="1"/>
        <v>0</v>
      </c>
      <c r="L92">
        <f ca="1"/>
        <v>0.6049661094138663</v>
      </c>
      <c r="M92">
        <f ca="1"/>
        <v>18.382056571330512</v>
      </c>
      <c r="N92">
        <f ca="1"/>
        <v>14.169088314472429</v>
      </c>
      <c r="O92">
        <f ca="1"/>
        <v>0</v>
      </c>
      <c r="P92">
        <f ca="1"/>
        <v>33.156110995216807</v>
      </c>
      <c r="Q92">
        <f ca="1"/>
        <v>2583.6236753721073</v>
      </c>
    </row>
    <row r="93" spans="1:17">
      <c r="A93" s="2">
        <f ca="1"/>
        <v>92</v>
      </c>
      <c r="B93" s="4">
        <f ca="1"/>
        <v>-0.38305084745762707</v>
      </c>
      <c r="C93" s="4">
        <f ca="1"/>
        <v>2.2749999999999999E-2</v>
      </c>
      <c r="D93" s="4">
        <f ca="1"/>
        <v>0.64230680838839427</v>
      </c>
      <c r="E93" s="4">
        <f ca="1"/>
        <v>56.466532605573114</v>
      </c>
      <c r="F93" s="4">
        <f ca="1"/>
        <v>2482.0453892559613</v>
      </c>
      <c r="G93">
        <f ca="1"/>
        <v>0</v>
      </c>
      <c r="H93">
        <f ca="1"/>
        <v>0.64230680838839427</v>
      </c>
      <c r="I93">
        <f ca="1"/>
        <v>7.5336364785306194E-3</v>
      </c>
      <c r="J93">
        <f ca="1"/>
        <v>9.0959807449497079E-3</v>
      </c>
      <c r="K93">
        <f ca="1"/>
        <v>0</v>
      </c>
      <c r="L93">
        <f ca="1"/>
        <v>0.60697064111947063</v>
      </c>
      <c r="M93">
        <f ca="1"/>
        <v>18.698827685867439</v>
      </c>
      <c r="N93">
        <f ca="1"/>
        <v>14.501127699780545</v>
      </c>
      <c r="O93">
        <f ca="1"/>
        <v>0</v>
      </c>
      <c r="P93">
        <f ca="1"/>
        <v>33.806926026767457</v>
      </c>
      <c r="Q93">
        <f ca="1"/>
        <v>2551.4739085120632</v>
      </c>
    </row>
    <row r="94" spans="1:17">
      <c r="A94" s="2">
        <f ca="1"/>
        <v>93</v>
      </c>
      <c r="B94" s="4">
        <f ca="1"/>
        <v>-0.37627118644067792</v>
      </c>
      <c r="C94" s="4">
        <f ca="1"/>
        <v>2.3E-2</v>
      </c>
      <c r="D94" s="4">
        <f ca="1"/>
        <v>0.65650100545820178</v>
      </c>
      <c r="E94" s="4">
        <f ca="1"/>
        <v>57.087043952887115</v>
      </c>
      <c r="F94" s="4">
        <f ca="1"/>
        <v>2482.0453892559613</v>
      </c>
      <c r="G94">
        <f ca="1"/>
        <v>0</v>
      </c>
      <c r="H94">
        <f ca="1"/>
        <v>0.65650100545820178</v>
      </c>
      <c r="I94">
        <f ca="1"/>
        <v>7.6626485867515382E-3</v>
      </c>
      <c r="J94">
        <f ca="1"/>
        <v>9.0853416259114306E-3</v>
      </c>
      <c r="K94">
        <f ca="1"/>
        <v>0</v>
      </c>
      <c r="L94">
        <f ca="1"/>
        <v>0.60855749495714373</v>
      </c>
      <c r="M94">
        <f ca="1"/>
        <v>19.019041594235365</v>
      </c>
      <c r="N94">
        <f ca="1"/>
        <v>14.80424886028033</v>
      </c>
      <c r="O94">
        <f ca="1"/>
        <v>0</v>
      </c>
      <c r="P94">
        <f ca="1"/>
        <v>34.431847949472839</v>
      </c>
      <c r="Q94">
        <f ca="1"/>
        <v>2499.360256269083</v>
      </c>
    </row>
    <row r="95" spans="1:17">
      <c r="A95" s="2">
        <f ca="1"/>
        <v>94</v>
      </c>
      <c r="B95" s="4">
        <f ca="1"/>
        <v>-0.36949152542372876</v>
      </c>
      <c r="C95" s="4">
        <f ca="1"/>
        <v>2.325E-2</v>
      </c>
      <c r="D95" s="4">
        <f ca="1"/>
        <v>0.67085033036483788</v>
      </c>
      <c r="E95" s="4">
        <f ca="1"/>
        <v>57.707555300201101</v>
      </c>
      <c r="F95" s="4">
        <f ca="1"/>
        <v>2482.0453892559613</v>
      </c>
      <c r="G95">
        <f ca="1"/>
        <v>0</v>
      </c>
      <c r="H95">
        <f ca="1"/>
        <v>0.67085033036483788</v>
      </c>
      <c r="I95">
        <f ca="1"/>
        <v>7.7929358364017534E-3</v>
      </c>
      <c r="J95">
        <f ca="1"/>
        <v>9.0713168828466546E-3</v>
      </c>
      <c r="K95">
        <f ca="1"/>
        <v>0</v>
      </c>
      <c r="L95">
        <f ca="1"/>
        <v>0.60970858470526945</v>
      </c>
      <c r="M95">
        <f ca="1"/>
        <v>19.342420461508521</v>
      </c>
      <c r="N95">
        <f ca="1"/>
        <v>15.104477108688204</v>
      </c>
      <c r="O95">
        <f ca="1"/>
        <v>0</v>
      </c>
      <c r="P95">
        <f ca="1"/>
        <v>35.056606154901999</v>
      </c>
      <c r="Q95">
        <f ca="1"/>
        <v>2487.903562245433</v>
      </c>
    </row>
    <row r="96" spans="1:17">
      <c r="A96" s="2">
        <f ca="1"/>
        <v>95</v>
      </c>
      <c r="B96" s="4">
        <f ca="1"/>
        <v>-0.3627118644067796</v>
      </c>
      <c r="C96" s="4">
        <f ca="1"/>
        <v>2.35E-2</v>
      </c>
      <c r="D96" s="4">
        <f ca="1"/>
        <v>0.68535478310830233</v>
      </c>
      <c r="E96" s="4">
        <f ca="1"/>
        <v>58.328066647515094</v>
      </c>
      <c r="F96" s="4">
        <f ca="1"/>
        <v>2482.0453892559613</v>
      </c>
      <c r="G96">
        <f ca="1"/>
        <v>0</v>
      </c>
      <c r="H96">
        <f ca="1"/>
        <v>0.68535478310830233</v>
      </c>
      <c r="I96">
        <f ca="1"/>
        <v>7.9243930379179883E-3</v>
      </c>
      <c r="J96">
        <f ca="1"/>
        <v>9.0511176281872444E-3</v>
      </c>
      <c r="K96">
        <f ca="1"/>
        <v>0</v>
      </c>
      <c r="L96">
        <f ca="1"/>
        <v>0.61040615260819808</v>
      </c>
      <c r="M96">
        <f ca="1"/>
        <v>19.668703202416381</v>
      </c>
      <c r="N96">
        <f ca="1"/>
        <v>15.39669037557098</v>
      </c>
      <c r="O96">
        <f ca="1"/>
        <v>0</v>
      </c>
      <c r="P96">
        <f ca="1"/>
        <v>35.675799730595557</v>
      </c>
      <c r="Q96">
        <f ca="1"/>
        <v>2452.5341953589195</v>
      </c>
    </row>
    <row r="97" spans="1:17">
      <c r="A97" s="2">
        <f ca="1"/>
        <v>96</v>
      </c>
      <c r="B97" s="4">
        <f ca="1"/>
        <v>-0.35593220338983045</v>
      </c>
      <c r="C97" s="4">
        <f ca="1"/>
        <v>2.375E-2</v>
      </c>
      <c r="D97" s="4">
        <f ca="1"/>
        <v>0.70001436368859538</v>
      </c>
      <c r="E97" s="4">
        <f ca="1"/>
        <v>58.94857799482908</v>
      </c>
      <c r="F97" s="4">
        <f ca="1"/>
        <v>2482.0453892559613</v>
      </c>
      <c r="G97">
        <f ca="1"/>
        <v>0</v>
      </c>
      <c r="H97">
        <f ca="1"/>
        <v>0.70001436368859538</v>
      </c>
      <c r="I97">
        <f ca="1"/>
        <v>8.0568981987026705E-3</v>
      </c>
      <c r="J97">
        <f ca="1"/>
        <v>9.0215523890231023E-3</v>
      </c>
      <c r="K97">
        <f ca="1"/>
        <v>0</v>
      </c>
      <c r="L97">
        <f ca="1"/>
        <v>0.61063283869798479</v>
      </c>
      <c r="M97">
        <f ca="1"/>
        <v>19.997587025794623</v>
      </c>
      <c r="N97">
        <f ca="1"/>
        <v>15.674653388088853</v>
      </c>
      <c r="O97">
        <f ca="1"/>
        <v>0</v>
      </c>
      <c r="P97">
        <f ca="1"/>
        <v>36.28287325258146</v>
      </c>
      <c r="Q97">
        <f ca="1"/>
        <v>2418.9338952406965</v>
      </c>
    </row>
    <row r="98" spans="1:17">
      <c r="A98" s="2">
        <f ca="1"/>
        <v>97</v>
      </c>
      <c r="B98" s="4">
        <f ca="1"/>
        <v>-0.34915254237288129</v>
      </c>
      <c r="C98" s="4">
        <f ca="1"/>
        <v>2.4E-2</v>
      </c>
      <c r="D98" s="4">
        <f ca="1"/>
        <v>0.71482907210571689</v>
      </c>
      <c r="E98" s="4">
        <f ca="1"/>
        <v>59.569089342143066</v>
      </c>
      <c r="F98" s="4">
        <f ca="1"/>
        <v>2482.0453892559613</v>
      </c>
      <c r="G98">
        <f ca="1"/>
        <v>0</v>
      </c>
      <c r="H98">
        <f ca="1"/>
        <v>0.71482907210571689</v>
      </c>
      <c r="I98">
        <f ca="1"/>
        <v>8.1903284435027052E-3</v>
      </c>
      <c r="J98">
        <f ca="1"/>
        <v>8.9876084490881965E-3</v>
      </c>
      <c r="K98">
        <f ca="1"/>
        <v>0</v>
      </c>
      <c r="L98">
        <f ca="1"/>
        <v>0.61034146880933049</v>
      </c>
      <c r="M98">
        <f ca="1"/>
        <v>20.328766949687843</v>
      </c>
      <c r="N98">
        <f ca="1"/>
        <v>15.946158259718732</v>
      </c>
      <c r="O98">
        <f ca="1"/>
        <v>0</v>
      </c>
      <c r="P98">
        <f ca="1"/>
        <v>36.885266678215906</v>
      </c>
      <c r="Q98">
        <f ca="1"/>
        <v>2368.9238536911839</v>
      </c>
    </row>
    <row r="99" spans="1:17">
      <c r="A99" s="2">
        <f ca="1"/>
        <v>98</v>
      </c>
      <c r="B99" s="4">
        <f ca="1"/>
        <v>-0.34237288135593213</v>
      </c>
      <c r="C99" s="4">
        <f ca="1"/>
        <v>2.4250000000000001E-2</v>
      </c>
      <c r="D99" s="4">
        <f ca="1"/>
        <v>0.72979890835966699</v>
      </c>
      <c r="E99" s="4">
        <f ca="1"/>
        <v>60.189600689457066</v>
      </c>
      <c r="F99" s="4">
        <f ca="1"/>
        <v>2482.0453892559613</v>
      </c>
      <c r="G99">
        <f ca="1"/>
        <v>0</v>
      </c>
      <c r="H99">
        <f ca="1"/>
        <v>0.72979890835966699</v>
      </c>
      <c r="I99">
        <f ca="1"/>
        <v>8.3245290307397621E-3</v>
      </c>
      <c r="J99">
        <f ca="1"/>
        <v>8.9411792406014576E-3</v>
      </c>
      <c r="K99">
        <f ca="1"/>
        <v>0</v>
      </c>
      <c r="L99">
        <f ca="1"/>
        <v>0.60947771231500292</v>
      </c>
      <c r="M99">
        <f ca="1"/>
        <v>20.661858898475021</v>
      </c>
      <c r="N99">
        <f ca="1"/>
        <v>16.195998568637027</v>
      </c>
      <c r="O99">
        <f ca="1"/>
        <v>0</v>
      </c>
      <c r="P99">
        <f ca="1"/>
        <v>37.467335179427053</v>
      </c>
      <c r="Q99">
        <f ca="1"/>
        <v>2305.2248671407206</v>
      </c>
    </row>
    <row r="100" spans="1:17">
      <c r="A100" s="2">
        <f ca="1"/>
        <v>99</v>
      </c>
      <c r="B100" s="4">
        <f ca="1"/>
        <v>-0.33559322033898298</v>
      </c>
      <c r="C100" s="4">
        <f ca="1"/>
        <v>2.4500000000000001E-2</v>
      </c>
      <c r="D100" s="4">
        <f ca="1"/>
        <v>0.74492387245044545</v>
      </c>
      <c r="E100" s="4">
        <f ca="1"/>
        <v>60.810112036771045</v>
      </c>
      <c r="F100" s="4">
        <f ca="1"/>
        <v>2482.0453892559613</v>
      </c>
      <c r="G100">
        <f ca="1"/>
        <v>-4964090.7785119181</v>
      </c>
      <c r="H100">
        <f ca="1"/>
        <v>0.74492387245044545</v>
      </c>
      <c r="I100">
        <f ca="1"/>
        <v>8.459373532650331E-3</v>
      </c>
      <c r="J100">
        <f ca="1"/>
        <v>8.8879432820526943E-3</v>
      </c>
      <c r="K100">
        <f ca="1"/>
        <v>0</v>
      </c>
      <c r="L100">
        <f ca="1"/>
        <v>0.60810184485860108</v>
      </c>
      <c r="M100">
        <f ca="1"/>
        <v>20.996549072708667</v>
      </c>
      <c r="N100">
        <f ca="1"/>
        <v>16.433228194219001</v>
      </c>
      <c r="O100">
        <f ca="1"/>
        <v>0</v>
      </c>
      <c r="P100">
        <f ca="1"/>
        <v>38.037879111786268</v>
      </c>
      <c r="Q100">
        <f ca="1"/>
        <v>-40863.539042203156</v>
      </c>
    </row>
    <row r="101" spans="1:17">
      <c r="A101" s="2">
        <f ca="1"/>
        <v>100</v>
      </c>
      <c r="B101" s="4">
        <f ca="1"/>
        <v>-0.32881355932203382</v>
      </c>
      <c r="C101" s="4">
        <f ca="1"/>
        <v>2.4750000000000001E-2</v>
      </c>
      <c r="D101" s="4">
        <f ca="1"/>
        <v>0.7601694915254239</v>
      </c>
      <c r="E101" s="4">
        <f ca="1"/>
        <v>61.016949152542374</v>
      </c>
      <c r="F101" s="4">
        <f ca="1"/>
        <v>0</v>
      </c>
      <c r="G101">
        <f ca="1"/>
        <v>-4964090.7785119181</v>
      </c>
      <c r="H101">
        <f ca="1"/>
        <v>0.7601694915254239</v>
      </c>
      <c r="I101">
        <f ca="1"/>
        <v>8.5944184361767106E-3</v>
      </c>
      <c r="J101">
        <f ca="1"/>
        <v>8.8257112945056854E-3</v>
      </c>
      <c r="K101">
        <f ca="1"/>
        <v>0</v>
      </c>
      <c r="L101">
        <f ca="1"/>
        <v>0.60620363925138476</v>
      </c>
      <c r="M101">
        <f ca="1"/>
        <v>0</v>
      </c>
      <c r="N101">
        <f ca="1"/>
        <v>16.429362019074073</v>
      </c>
      <c r="O101">
        <f ca="1"/>
        <v>0</v>
      </c>
      <c r="P101">
        <f ca="1"/>
        <v>17.035565658325456</v>
      </c>
      <c r="Q101">
        <f ca="1"/>
        <v>-42264.604725261954</v>
      </c>
    </row>
    <row r="102" spans="1:17">
      <c r="A102" s="2">
        <f ca="1"/>
        <v>101</v>
      </c>
      <c r="B102" s="4">
        <f ca="1"/>
        <v>-0.32203389830508466</v>
      </c>
      <c r="C102" s="4">
        <f ca="1"/>
        <v>2.5000000000000001E-2</v>
      </c>
      <c r="D102" s="4">
        <f ca="1"/>
        <v>0.77542372881355948</v>
      </c>
      <c r="E102" s="4">
        <f ca="1"/>
        <v>61.016949152542374</v>
      </c>
      <c r="F102" s="4">
        <f ca="1"/>
        <v>0</v>
      </c>
      <c r="G102">
        <f ca="1"/>
        <v>0</v>
      </c>
      <c r="H102">
        <f ca="1"/>
        <v>0.77542372881355948</v>
      </c>
      <c r="I102">
        <f ca="1"/>
        <v>8.7285453112648185E-3</v>
      </c>
      <c r="J102">
        <f ca="1"/>
        <v>8.7571775085056088E-3</v>
      </c>
      <c r="K102">
        <f ca="1"/>
        <v>0</v>
      </c>
      <c r="L102">
        <f ca="1"/>
        <v>0.60379270574350663</v>
      </c>
      <c r="M102">
        <f ca="1"/>
        <v>0</v>
      </c>
      <c r="N102">
        <f ca="1"/>
        <v>16.301784043411764</v>
      </c>
      <c r="O102">
        <f ca="1"/>
        <v>0</v>
      </c>
      <c r="P102">
        <f ca="1"/>
        <v>16.905576749155273</v>
      </c>
      <c r="Q102">
        <f ca="1"/>
        <v>-554.1017517746875</v>
      </c>
    </row>
    <row r="103" spans="1:17">
      <c r="A103" s="2">
        <f ca="1"/>
        <v>102</v>
      </c>
      <c r="B103" s="4">
        <f ca="1"/>
        <v>-0.31525423728813551</v>
      </c>
      <c r="C103" s="4">
        <f ca="1"/>
        <v>2.5250000000000002E-2</v>
      </c>
      <c r="D103" s="4">
        <f ca="1"/>
        <v>0.79067796610169516</v>
      </c>
      <c r="E103" s="4">
        <f ca="1"/>
        <v>61.016949152542374</v>
      </c>
      <c r="F103" s="4">
        <f ca="1"/>
        <v>0</v>
      </c>
      <c r="G103">
        <f ca="1"/>
        <v>0</v>
      </c>
      <c r="H103">
        <f ca="1"/>
        <v>0.79067796610169516</v>
      </c>
      <c r="I103">
        <f ca="1"/>
        <v>8.861566241847427E-3</v>
      </c>
      <c r="J103">
        <f ca="1"/>
        <v>8.679744894034884E-3</v>
      </c>
      <c r="K103">
        <f ca="1"/>
        <v>0</v>
      </c>
      <c r="L103">
        <f ca="1"/>
        <v>0.6008741868201718</v>
      </c>
      <c r="M103">
        <f ca="1"/>
        <v>0</v>
      </c>
      <c r="N103">
        <f ca="1"/>
        <v>16.157640595617941</v>
      </c>
      <c r="O103">
        <f ca="1"/>
        <v>0</v>
      </c>
      <c r="P103">
        <f ca="1"/>
        <v>16.758514782438112</v>
      </c>
      <c r="Q103">
        <f ca="1"/>
        <v>-611.46213456897362</v>
      </c>
    </row>
    <row r="104" spans="1:17">
      <c r="A104" s="2">
        <f ca="1"/>
        <v>103</v>
      </c>
      <c r="B104" s="4">
        <f ca="1"/>
        <v>-0.30847457627118635</v>
      </c>
      <c r="C104" s="4">
        <f ca="1"/>
        <v>2.5500000000000002E-2</v>
      </c>
      <c r="D104" s="4">
        <f ca="1"/>
        <v>0.80593220338983074</v>
      </c>
      <c r="E104" s="4">
        <f ca="1"/>
        <v>61.016949152542374</v>
      </c>
      <c r="F104" s="4">
        <f ca="1"/>
        <v>0</v>
      </c>
      <c r="G104">
        <f ca="1"/>
        <v>0</v>
      </c>
      <c r="H104">
        <f ca="1"/>
        <v>0.80593220338983074</v>
      </c>
      <c r="I104">
        <f ca="1"/>
        <v>8.9933644881438537E-3</v>
      </c>
      <c r="J104">
        <f ca="1"/>
        <v>8.5963472189492414E-3</v>
      </c>
      <c r="K104">
        <f ca="1"/>
        <v>0</v>
      </c>
      <c r="L104">
        <f ca="1"/>
        <v>0.59745269744358764</v>
      </c>
      <c r="M104">
        <f ca="1"/>
        <v>0</v>
      </c>
      <c r="N104">
        <f ca="1"/>
        <v>16.0023929844272</v>
      </c>
      <c r="O104">
        <f ca="1"/>
        <v>0</v>
      </c>
      <c r="P104">
        <f ca="1"/>
        <v>16.599845681870786</v>
      </c>
      <c r="Q104">
        <f ca="1"/>
        <v>-661.59106934504962</v>
      </c>
    </row>
    <row r="105" spans="1:17">
      <c r="A105" s="2">
        <f ca="1"/>
        <v>104</v>
      </c>
      <c r="B105" s="4">
        <f ca="1"/>
        <v>-0.30169491525423719</v>
      </c>
      <c r="C105" s="4">
        <f ca="1"/>
        <v>2.5750000000000002E-2</v>
      </c>
      <c r="D105" s="4">
        <f ca="1"/>
        <v>0.82118644067796631</v>
      </c>
      <c r="E105" s="4">
        <f ca="1"/>
        <v>61.016949152542374</v>
      </c>
      <c r="F105" s="4">
        <f ca="1"/>
        <v>0</v>
      </c>
      <c r="G105">
        <f ca="1"/>
        <v>0</v>
      </c>
      <c r="H105">
        <f ca="1"/>
        <v>0.82118644067796631</v>
      </c>
      <c r="I105">
        <f ca="1"/>
        <v>9.1238397325119729E-3</v>
      </c>
      <c r="J105">
        <f ca="1"/>
        <v>8.5059879200205038E-3</v>
      </c>
      <c r="K105">
        <f ca="1"/>
        <v>0</v>
      </c>
      <c r="L105">
        <f ca="1"/>
        <v>0.59353317430023933</v>
      </c>
      <c r="M105">
        <f ca="1"/>
        <v>0</v>
      </c>
      <c r="N105">
        <f ca="1"/>
        <v>15.834186073465347</v>
      </c>
      <c r="O105">
        <f ca="1"/>
        <v>0</v>
      </c>
      <c r="P105">
        <f ca="1"/>
        <v>16.427719247765587</v>
      </c>
      <c r="Q105">
        <f ca="1"/>
        <v>-702.15241809070449</v>
      </c>
    </row>
    <row r="106" spans="1:17">
      <c r="A106" s="2">
        <f ca="1"/>
        <v>105</v>
      </c>
      <c r="B106" s="4">
        <f ca="1"/>
        <v>-0.29491525423728804</v>
      </c>
      <c r="C106" s="4">
        <f ca="1"/>
        <v>2.6000000000000002E-2</v>
      </c>
      <c r="D106" s="4">
        <f ca="1"/>
        <v>0.83644067796610189</v>
      </c>
      <c r="E106" s="4">
        <f ca="1"/>
        <v>61.016949152542374</v>
      </c>
      <c r="F106" s="4">
        <f ca="1"/>
        <v>0</v>
      </c>
      <c r="G106">
        <f ca="1"/>
        <v>0</v>
      </c>
      <c r="H106">
        <f ca="1"/>
        <v>0.83644067796610189</v>
      </c>
      <c r="I106">
        <f ca="1"/>
        <v>9.2528877031409253E-3</v>
      </c>
      <c r="J106">
        <f ca="1"/>
        <v>8.4122542052034489E-3</v>
      </c>
      <c r="K106">
        <f ca="1"/>
        <v>0</v>
      </c>
      <c r="L106">
        <f ca="1"/>
        <v>0.58907190036971635</v>
      </c>
      <c r="M106">
        <f ca="1"/>
        <v>0</v>
      </c>
      <c r="N106">
        <f ca="1"/>
        <v>15.659697572455718</v>
      </c>
      <c r="O106">
        <f ca="1"/>
        <v>0</v>
      </c>
      <c r="P106">
        <f ca="1"/>
        <v>16.248769472825433</v>
      </c>
      <c r="Q106">
        <f ca="1"/>
        <v>-764.60472024792136</v>
      </c>
    </row>
    <row r="107" spans="1:17">
      <c r="A107" s="2">
        <f ca="1"/>
        <v>106</v>
      </c>
      <c r="B107" s="4">
        <f ca="1"/>
        <v>-0.28813559322033899</v>
      </c>
      <c r="C107" s="4">
        <f ca="1"/>
        <v>2.6249999999999999E-2</v>
      </c>
      <c r="D107" s="4">
        <f ca="1"/>
        <v>0.85169491525423724</v>
      </c>
      <c r="E107" s="4">
        <f ca="1"/>
        <v>61.016949152542374</v>
      </c>
      <c r="F107" s="4">
        <f ca="1"/>
        <v>0</v>
      </c>
      <c r="G107">
        <f ca="1"/>
        <v>0</v>
      </c>
      <c r="H107">
        <f ca="1"/>
        <v>0.85169491525423724</v>
      </c>
      <c r="I107">
        <f ca="1"/>
        <v>9.3804263502484993E-3</v>
      </c>
      <c r="J107">
        <f ca="1"/>
        <v>8.3056898005282927E-3</v>
      </c>
      <c r="K107">
        <f ca="1"/>
        <v>0</v>
      </c>
      <c r="L107">
        <f ca="1"/>
        <v>0.58409258214799642</v>
      </c>
      <c r="M107">
        <f ca="1"/>
        <v>0</v>
      </c>
      <c r="N107">
        <f ca="1"/>
        <v>15.461324305493633</v>
      </c>
      <c r="O107">
        <f ca="1"/>
        <v>0</v>
      </c>
      <c r="P107">
        <f ca="1"/>
        <v>16.045416887641629</v>
      </c>
      <c r="Q107">
        <f ca="1"/>
        <v>-826.75451143331964</v>
      </c>
    </row>
    <row r="108" spans="1:17">
      <c r="A108" s="2">
        <f ca="1"/>
        <v>107</v>
      </c>
      <c r="B108" s="4">
        <f ca="1"/>
        <v>-0.28135593220338984</v>
      </c>
      <c r="C108" s="4">
        <f ca="1"/>
        <v>2.6499999999999999E-2</v>
      </c>
      <c r="D108" s="4">
        <f ca="1"/>
        <v>0.86694915254237293</v>
      </c>
      <c r="E108" s="4">
        <f ca="1"/>
        <v>61.016949152542374</v>
      </c>
      <c r="F108" s="4">
        <f ca="1"/>
        <v>0</v>
      </c>
      <c r="G108">
        <f ca="1"/>
        <v>0</v>
      </c>
      <c r="H108">
        <f ca="1"/>
        <v>0.86694915254237293</v>
      </c>
      <c r="I108">
        <f ca="1"/>
        <v>9.5063121038849088E-3</v>
      </c>
      <c r="J108">
        <f ca="1"/>
        <v>8.1957983849509381E-3</v>
      </c>
      <c r="K108">
        <f ca="1"/>
        <v>0</v>
      </c>
      <c r="L108">
        <f ca="1"/>
        <v>0.57863452262957893</v>
      </c>
      <c r="M108">
        <f ca="1"/>
        <v>0</v>
      </c>
      <c r="N108">
        <f ca="1"/>
        <v>15.256757694479196</v>
      </c>
      <c r="O108">
        <f ca="1"/>
        <v>0</v>
      </c>
      <c r="P108">
        <f ca="1"/>
        <v>15.835392217108776</v>
      </c>
      <c r="Q108">
        <f ca="1"/>
        <v>-859.67920304875202</v>
      </c>
    </row>
    <row r="109" spans="1:17">
      <c r="A109" s="2">
        <f ca="1"/>
        <v>108</v>
      </c>
      <c r="B109" s="4">
        <f ca="1"/>
        <v>-0.27457627118644068</v>
      </c>
      <c r="C109" s="4">
        <f ca="1"/>
        <v>2.6749999999999999E-2</v>
      </c>
      <c r="D109" s="4">
        <f ca="1"/>
        <v>0.8822033898305085</v>
      </c>
      <c r="E109" s="4">
        <f ca="1"/>
        <v>61.016949152542374</v>
      </c>
      <c r="F109" s="4">
        <f ca="1"/>
        <v>0</v>
      </c>
      <c r="G109">
        <f ca="1"/>
        <v>0</v>
      </c>
      <c r="H109">
        <f ca="1"/>
        <v>0.8822033898305085</v>
      </c>
      <c r="I109">
        <f ca="1"/>
        <v>9.6304768224061525E-3</v>
      </c>
      <c r="J109">
        <f ca="1"/>
        <v>8.0809014912463714E-3</v>
      </c>
      <c r="K109">
        <f ca="1"/>
        <v>0</v>
      </c>
      <c r="L109">
        <f ca="1"/>
        <v>0.57270407058249495</v>
      </c>
      <c r="M109">
        <f ca="1"/>
        <v>0</v>
      </c>
      <c r="N109">
        <f ca="1"/>
        <v>15.042873215534758</v>
      </c>
      <c r="O109">
        <f ca="1"/>
        <v>0</v>
      </c>
      <c r="P109">
        <f ca="1"/>
        <v>15.615577286117253</v>
      </c>
      <c r="Q109">
        <f ca="1"/>
        <v>-908.88525212956768</v>
      </c>
    </row>
    <row r="110" spans="1:17">
      <c r="A110" s="2">
        <f ca="1"/>
        <v>109</v>
      </c>
      <c r="B110" s="4">
        <f ca="1"/>
        <v>-0.26779661016949152</v>
      </c>
      <c r="C110" s="4">
        <f ca="1"/>
        <v>2.7E-2</v>
      </c>
      <c r="D110" s="4">
        <f ca="1"/>
        <v>0.89745762711864407</v>
      </c>
      <c r="E110" s="4">
        <f ca="1"/>
        <v>61.016949152542374</v>
      </c>
      <c r="F110" s="4">
        <f ca="1"/>
        <v>0</v>
      </c>
      <c r="G110">
        <f ca="1"/>
        <v>0</v>
      </c>
      <c r="H110">
        <f ca="1"/>
        <v>0.89745762711864407</v>
      </c>
      <c r="I110">
        <f ca="1"/>
        <v>9.7528286985377396E-3</v>
      </c>
      <c r="J110">
        <f ca="1"/>
        <v>7.9582975170697217E-3</v>
      </c>
      <c r="K110">
        <f ca="1"/>
        <v>0</v>
      </c>
      <c r="L110">
        <f ca="1"/>
        <v>0.56630784711644244</v>
      </c>
      <c r="M110">
        <f ca="1"/>
        <v>0</v>
      </c>
      <c r="N110">
        <f ca="1"/>
        <v>14.814641743927549</v>
      </c>
      <c r="O110">
        <f ca="1"/>
        <v>0</v>
      </c>
      <c r="P110">
        <f ca="1"/>
        <v>15.380949591043992</v>
      </c>
      <c r="Q110">
        <f ca="1"/>
        <v>-951.36159947619615</v>
      </c>
    </row>
    <row r="111" spans="1:17">
      <c r="A111" s="2">
        <f ca="1"/>
        <v>110</v>
      </c>
      <c r="B111" s="4">
        <f ca="1"/>
        <v>-0.26101694915254237</v>
      </c>
      <c r="C111" s="4">
        <f ca="1"/>
        <v>2.725E-2</v>
      </c>
      <c r="D111" s="4">
        <f ca="1"/>
        <v>0.91271186440677965</v>
      </c>
      <c r="E111" s="4">
        <f ca="1"/>
        <v>61.016949152542374</v>
      </c>
      <c r="F111" s="4">
        <f ca="1"/>
        <v>0</v>
      </c>
      <c r="G111">
        <f ca="1"/>
        <v>0</v>
      </c>
      <c r="H111">
        <f ca="1"/>
        <v>0.91271186440677965</v>
      </c>
      <c r="I111">
        <f ca="1"/>
        <v>9.8732786850200642E-3</v>
      </c>
      <c r="J111">
        <f ca="1"/>
        <v>7.8324883776287359E-3</v>
      </c>
      <c r="K111">
        <f ca="1"/>
        <v>0</v>
      </c>
      <c r="L111">
        <f ca="1"/>
        <v>0.55945273830842379</v>
      </c>
      <c r="M111">
        <f ca="1"/>
        <v>0</v>
      </c>
      <c r="N111">
        <f ca="1"/>
        <v>14.58044374807073</v>
      </c>
      <c r="O111">
        <f ca="1"/>
        <v>0</v>
      </c>
      <c r="P111">
        <f ca="1"/>
        <v>15.139896486379154</v>
      </c>
      <c r="Q111">
        <f ca="1"/>
        <v>-984.57188008854416</v>
      </c>
    </row>
    <row r="112" spans="1:17">
      <c r="A112" s="2">
        <f ca="1"/>
        <v>111</v>
      </c>
      <c r="B112" s="4">
        <f ca="1"/>
        <v>-0.25423728813559321</v>
      </c>
      <c r="C112" s="4">
        <f ca="1"/>
        <v>2.75E-2</v>
      </c>
      <c r="D112" s="4">
        <f ca="1"/>
        <v>0.92796610169491522</v>
      </c>
      <c r="E112" s="4">
        <f ca="1"/>
        <v>61.016949152542374</v>
      </c>
      <c r="F112" s="4">
        <f ca="1"/>
        <v>0</v>
      </c>
      <c r="G112">
        <f ca="1"/>
        <v>0</v>
      </c>
      <c r="H112">
        <f ca="1"/>
        <v>0.92796610169491522</v>
      </c>
      <c r="I112">
        <f ca="1"/>
        <v>9.991742506708574E-3</v>
      </c>
      <c r="J112">
        <f ca="1"/>
        <v>7.7014534464851792E-3</v>
      </c>
      <c r="K112">
        <f ca="1"/>
        <v>0</v>
      </c>
      <c r="L112">
        <f ca="1"/>
        <v>0.55214588793624186</v>
      </c>
      <c r="M112">
        <f ca="1"/>
        <v>0</v>
      </c>
      <c r="N112">
        <f ca="1"/>
        <v>14.336517763063478</v>
      </c>
      <c r="O112">
        <f ca="1"/>
        <v>0</v>
      </c>
      <c r="P112">
        <f ca="1"/>
        <v>14.888663650999719</v>
      </c>
      <c r="Q112">
        <f ca="1"/>
        <v>-1035.2431217563794</v>
      </c>
    </row>
    <row r="113" spans="1:17">
      <c r="A113" s="2">
        <f ca="1"/>
        <v>112</v>
      </c>
      <c r="B113" s="4">
        <f ca="1"/>
        <v>-0.24745762711864405</v>
      </c>
      <c r="C113" s="4">
        <f ca="1"/>
        <v>2.775E-2</v>
      </c>
      <c r="D113" s="4">
        <f ca="1"/>
        <v>0.94322033898305091</v>
      </c>
      <c r="E113" s="4">
        <f ca="1"/>
        <v>61.016949152542374</v>
      </c>
      <c r="F113" s="4">
        <f ca="1"/>
        <v>0</v>
      </c>
      <c r="G113">
        <f ca="1"/>
        <v>0</v>
      </c>
      <c r="H113">
        <f ca="1"/>
        <v>0.94322033898305091</v>
      </c>
      <c r="I113">
        <f ca="1"/>
        <v>1.0108129374069246E-2</v>
      </c>
      <c r="J113">
        <f ca="1"/>
        <v>7.5625156016431473E-3</v>
      </c>
      <c r="K113">
        <f ca="1"/>
        <v>0</v>
      </c>
      <c r="L113">
        <f ca="1"/>
        <v>0.54439469032497956</v>
      </c>
      <c r="M113">
        <f ca="1"/>
        <v>0</v>
      </c>
      <c r="N113">
        <f ca="1"/>
        <v>14.077880235175984</v>
      </c>
      <c r="O113">
        <f ca="1"/>
        <v>0</v>
      </c>
      <c r="P113">
        <f ca="1"/>
        <v>14.622274925500964</v>
      </c>
      <c r="Q113">
        <f ca="1"/>
        <v>-1079.4892385090254</v>
      </c>
    </row>
    <row r="114" spans="1:17">
      <c r="A114" s="2">
        <f ca="1"/>
        <v>113</v>
      </c>
      <c r="B114" s="4">
        <f ca="1"/>
        <v>-0.2406779661016949</v>
      </c>
      <c r="C114" s="4">
        <f ca="1"/>
        <v>2.8000000000000001E-2</v>
      </c>
      <c r="D114" s="4">
        <f ca="1"/>
        <v>0.95847457627118648</v>
      </c>
      <c r="E114" s="4">
        <f ca="1"/>
        <v>61.016949152542374</v>
      </c>
      <c r="F114" s="4">
        <f ca="1"/>
        <v>0</v>
      </c>
      <c r="G114">
        <f ca="1"/>
        <v>0</v>
      </c>
      <c r="H114">
        <f ca="1"/>
        <v>0.95847457627118648</v>
      </c>
      <c r="I114">
        <f ca="1"/>
        <v>1.0222376030907251E-2</v>
      </c>
      <c r="J114">
        <f ca="1"/>
        <v>7.4200951853183317E-3</v>
      </c>
      <c r="K114">
        <f ca="1"/>
        <v>0</v>
      </c>
      <c r="L114">
        <f ca="1"/>
        <v>0.53615924982541485</v>
      </c>
      <c r="M114">
        <f ca="1"/>
        <v>0</v>
      </c>
      <c r="N114">
        <f ca="1"/>
        <v>13.812759781919791</v>
      </c>
      <c r="O114">
        <f ca="1"/>
        <v>0</v>
      </c>
      <c r="P114">
        <f ca="1"/>
        <v>14.348919031745206</v>
      </c>
      <c r="Q114">
        <f ca="1"/>
        <v>-1122.849990115255</v>
      </c>
    </row>
    <row r="115" spans="1:17">
      <c r="A115" s="2">
        <f ca="1"/>
        <v>114</v>
      </c>
      <c r="B115" s="4">
        <f ca="1"/>
        <v>-0.23389830508474574</v>
      </c>
      <c r="C115" s="4">
        <f ca="1"/>
        <v>2.8250000000000001E-2</v>
      </c>
      <c r="D115" s="4">
        <f ca="1"/>
        <v>0.97372881355932206</v>
      </c>
      <c r="E115" s="4">
        <f ca="1"/>
        <v>61.016949152542374</v>
      </c>
      <c r="F115" s="4">
        <f ca="1"/>
        <v>0</v>
      </c>
      <c r="G115">
        <f ca="1"/>
        <v>0</v>
      </c>
      <c r="H115">
        <f ca="1"/>
        <v>0.97372881355932206</v>
      </c>
      <c r="I115">
        <f ca="1"/>
        <v>1.0334395140348011E-2</v>
      </c>
      <c r="J115">
        <f ca="1"/>
        <v>7.2700128531223585E-3</v>
      </c>
      <c r="K115">
        <f ca="1"/>
        <v>0</v>
      </c>
      <c r="L115">
        <f ca="1"/>
        <v>0.52747351900039163</v>
      </c>
      <c r="M115">
        <f ca="1"/>
        <v>0</v>
      </c>
      <c r="N115">
        <f ca="1"/>
        <v>13.533376411442944</v>
      </c>
      <c r="O115">
        <f ca="1"/>
        <v>0</v>
      </c>
      <c r="P115">
        <f ca="1"/>
        <v>14.060849930443336</v>
      </c>
      <c r="Q115">
        <f ca="1"/>
        <v>-1162.8726773517205</v>
      </c>
    </row>
    <row r="116" spans="1:17">
      <c r="A116" s="2">
        <f ca="1"/>
        <v>115</v>
      </c>
      <c r="B116" s="4">
        <f ca="1"/>
        <v>-0.22711864406779658</v>
      </c>
      <c r="C116" s="4">
        <f ca="1"/>
        <v>2.8500000000000001E-2</v>
      </c>
      <c r="D116" s="4">
        <f ca="1"/>
        <v>0.98898305084745775</v>
      </c>
      <c r="E116" s="4">
        <f ca="1"/>
        <v>61.016949152542374</v>
      </c>
      <c r="F116" s="4">
        <f ca="1"/>
        <v>0</v>
      </c>
      <c r="G116">
        <f ca="1"/>
        <v>0</v>
      </c>
      <c r="H116">
        <f ca="1"/>
        <v>0.98898305084745775</v>
      </c>
      <c r="I116">
        <f ca="1"/>
        <v>1.0444100346627896E-2</v>
      </c>
      <c r="J116">
        <f ca="1"/>
        <v>7.1173085477606148E-3</v>
      </c>
      <c r="K116">
        <f ca="1"/>
        <v>0</v>
      </c>
      <c r="L116">
        <f ca="1"/>
        <v>0.51837054440838948</v>
      </c>
      <c r="M116">
        <f ca="1"/>
        <v>0</v>
      </c>
      <c r="N116">
        <f ca="1"/>
        <v>13.249112148660956</v>
      </c>
      <c r="O116">
        <f ca="1"/>
        <v>0</v>
      </c>
      <c r="P116">
        <f ca="1"/>
        <v>13.767482693069345</v>
      </c>
      <c r="Q116">
        <f ca="1"/>
        <v>-1198.3685418508746</v>
      </c>
    </row>
    <row r="117" spans="1:17">
      <c r="A117" s="2">
        <f ca="1"/>
        <v>116</v>
      </c>
      <c r="B117" s="4">
        <f ca="1"/>
        <v>-0.22033898305084743</v>
      </c>
      <c r="C117" s="4">
        <f ca="1"/>
        <v>2.8750000000000001E-2</v>
      </c>
      <c r="D117" s="4">
        <f ca="1"/>
        <v>1.0042372881355934</v>
      </c>
      <c r="E117" s="4">
        <f ca="1"/>
        <v>61.016949152542374</v>
      </c>
      <c r="F117" s="4">
        <f ca="1"/>
        <v>0</v>
      </c>
      <c r="G117">
        <f ca="1"/>
        <v>0</v>
      </c>
      <c r="H117">
        <f ca="1"/>
        <v>1.0042372881355934</v>
      </c>
      <c r="I117">
        <f ca="1"/>
        <v>1.0551440160980866E-2</v>
      </c>
      <c r="J117">
        <f ca="1"/>
        <v>6.9581359023939901E-3</v>
      </c>
      <c r="K117">
        <f ca="1"/>
        <v>0</v>
      </c>
      <c r="L117">
        <f ca="1"/>
        <v>0.50885880875287004</v>
      </c>
      <c r="M117">
        <f ca="1"/>
        <v>0</v>
      </c>
      <c r="N117">
        <f ca="1"/>
        <v>12.952806850765027</v>
      </c>
      <c r="O117">
        <f ca="1"/>
        <v>0</v>
      </c>
      <c r="P117">
        <f ca="1"/>
        <v>13.461665659517898</v>
      </c>
      <c r="Q117">
        <f ca="1"/>
        <v>-1238.9899517964932</v>
      </c>
    </row>
    <row r="118" spans="1:17">
      <c r="A118" s="2">
        <f ca="1"/>
        <v>117</v>
      </c>
      <c r="B118" s="4">
        <f ca="1"/>
        <v>-0.21355932203389827</v>
      </c>
      <c r="C118" s="4">
        <f ca="1"/>
        <v>2.9000000000000001E-2</v>
      </c>
      <c r="D118" s="4">
        <f ca="1"/>
        <v>1.0194915254237289</v>
      </c>
      <c r="E118" s="4">
        <f ca="1"/>
        <v>61.016949152542374</v>
      </c>
      <c r="F118" s="4">
        <f ca="1"/>
        <v>0</v>
      </c>
      <c r="G118">
        <f ca="1"/>
        <v>0</v>
      </c>
      <c r="H118">
        <f ca="1"/>
        <v>1.0194915254237289</v>
      </c>
      <c r="I118">
        <f ca="1"/>
        <v>1.0656337991106848E-2</v>
      </c>
      <c r="J118">
        <f ca="1"/>
        <v>6.7949553592031968E-3</v>
      </c>
      <c r="K118">
        <f ca="1"/>
        <v>0</v>
      </c>
      <c r="L118">
        <f ca="1"/>
        <v>0.49894700253831564</v>
      </c>
      <c r="M118">
        <f ca="1"/>
        <v>0</v>
      </c>
      <c r="N118">
        <f ca="1"/>
        <v>12.649040714632783</v>
      </c>
      <c r="O118">
        <f ca="1"/>
        <v>0</v>
      </c>
      <c r="P118">
        <f ca="1"/>
        <v>13.147987717171098</v>
      </c>
      <c r="Q118">
        <f ca="1"/>
        <v>-1267.4329094455127</v>
      </c>
    </row>
    <row r="119" spans="1:17">
      <c r="A119" s="2">
        <f ca="1"/>
        <v>118</v>
      </c>
      <c r="B119" s="4">
        <f ca="1"/>
        <v>-0.20677966101694911</v>
      </c>
      <c r="C119" s="4">
        <f ca="1"/>
        <v>2.9250000000000002E-2</v>
      </c>
      <c r="D119" s="4">
        <f ca="1"/>
        <v>1.0347457627118644</v>
      </c>
      <c r="E119" s="4">
        <f ca="1"/>
        <v>61.016949152542374</v>
      </c>
      <c r="F119" s="4">
        <f ca="1"/>
        <v>0</v>
      </c>
      <c r="G119">
        <f ca="1"/>
        <v>0</v>
      </c>
      <c r="H119">
        <f ca="1"/>
        <v>1.0347457627118644</v>
      </c>
      <c r="I119">
        <f ca="1"/>
        <v>1.0758723925348322E-2</v>
      </c>
      <c r="J119">
        <f ca="1"/>
        <v>6.6285681104895139E-3</v>
      </c>
      <c r="K119">
        <f ca="1"/>
        <v>0</v>
      </c>
      <c r="L119">
        <f ca="1"/>
        <v>0.48864401778794475</v>
      </c>
      <c r="M119">
        <f ca="1"/>
        <v>0</v>
      </c>
      <c r="N119">
        <f ca="1"/>
        <v>12.339305187007197</v>
      </c>
      <c r="O119">
        <f ca="1"/>
        <v>0</v>
      </c>
      <c r="P119">
        <f ca="1"/>
        <v>12.827949204795141</v>
      </c>
      <c r="Q119">
        <f ca="1"/>
        <v>-1297.2051147821328</v>
      </c>
    </row>
    <row r="120" spans="1:17">
      <c r="A120" s="2">
        <f ca="1"/>
        <v>119</v>
      </c>
      <c r="B120" s="4">
        <f ca="1"/>
        <v>-0.19999999999999996</v>
      </c>
      <c r="C120" s="4">
        <f ca="1"/>
        <v>2.9500000000000002E-2</v>
      </c>
      <c r="D120" s="4">
        <f ca="1"/>
        <v>1.05</v>
      </c>
      <c r="E120" s="4">
        <f ca="1"/>
        <v>61.016949152542374</v>
      </c>
      <c r="F120" s="4">
        <f ca="1"/>
        <v>0</v>
      </c>
      <c r="G120">
        <f ca="1"/>
        <v>0</v>
      </c>
      <c r="H120">
        <f ca="1"/>
        <v>1.05</v>
      </c>
      <c r="I120">
        <f ca="1"/>
        <v>1.0858539678635648E-2</v>
      </c>
      <c r="J120">
        <f ca="1"/>
        <v>6.457806275396819E-3</v>
      </c>
      <c r="K120">
        <f ca="1"/>
        <v>0</v>
      </c>
      <c r="L120">
        <f ca="1"/>
        <v>0.47795894186236759</v>
      </c>
      <c r="M120">
        <f ca="1"/>
        <v>0</v>
      </c>
      <c r="N120">
        <f ca="1"/>
        <v>12.021426217917664</v>
      </c>
      <c r="O120">
        <f ca="1"/>
        <v>0</v>
      </c>
      <c r="P120">
        <f ca="1"/>
        <v>12.499385159780031</v>
      </c>
      <c r="Q120">
        <f ca="1"/>
        <v>-1331.5007835147755</v>
      </c>
    </row>
    <row r="121" spans="1:17">
      <c r="A121" s="2">
        <f ca="1"/>
        <v>120</v>
      </c>
      <c r="B121" s="4">
        <f ca="1"/>
        <v>-0.1932203389830508</v>
      </c>
      <c r="C121" s="4">
        <f ca="1"/>
        <v>2.9750000000000002E-2</v>
      </c>
      <c r="D121" s="4">
        <f ca="1"/>
        <v>1.0652542372881357</v>
      </c>
      <c r="E121" s="4">
        <f ca="1"/>
        <v>61.016949152542374</v>
      </c>
      <c r="F121" s="4">
        <f ca="1"/>
        <v>0</v>
      </c>
      <c r="G121">
        <f ca="1"/>
        <v>0</v>
      </c>
      <c r="H121">
        <f ca="1"/>
        <v>1.0652542372881357</v>
      </c>
      <c r="I121">
        <f ca="1"/>
        <v>1.0955724417106415E-2</v>
      </c>
      <c r="J121">
        <f ca="1"/>
        <v>6.2826128870869255E-3</v>
      </c>
      <c r="K121">
        <f ca="1"/>
        <v>0</v>
      </c>
      <c r="L121">
        <f ca="1"/>
        <v>0.46690105138211307</v>
      </c>
      <c r="M121">
        <f ca="1"/>
        <v>0</v>
      </c>
      <c r="N121">
        <f ca="1"/>
        <v>11.69529776165564</v>
      </c>
      <c r="O121">
        <f ca="1"/>
        <v>0</v>
      </c>
      <c r="P121">
        <f ca="1"/>
        <v>12.162198813037753</v>
      </c>
      <c r="Q121">
        <f ca="1"/>
        <v>-1354.8803600008353</v>
      </c>
    </row>
    <row r="122" spans="1:17">
      <c r="A122" s="2">
        <f ca="1"/>
        <v>121</v>
      </c>
      <c r="B122" s="4">
        <f ca="1"/>
        <v>-0.18644067796610164</v>
      </c>
      <c r="C122" s="4">
        <f ca="1"/>
        <v>0.03</v>
      </c>
      <c r="D122" s="4">
        <f ca="1"/>
        <v>1.0805084745762712</v>
      </c>
      <c r="E122" s="4">
        <f ca="1"/>
        <v>61.016949152542374</v>
      </c>
      <c r="F122" s="4">
        <f ca="1"/>
        <v>0</v>
      </c>
      <c r="G122">
        <f ca="1"/>
        <v>0</v>
      </c>
      <c r="H122">
        <f ca="1"/>
        <v>1.0805084745762712</v>
      </c>
      <c r="I122">
        <f ca="1"/>
        <v>1.10502580614659E-2</v>
      </c>
      <c r="J122">
        <f ca="1"/>
        <v>6.1059898592045313E-3</v>
      </c>
      <c r="K122">
        <f ca="1"/>
        <v>0</v>
      </c>
      <c r="L122">
        <f ca="1"/>
        <v>0.45543699711792052</v>
      </c>
      <c r="M122">
        <f ca="1"/>
        <v>0</v>
      </c>
      <c r="N122">
        <f ca="1"/>
        <v>11.366507982661696</v>
      </c>
      <c r="O122">
        <f ca="1"/>
        <v>0</v>
      </c>
      <c r="P122">
        <f ca="1"/>
        <v>11.821944979779618</v>
      </c>
      <c r="Q122">
        <f ca="1"/>
        <v>-1391.0239881624427</v>
      </c>
    </row>
    <row r="123" spans="1:17">
      <c r="A123" s="2">
        <f ca="1"/>
        <v>122</v>
      </c>
      <c r="B123" s="4">
        <f ca="1"/>
        <v>-0.17966101694915249</v>
      </c>
      <c r="C123" s="4">
        <f ca="1"/>
        <v>3.0249999999999999E-2</v>
      </c>
      <c r="D123" s="4">
        <f ca="1"/>
        <v>1.0957627118644069</v>
      </c>
      <c r="E123" s="4">
        <f ca="1"/>
        <v>61.016949152542374</v>
      </c>
      <c r="F123" s="4">
        <f ca="1"/>
        <v>0</v>
      </c>
      <c r="G123">
        <f ca="1"/>
        <v>0</v>
      </c>
      <c r="H123">
        <f ca="1"/>
        <v>1.0957627118644069</v>
      </c>
      <c r="I123">
        <f ca="1"/>
        <v>1.1141999781236291E-2</v>
      </c>
      <c r="J123">
        <f ca="1"/>
        <v>5.9215034837481629E-3</v>
      </c>
      <c r="K123">
        <f ca="1"/>
        <v>0</v>
      </c>
      <c r="L123">
        <f ca="1"/>
        <v>0.44360650448135697</v>
      </c>
      <c r="M123">
        <f ca="1"/>
        <v>0</v>
      </c>
      <c r="N123">
        <f ca="1"/>
        <v>11.023080314475179</v>
      </c>
      <c r="O123">
        <f ca="1"/>
        <v>0</v>
      </c>
      <c r="P123">
        <f ca="1"/>
        <v>11.466686818956536</v>
      </c>
      <c r="Q123">
        <f ca="1"/>
        <v>-1426.0902787893765</v>
      </c>
    </row>
    <row r="124" spans="1:17">
      <c r="A124" s="2">
        <f ca="1"/>
        <v>123</v>
      </c>
      <c r="B124" s="4">
        <f ca="1"/>
        <v>-0.17288135593220333</v>
      </c>
      <c r="C124" s="4">
        <f ca="1"/>
        <v>3.0499999999999999E-2</v>
      </c>
      <c r="D124" s="4">
        <f ca="1"/>
        <v>1.1110169491525426</v>
      </c>
      <c r="E124" s="4">
        <f ca="1"/>
        <v>61.016949152542374</v>
      </c>
      <c r="F124" s="4">
        <f ca="1"/>
        <v>0</v>
      </c>
      <c r="G124">
        <f ca="1"/>
        <v>0</v>
      </c>
      <c r="H124">
        <f ca="1"/>
        <v>1.1110169491525426</v>
      </c>
      <c r="I124">
        <f ca="1"/>
        <v>1.1230939406193604E-2</v>
      </c>
      <c r="J124">
        <f ca="1"/>
        <v>5.7358411761253107E-3</v>
      </c>
      <c r="K124">
        <f ca="1"/>
        <v>0</v>
      </c>
      <c r="L124">
        <f ca="1"/>
        <v>0.43143623185518992</v>
      </c>
      <c r="M124">
        <f ca="1"/>
        <v>0</v>
      </c>
      <c r="N124">
        <f ca="1"/>
        <v>10.677463608529738</v>
      </c>
      <c r="O124">
        <f ca="1"/>
        <v>0</v>
      </c>
      <c r="P124">
        <f ca="1"/>
        <v>11.108899840384929</v>
      </c>
      <c r="Q124">
        <f ca="1"/>
        <v>-1443.9517775804397</v>
      </c>
    </row>
    <row r="125" spans="1:17">
      <c r="A125" s="2">
        <f ca="1"/>
        <v>124</v>
      </c>
      <c r="B125" s="4">
        <f ca="1"/>
        <v>-0.16610169491525417</v>
      </c>
      <c r="C125" s="4">
        <f ca="1"/>
        <v>3.075E-2</v>
      </c>
      <c r="D125" s="4">
        <f ca="1"/>
        <v>1.126271186440678</v>
      </c>
      <c r="E125" s="4">
        <f ca="1"/>
        <v>61.016949152542374</v>
      </c>
      <c r="F125" s="4">
        <f ca="1"/>
        <v>0</v>
      </c>
      <c r="G125">
        <f ca="1"/>
        <v>0</v>
      </c>
      <c r="H125">
        <f ca="1"/>
        <v>1.126271186440678</v>
      </c>
      <c r="I125">
        <f ca="1"/>
        <v>1.1317038244134742E-2</v>
      </c>
      <c r="J125">
        <f ca="1"/>
        <v>5.5469169132651873E-3</v>
      </c>
      <c r="K125">
        <f ca="1"/>
        <v>0</v>
      </c>
      <c r="L125">
        <f ca="1"/>
        <v>0.41893626829949171</v>
      </c>
      <c r="M125">
        <f ca="1"/>
        <v>0</v>
      </c>
      <c r="N125">
        <f ca="1"/>
        <v>10.325774661866824</v>
      </c>
      <c r="O125">
        <f ca="1"/>
        <v>0</v>
      </c>
      <c r="P125">
        <f ca="1"/>
        <v>10.744710930166315</v>
      </c>
      <c r="Q125">
        <f ca="1"/>
        <v>-1458.593543107329</v>
      </c>
    </row>
    <row r="126" spans="1:17">
      <c r="A126" s="2">
        <f ca="1"/>
        <v>125</v>
      </c>
      <c r="B126" s="4">
        <f ca="1"/>
        <v>-0.15932203389830502</v>
      </c>
      <c r="C126" s="4">
        <f ca="1"/>
        <v>3.1E-2</v>
      </c>
      <c r="D126" s="4">
        <f ca="1"/>
        <v>1.1415254237288137</v>
      </c>
      <c r="E126" s="4">
        <f ca="1"/>
        <v>61.016949152542374</v>
      </c>
      <c r="F126" s="4">
        <f ca="1"/>
        <v>0</v>
      </c>
      <c r="G126">
        <f ca="1"/>
        <v>0</v>
      </c>
      <c r="H126">
        <f ca="1"/>
        <v>1.1415254237288137</v>
      </c>
      <c r="I126">
        <f ca="1"/>
        <v>1.1400252041872552E-2</v>
      </c>
      <c r="J126">
        <f ca="1"/>
        <v>5.357670602925157E-3</v>
      </c>
      <c r="K126">
        <f ca="1"/>
        <v>0</v>
      </c>
      <c r="L126">
        <f ca="1"/>
        <v>0.40611685597432018</v>
      </c>
      <c r="M126">
        <f ca="1"/>
        <v>0</v>
      </c>
      <c r="N126">
        <f ca="1"/>
        <v>9.9734862128569439</v>
      </c>
      <c r="O126">
        <f ca="1"/>
        <v>0</v>
      </c>
      <c r="P126">
        <f ca="1"/>
        <v>10.379603068831264</v>
      </c>
      <c r="Q126">
        <f ca="1"/>
        <v>-1489.2069865596852</v>
      </c>
    </row>
    <row r="127" spans="1:17">
      <c r="A127" s="2">
        <f ca="1"/>
        <v>126</v>
      </c>
      <c r="B127" s="4">
        <f ca="1"/>
        <v>-0.15254237288135586</v>
      </c>
      <c r="C127" s="4">
        <f ca="1"/>
        <v>3.125E-2</v>
      </c>
      <c r="D127" s="4">
        <f ca="1"/>
        <v>1.1567796610169494</v>
      </c>
      <c r="E127" s="4">
        <f ca="1"/>
        <v>61.016949152542374</v>
      </c>
      <c r="F127" s="4">
        <f ca="1"/>
        <v>0</v>
      </c>
      <c r="G127">
        <f ca="1"/>
        <v>0</v>
      </c>
      <c r="H127">
        <f ca="1"/>
        <v>1.1567796610169494</v>
      </c>
      <c r="I127">
        <f ca="1"/>
        <v>1.1480492147323744E-2</v>
      </c>
      <c r="J127">
        <f ca="1"/>
        <v>5.1608613302914731E-3</v>
      </c>
      <c r="K127">
        <f ca="1"/>
        <v>0</v>
      </c>
      <c r="L127">
        <f ca="1"/>
        <v>0.39298838480696885</v>
      </c>
      <c r="M127">
        <f ca="1"/>
        <v>0</v>
      </c>
      <c r="N127">
        <f ca="1"/>
        <v>9.6071190520795025</v>
      </c>
      <c r="O127">
        <f ca="1"/>
        <v>0</v>
      </c>
      <c r="P127">
        <f ca="1"/>
        <v>10.000107436886472</v>
      </c>
      <c r="Q127">
        <f ca="1"/>
        <v>-1522.0854658706407</v>
      </c>
    </row>
    <row r="128" spans="1:17">
      <c r="A128" s="2">
        <f ca="1"/>
        <v>127</v>
      </c>
      <c r="B128" s="4">
        <f ca="1"/>
        <v>-0.1457627118644067</v>
      </c>
      <c r="C128" s="4">
        <f ca="1"/>
        <v>3.15E-2</v>
      </c>
      <c r="D128" s="4">
        <f ca="1"/>
        <v>1.1720338983050849</v>
      </c>
      <c r="E128" s="4">
        <f ca="1"/>
        <v>61.016949152542374</v>
      </c>
      <c r="F128" s="4">
        <f ca="1"/>
        <v>0</v>
      </c>
      <c r="G128">
        <f ca="1"/>
        <v>0</v>
      </c>
      <c r="H128">
        <f ca="1"/>
        <v>1.1720338983050849</v>
      </c>
      <c r="I128">
        <f ca="1"/>
        <v>1.1557742655082975E-2</v>
      </c>
      <c r="J128">
        <f ca="1"/>
        <v>4.9631103920187757E-3</v>
      </c>
      <c r="K128">
        <f ca="1"/>
        <v>0</v>
      </c>
      <c r="L128">
        <f ca="1"/>
        <v>0.37956138723703176</v>
      </c>
      <c r="M128">
        <f ca="1"/>
        <v>0</v>
      </c>
      <c r="N128">
        <f ca="1"/>
        <v>9.2389989486589101</v>
      </c>
      <c r="O128">
        <f ca="1"/>
        <v>0</v>
      </c>
      <c r="P128">
        <f ca="1"/>
        <v>9.6185603358959426</v>
      </c>
      <c r="Q128">
        <f ca="1"/>
        <v>-1534.0012565138522</v>
      </c>
    </row>
    <row r="129" spans="1:17">
      <c r="A129" s="2">
        <f ca="1"/>
        <v>128</v>
      </c>
      <c r="B129" s="4">
        <f ca="1"/>
        <v>-0.13898305084745755</v>
      </c>
      <c r="C129" s="4">
        <f ca="1"/>
        <v>3.175E-2</v>
      </c>
      <c r="D129" s="4">
        <f ca="1"/>
        <v>1.1872881355932206</v>
      </c>
      <c r="E129" s="4">
        <f ca="1"/>
        <v>61.016949152542374</v>
      </c>
      <c r="F129" s="4">
        <f ca="1"/>
        <v>0</v>
      </c>
      <c r="G129">
        <f ca="1"/>
        <v>0</v>
      </c>
      <c r="H129">
        <f ca="1"/>
        <v>1.1872881355932206</v>
      </c>
      <c r="I129">
        <f ca="1"/>
        <v>1.1631951167264907E-2</v>
      </c>
      <c r="J129">
        <f ca="1"/>
        <v>4.7634155893999837E-3</v>
      </c>
      <c r="K129">
        <f ca="1"/>
        <v>0</v>
      </c>
      <c r="L129">
        <f ca="1"/>
        <v>0.36584653304439729</v>
      </c>
      <c r="M129">
        <f ca="1"/>
        <v>0</v>
      </c>
      <c r="N129">
        <f ca="1"/>
        <v>8.8672602755851475</v>
      </c>
      <c r="O129">
        <f ca="1"/>
        <v>0</v>
      </c>
      <c r="P129">
        <f ca="1"/>
        <v>9.2331068086295449</v>
      </c>
      <c r="Q129">
        <f ca="1"/>
        <v>-1548.6391644884052</v>
      </c>
    </row>
    <row r="130" spans="1:17">
      <c r="A130" s="2">
        <f ca="1"/>
        <v>129</v>
      </c>
      <c r="B130" s="4">
        <f ca="1"/>
        <v>-0.13220338983050839</v>
      </c>
      <c r="C130" s="4">
        <f ca="1"/>
        <v>3.2000000000000001E-2</v>
      </c>
      <c r="D130" s="4">
        <f ca="1"/>
        <v>1.2025423728813562</v>
      </c>
      <c r="E130" s="4">
        <f ca="1"/>
        <v>61.016949152542374</v>
      </c>
      <c r="F130" s="4">
        <f ca="1"/>
        <v>0</v>
      </c>
      <c r="G130">
        <f ca="1"/>
        <v>0</v>
      </c>
      <c r="H130">
        <f ca="1"/>
        <v>1.2025423728813562</v>
      </c>
      <c r="I130">
        <f ca="1"/>
        <v>1.1703084003277773E-2</v>
      </c>
      <c r="J130">
        <f ca="1"/>
        <v>4.5620551468103536E-3</v>
      </c>
      <c r="K130">
        <f ca="1"/>
        <v>0</v>
      </c>
      <c r="L130">
        <f ca="1"/>
        <v>0.35181979664768992</v>
      </c>
      <c r="M130">
        <f ca="1"/>
        <v>0</v>
      </c>
      <c r="N130">
        <f ca="1"/>
        <v>8.4924209570040485</v>
      </c>
      <c r="O130">
        <f ca="1"/>
        <v>0</v>
      </c>
      <c r="P130">
        <f ca="1"/>
        <v>8.8442407536517393</v>
      </c>
      <c r="Q130">
        <f ca="1"/>
        <v>-1573.9839339635309</v>
      </c>
    </row>
    <row r="131" spans="1:17">
      <c r="A131" s="2">
        <f ca="1"/>
        <v>130</v>
      </c>
      <c r="B131" s="4">
        <f ca="1"/>
        <v>-0.12542372881355923</v>
      </c>
      <c r="C131" s="4">
        <f ca="1"/>
        <v>3.2250000000000001E-2</v>
      </c>
      <c r="D131" s="4">
        <f ca="1"/>
        <v>1.2177966101694917</v>
      </c>
      <c r="E131" s="4">
        <f ca="1"/>
        <v>61.016949152542374</v>
      </c>
      <c r="F131" s="4">
        <f ca="1"/>
        <v>0</v>
      </c>
      <c r="G131">
        <f ca="1"/>
        <v>0</v>
      </c>
      <c r="H131">
        <f ca="1"/>
        <v>1.2177966101694917</v>
      </c>
      <c r="I131">
        <f ca="1"/>
        <v>1.1771101287442923E-2</v>
      </c>
      <c r="J131">
        <f ca="1"/>
        <v>4.3558661893878465E-3</v>
      </c>
      <c r="K131">
        <f ca="1"/>
        <v>0</v>
      </c>
      <c r="L131">
        <f ca="1"/>
        <v>0.33752164795825113</v>
      </c>
      <c r="M131">
        <f ca="1"/>
        <v>0</v>
      </c>
      <c r="N131">
        <f ca="1"/>
        <v>8.1085931936895275</v>
      </c>
      <c r="O131">
        <f ca="1"/>
        <v>0</v>
      </c>
      <c r="P131">
        <f ca="1"/>
        <v>8.4461148416477787</v>
      </c>
      <c r="Q131">
        <f ca="1"/>
        <v>-1591.4081639956223</v>
      </c>
    </row>
    <row r="132" spans="1:17">
      <c r="A132" s="2">
        <f ca="1"/>
        <v>131</v>
      </c>
      <c r="B132" s="4">
        <f ca="1"/>
        <v>-0.11864406779661008</v>
      </c>
      <c r="C132" s="4">
        <f ca="1"/>
        <v>3.2500000000000001E-2</v>
      </c>
      <c r="D132" s="4">
        <f ca="1"/>
        <v>1.2330508474576274</v>
      </c>
      <c r="E132" s="4">
        <f ca="1"/>
        <v>61.016949152542374</v>
      </c>
      <c r="F132" s="4">
        <f ca="1"/>
        <v>0</v>
      </c>
      <c r="G132">
        <f ca="1"/>
        <v>0</v>
      </c>
      <c r="H132">
        <f ca="1"/>
        <v>1.2330508474576274</v>
      </c>
      <c r="I132">
        <f ca="1"/>
        <v>1.1835963606413558E-2</v>
      </c>
      <c r="J132">
        <f ca="1"/>
        <v>4.1501060332231592E-3</v>
      </c>
      <c r="K132">
        <f ca="1"/>
        <v>0</v>
      </c>
      <c r="L132">
        <f ca="1"/>
        <v>0.32297301314026106</v>
      </c>
      <c r="M132">
        <f ca="1"/>
        <v>0</v>
      </c>
      <c r="N132">
        <f ca="1"/>
        <v>7.7255636585136669</v>
      </c>
      <c r="O132">
        <f ca="1"/>
        <v>0</v>
      </c>
      <c r="P132">
        <f ca="1"/>
        <v>8.0485366716539275</v>
      </c>
      <c r="Q132">
        <f ca="1"/>
        <v>-1603.0311853020883</v>
      </c>
    </row>
    <row r="133" spans="1:17">
      <c r="A133" s="2">
        <f ca="1"/>
        <v>132</v>
      </c>
      <c r="B133" s="4">
        <f ca="1"/>
        <v>-0.11186440677966092</v>
      </c>
      <c r="C133" s="4">
        <f ca="1"/>
        <v>3.2750000000000001E-2</v>
      </c>
      <c r="D133" s="4">
        <f ca="1"/>
        <v>1.2483050847457631</v>
      </c>
      <c r="E133" s="4">
        <f ca="1"/>
        <v>61.016949152542374</v>
      </c>
      <c r="F133" s="4">
        <f ca="1"/>
        <v>0</v>
      </c>
      <c r="G133">
        <f ca="1"/>
        <v>0</v>
      </c>
      <c r="H133">
        <f ca="1"/>
        <v>1.2483050847457631</v>
      </c>
      <c r="I133">
        <f ca="1"/>
        <v>1.189764330881442E-2</v>
      </c>
      <c r="J133">
        <f ca="1"/>
        <v>3.9410582585153453E-3</v>
      </c>
      <c r="K133">
        <f ca="1"/>
        <v>0</v>
      </c>
      <c r="L133">
        <f ca="1"/>
        <v>0.30818513949387816</v>
      </c>
      <c r="M133">
        <f ca="1"/>
        <v>0</v>
      </c>
      <c r="N133">
        <f ca="1"/>
        <v>7.3364141095028552</v>
      </c>
      <c r="O133">
        <f ca="1"/>
        <v>0</v>
      </c>
      <c r="P133">
        <f ca="1"/>
        <v>7.6445992489967338</v>
      </c>
      <c r="Q133">
        <f ca="1"/>
        <v>-1626.4346604518053</v>
      </c>
    </row>
    <row r="134" spans="1:17">
      <c r="A134" s="2">
        <f ca="1"/>
        <v>133</v>
      </c>
      <c r="B134" s="4">
        <f ca="1"/>
        <v>-0.10508474576271176</v>
      </c>
      <c r="C134" s="4">
        <f ca="1"/>
        <v>3.3000000000000002E-2</v>
      </c>
      <c r="D134" s="4">
        <f ca="1"/>
        <v>1.2635593220338985</v>
      </c>
      <c r="E134" s="4">
        <f ca="1"/>
        <v>61.016949152542374</v>
      </c>
      <c r="F134" s="4">
        <f ca="1"/>
        <v>0</v>
      </c>
      <c r="G134">
        <f ca="1"/>
        <v>0</v>
      </c>
      <c r="H134">
        <f ca="1"/>
        <v>1.2635593220338985</v>
      </c>
      <c r="I134">
        <f ca="1"/>
        <v>1.19561018781897E-2</v>
      </c>
      <c r="J134">
        <f ca="1"/>
        <v>3.7292629651737327E-3</v>
      </c>
      <c r="K134">
        <f ca="1"/>
        <v>0</v>
      </c>
      <c r="L134">
        <f ca="1"/>
        <v>0.29316938040366636</v>
      </c>
      <c r="M134">
        <f ca="1"/>
        <v>0</v>
      </c>
      <c r="N134">
        <f ca="1"/>
        <v>6.9421499610243576</v>
      </c>
      <c r="O134">
        <f ca="1"/>
        <v>0</v>
      </c>
      <c r="P134">
        <f ca="1"/>
        <v>7.2353193414280241</v>
      </c>
      <c r="Q134">
        <f ca="1"/>
        <v>-1652.0910599494346</v>
      </c>
    </row>
    <row r="135" spans="1:17">
      <c r="A135" s="2">
        <f ca="1"/>
        <v>134</v>
      </c>
      <c r="B135" s="4">
        <f ca="1"/>
        <v>-9.8305084745762605E-2</v>
      </c>
      <c r="C135" s="4">
        <f ca="1"/>
        <v>3.3250000000000002E-2</v>
      </c>
      <c r="D135" s="4">
        <f ca="1"/>
        <v>1.2788135593220342</v>
      </c>
      <c r="E135" s="4">
        <f ca="1"/>
        <v>61.016949152542374</v>
      </c>
      <c r="F135" s="4">
        <f ca="1"/>
        <v>0</v>
      </c>
      <c r="G135">
        <f ca="1"/>
        <v>0</v>
      </c>
      <c r="H135">
        <f ca="1"/>
        <v>1.2788135593220342</v>
      </c>
      <c r="I135">
        <f ca="1"/>
        <v>1.2011303386097332E-2</v>
      </c>
      <c r="J135">
        <f ca="1"/>
        <v>3.5135626752024829E-3</v>
      </c>
      <c r="K135">
        <f ca="1"/>
        <v>0</v>
      </c>
      <c r="L135">
        <f ca="1"/>
        <v>0.27793719063589373</v>
      </c>
      <c r="M135">
        <f ca="1"/>
        <v>0</v>
      </c>
      <c r="N135">
        <f ca="1"/>
        <v>6.5406165283861224</v>
      </c>
      <c r="O135">
        <f ca="1"/>
        <v>0</v>
      </c>
      <c r="P135">
        <f ca="1"/>
        <v>6.8185537190220158</v>
      </c>
      <c r="Q135">
        <f ca="1"/>
        <v>-1673.7104193261987</v>
      </c>
    </row>
    <row r="136" spans="1:17">
      <c r="A136" s="2">
        <f ca="1"/>
        <v>135</v>
      </c>
      <c r="B136" s="4">
        <f ca="1"/>
        <v>-9.1525423728813449E-2</v>
      </c>
      <c r="C136" s="4">
        <f ca="1"/>
        <v>3.3500000000000002E-2</v>
      </c>
      <c r="D136" s="4">
        <f ca="1"/>
        <v>1.2940677966101697</v>
      </c>
      <c r="E136" s="4">
        <f ca="1"/>
        <v>61.016949152542374</v>
      </c>
      <c r="F136" s="4">
        <f ca="1"/>
        <v>0</v>
      </c>
      <c r="G136">
        <f ca="1"/>
        <v>0</v>
      </c>
      <c r="H136">
        <f ca="1"/>
        <v>1.2940677966101697</v>
      </c>
      <c r="I136">
        <f ca="1"/>
        <v>1.2063222227213502E-2</v>
      </c>
      <c r="J136">
        <f ca="1"/>
        <v>3.2961868393694685E-3</v>
      </c>
      <c r="K136">
        <f ca="1"/>
        <v>0</v>
      </c>
      <c r="L136">
        <f ca="1"/>
        <v>0.26250012167754738</v>
      </c>
      <c r="M136">
        <f ca="1"/>
        <v>0</v>
      </c>
      <c r="N136">
        <f ca="1"/>
        <v>6.1359640100873767</v>
      </c>
      <c r="O136">
        <f ca="1"/>
        <v>0</v>
      </c>
      <c r="P136">
        <f ca="1"/>
        <v>6.398464131764924</v>
      </c>
      <c r="Q136">
        <f ca="1"/>
        <v>-1680.8944179229075</v>
      </c>
    </row>
    <row r="137" spans="1:17">
      <c r="A137" s="2">
        <f ca="1"/>
        <v>136</v>
      </c>
      <c r="B137" s="4">
        <f ca="1"/>
        <v>-8.4745762711864292E-2</v>
      </c>
      <c r="C137" s="4">
        <f ca="1"/>
        <v>3.3750000000000002E-2</v>
      </c>
      <c r="D137" s="4">
        <f ca="1"/>
        <v>1.3093220338983054</v>
      </c>
      <c r="E137" s="4">
        <f ca="1"/>
        <v>61.016949152542374</v>
      </c>
      <c r="F137" s="4">
        <f ca="1"/>
        <v>0</v>
      </c>
      <c r="G137">
        <f ca="1"/>
        <v>0</v>
      </c>
      <c r="H137">
        <f ca="1"/>
        <v>1.3093220338983054</v>
      </c>
      <c r="I137">
        <f ca="1"/>
        <v>1.2111839532777278E-2</v>
      </c>
      <c r="J137">
        <f ca="1"/>
        <v>3.078770822244789E-3</v>
      </c>
      <c r="K137">
        <f ca="1"/>
        <v>0</v>
      </c>
      <c r="L137">
        <f ca="1"/>
        <v>0.24686981711421394</v>
      </c>
      <c r="M137">
        <f ca="1"/>
        <v>0</v>
      </c>
      <c r="N137">
        <f ca="1"/>
        <v>5.7312366929463474</v>
      </c>
      <c r="O137">
        <f ca="1"/>
        <v>0</v>
      </c>
      <c r="P137">
        <f ca="1"/>
        <v>5.9781065100605613</v>
      </c>
      <c r="Q137">
        <f ca="1"/>
        <v>-1693.5467111535856</v>
      </c>
    </row>
    <row r="138" spans="1:17">
      <c r="A138" s="2">
        <f ca="1"/>
        <v>137</v>
      </c>
      <c r="B138" s="4">
        <f ca="1"/>
        <v>-7.7966101694915135E-2</v>
      </c>
      <c r="C138" s="4">
        <f ca="1"/>
        <v>3.4000000000000002E-2</v>
      </c>
      <c r="D138" s="4">
        <f ca="1"/>
        <v>1.3245762711864408</v>
      </c>
      <c r="E138" s="4">
        <f ca="1"/>
        <v>61.016949152542374</v>
      </c>
      <c r="F138" s="4">
        <f ca="1"/>
        <v>0</v>
      </c>
      <c r="G138">
        <f ca="1"/>
        <v>0</v>
      </c>
      <c r="H138">
        <f ca="1"/>
        <v>1.3245762711864408</v>
      </c>
      <c r="I138">
        <f ca="1"/>
        <v>1.2157114983296746E-2</v>
      </c>
      <c r="J138">
        <f ca="1"/>
        <v>2.8582106815207616E-3</v>
      </c>
      <c r="K138">
        <f ca="1"/>
        <v>0</v>
      </c>
      <c r="L138">
        <f ca="1"/>
        <v>0.23103429349507193</v>
      </c>
      <c r="M138">
        <f ca="1"/>
        <v>0</v>
      </c>
      <c r="N138">
        <f ca="1"/>
        <v>5.3206564826930585</v>
      </c>
      <c r="O138">
        <f ca="1"/>
        <v>0</v>
      </c>
      <c r="P138">
        <f ca="1"/>
        <v>5.5516907761881304</v>
      </c>
      <c r="Q138">
        <f ca="1"/>
        <v>-1701.5730253370978</v>
      </c>
    </row>
    <row r="139" spans="1:17">
      <c r="A139" s="2">
        <f ca="1"/>
        <v>138</v>
      </c>
      <c r="B139" s="4">
        <f ca="1"/>
        <v>-7.1186440677965979E-2</v>
      </c>
      <c r="C139" s="4">
        <f ca="1"/>
        <v>3.4250000000000003E-2</v>
      </c>
      <c r="D139" s="4">
        <f ca="1"/>
        <v>1.3398305084745765</v>
      </c>
      <c r="E139" s="4">
        <f ca="1"/>
        <v>61.016949152542374</v>
      </c>
      <c r="F139" s="4">
        <f ca="1"/>
        <v>0</v>
      </c>
      <c r="G139">
        <f ca="1"/>
        <v>0</v>
      </c>
      <c r="H139">
        <f ca="1"/>
        <v>1.3398305084745765</v>
      </c>
      <c r="I139">
        <f ca="1"/>
        <v>1.2199029473757917E-2</v>
      </c>
      <c r="J139">
        <f ca="1"/>
        <v>2.6388400325111465E-3</v>
      </c>
      <c r="K139">
        <f ca="1"/>
        <v>0</v>
      </c>
      <c r="L139">
        <f ca="1"/>
        <v>0.21502944563325535</v>
      </c>
      <c r="M139">
        <f ca="1"/>
        <v>0</v>
      </c>
      <c r="N139">
        <f ca="1"/>
        <v>4.9122905517587565</v>
      </c>
      <c r="O139">
        <f ca="1"/>
        <v>0</v>
      </c>
      <c r="P139">
        <f ca="1"/>
        <v>5.1273199973920116</v>
      </c>
      <c r="Q139">
        <f ca="1"/>
        <v>-1719.9636779284372</v>
      </c>
    </row>
    <row r="140" spans="1:17">
      <c r="A140" s="2">
        <f ca="1"/>
        <v>139</v>
      </c>
      <c r="B140" s="4">
        <f ca="1"/>
        <v>-6.4406779661016822E-2</v>
      </c>
      <c r="C140" s="4">
        <f ca="1"/>
        <v>3.4500000000000003E-2</v>
      </c>
      <c r="D140" s="4">
        <f ca="1"/>
        <v>1.3550847457627122</v>
      </c>
      <c r="E140" s="4">
        <f ca="1"/>
        <v>61.016949152542374</v>
      </c>
      <c r="F140" s="4">
        <f ca="1"/>
        <v>0</v>
      </c>
      <c r="G140">
        <f ca="1"/>
        <v>0</v>
      </c>
      <c r="H140">
        <f ca="1"/>
        <v>1.3550847457627122</v>
      </c>
      <c r="I140">
        <f ca="1"/>
        <v>1.2237604552005269E-2</v>
      </c>
      <c r="J140">
        <f ca="1"/>
        <v>2.4135133439581922E-3</v>
      </c>
      <c r="K140">
        <f ca="1"/>
        <v>0</v>
      </c>
      <c r="L140">
        <f ca="1"/>
        <v>0.1988716867645352</v>
      </c>
      <c r="M140">
        <f ca="1"/>
        <v>0</v>
      </c>
      <c r="N140">
        <f ca="1"/>
        <v>4.4928372504593757</v>
      </c>
      <c r="O140">
        <f ca="1"/>
        <v>0</v>
      </c>
      <c r="P140">
        <f ca="1"/>
        <v>4.6917089372239111</v>
      </c>
      <c r="Q140">
        <f ca="1"/>
        <v>-1732.3431683432243</v>
      </c>
    </row>
    <row r="141" spans="1:17">
      <c r="A141" s="2">
        <f ca="1"/>
        <v>140</v>
      </c>
      <c r="B141" s="4">
        <f ca="1"/>
        <v>-5.7627118644067665E-2</v>
      </c>
      <c r="C141" s="4">
        <f ca="1"/>
        <v>3.4750000000000003E-2</v>
      </c>
      <c r="D141" s="4">
        <f ca="1"/>
        <v>1.3703389830508477</v>
      </c>
      <c r="E141" s="4">
        <f ca="1"/>
        <v>61.016949152542374</v>
      </c>
      <c r="F141" s="4">
        <f ca="1"/>
        <v>0</v>
      </c>
      <c r="G141">
        <f ca="1"/>
        <v>0</v>
      </c>
      <c r="H141">
        <f ca="1"/>
        <v>1.3703389830508477</v>
      </c>
      <c r="I141">
        <f ca="1"/>
        <v>1.2272741778314113E-2</v>
      </c>
      <c r="J141">
        <f ca="1"/>
        <v>2.1909754494238015E-3</v>
      </c>
      <c r="K141">
        <f ca="1"/>
        <v>0</v>
      </c>
      <c r="L141">
        <f ca="1"/>
        <v>0.18257302905888415</v>
      </c>
      <c r="M141">
        <f ca="1"/>
        <v>0</v>
      </c>
      <c r="N141">
        <f ca="1"/>
        <v>4.0785753841615149</v>
      </c>
      <c r="O141">
        <f ca="1"/>
        <v>0</v>
      </c>
      <c r="P141">
        <f ca="1"/>
        <v>4.2611484132203987</v>
      </c>
      <c r="Q141">
        <f ca="1"/>
        <v>-1736.1765025531261</v>
      </c>
    </row>
    <row r="142" spans="1:17">
      <c r="A142" s="2">
        <f ca="1"/>
        <v>141</v>
      </c>
      <c r="B142" s="4">
        <f ca="1"/>
        <v>-5.0847457627118509E-2</v>
      </c>
      <c r="C142" s="4">
        <f ca="1"/>
        <v>3.5000000000000003E-2</v>
      </c>
      <c r="D142" s="4">
        <f ca="1"/>
        <v>1.3855932203389834</v>
      </c>
      <c r="E142" s="4">
        <f ca="1"/>
        <v>61.016949152542374</v>
      </c>
      <c r="F142" s="4">
        <f ca="1"/>
        <v>0</v>
      </c>
      <c r="G142">
        <f ca="1"/>
        <v>0</v>
      </c>
      <c r="H142">
        <f ca="1"/>
        <v>1.3855932203389834</v>
      </c>
      <c r="I142">
        <f ca="1"/>
        <v>1.2304456303843702E-2</v>
      </c>
      <c r="J142">
        <f ca="1"/>
        <v>1.9647640363368267E-3</v>
      </c>
      <c r="K142">
        <f ca="1"/>
        <v>0</v>
      </c>
      <c r="L142">
        <f ca="1"/>
        <v>0.16614554792303288</v>
      </c>
      <c r="M142">
        <f ca="1"/>
        <v>0</v>
      </c>
      <c r="N142">
        <f ca="1"/>
        <v>3.6574751380243145</v>
      </c>
      <c r="O142">
        <f ca="1"/>
        <v>0</v>
      </c>
      <c r="P142">
        <f ca="1"/>
        <v>3.8236206859473474</v>
      </c>
      <c r="Q142">
        <f ca="1"/>
        <v>-1731.7094506644682</v>
      </c>
    </row>
    <row r="143" spans="1:17">
      <c r="A143" s="2">
        <f ca="1"/>
        <v>142</v>
      </c>
      <c r="B143" s="4">
        <f ca="1"/>
        <v>-4.4067796610169352E-2</v>
      </c>
      <c r="C143" s="4">
        <f ca="1"/>
        <v>3.5250000000000004E-2</v>
      </c>
      <c r="D143" s="4">
        <f ca="1"/>
        <v>1.400847457627119</v>
      </c>
      <c r="E143" s="4">
        <f ca="1"/>
        <v>61.016949152542374</v>
      </c>
      <c r="F143" s="4">
        <f ca="1"/>
        <v>0</v>
      </c>
      <c r="G143">
        <f ca="1"/>
        <v>0</v>
      </c>
      <c r="H143">
        <f ca="1"/>
        <v>1.400847457627119</v>
      </c>
      <c r="I143">
        <f ca="1"/>
        <v>1.233273461604803E-2</v>
      </c>
      <c r="J143">
        <f ca="1"/>
        <v>1.7435578599415249E-3</v>
      </c>
      <c r="K143">
        <f ca="1"/>
        <v>0</v>
      </c>
      <c r="L143">
        <f ca="1"/>
        <v>0.1496013775115245</v>
      </c>
      <c r="M143">
        <f ca="1"/>
        <v>0</v>
      </c>
      <c r="N143">
        <f ca="1"/>
        <v>3.2456923103766395</v>
      </c>
      <c r="O143">
        <f ca="1"/>
        <v>0</v>
      </c>
      <c r="P143">
        <f ca="1"/>
        <v>3.3952936878881639</v>
      </c>
      <c r="Q143">
        <f ca="1"/>
        <v>-1731.1829958135327</v>
      </c>
    </row>
    <row r="144" spans="1:17">
      <c r="A144" s="2">
        <f ca="1"/>
        <v>143</v>
      </c>
      <c r="B144" s="4">
        <f ca="1"/>
        <v>-3.7288135593220195E-2</v>
      </c>
      <c r="C144" s="4">
        <f ca="1"/>
        <v>3.5500000000000004E-2</v>
      </c>
      <c r="D144" s="4">
        <f ca="1"/>
        <v>1.4161016949152545</v>
      </c>
      <c r="E144" s="4">
        <f ca="1"/>
        <v>61.016949152542374</v>
      </c>
      <c r="F144" s="4">
        <f ca="1"/>
        <v>0</v>
      </c>
      <c r="G144">
        <f ca="1"/>
        <v>0</v>
      </c>
      <c r="H144">
        <f ca="1"/>
        <v>1.4161016949152545</v>
      </c>
      <c r="I144">
        <f ca="1"/>
        <v>1.2357598804344914E-2</v>
      </c>
      <c r="J144">
        <f ca="1"/>
        <v>1.5176066717872529E-3</v>
      </c>
      <c r="K144">
        <f ca="1"/>
        <v>0</v>
      </c>
      <c r="L144">
        <f ca="1"/>
        <v>0.13295270623035316</v>
      </c>
      <c r="M144">
        <f ca="1"/>
        <v>0</v>
      </c>
      <c r="N144">
        <f ca="1"/>
        <v>2.825076481810227</v>
      </c>
      <c r="O144">
        <f ca="1"/>
        <v>0</v>
      </c>
      <c r="P144">
        <f ca="1"/>
        <v>2.9580291880405802</v>
      </c>
      <c r="Q144">
        <f ca="1"/>
        <v>-1757.0878685618629</v>
      </c>
    </row>
    <row r="145" spans="1:17">
      <c r="A145" s="2">
        <f ca="1"/>
        <v>144</v>
      </c>
      <c r="B145" s="4">
        <f ca="1"/>
        <v>-3.0508474576271039E-2</v>
      </c>
      <c r="C145" s="4">
        <f ca="1"/>
        <v>3.5750000000000004E-2</v>
      </c>
      <c r="D145" s="4">
        <f ca="1"/>
        <v>1.4313559322033902</v>
      </c>
      <c r="E145" s="4">
        <f ca="1"/>
        <v>61.016949152542374</v>
      </c>
      <c r="F145" s="4">
        <f ca="1"/>
        <v>0</v>
      </c>
      <c r="G145">
        <f ca="1"/>
        <v>0</v>
      </c>
      <c r="H145">
        <f ca="1"/>
        <v>1.4313559322033902</v>
      </c>
      <c r="I145">
        <f ca="1"/>
        <v>1.2378997257996894E-2</v>
      </c>
      <c r="J145">
        <f ca="1"/>
        <v>1.2895482582177533E-3</v>
      </c>
      <c r="K145">
        <f ca="1"/>
        <v>0</v>
      </c>
      <c r="L145">
        <f ca="1"/>
        <v>0.11621177220790907</v>
      </c>
      <c r="M145">
        <f ca="1"/>
        <v>0</v>
      </c>
      <c r="N145">
        <f ca="1"/>
        <v>2.4005379813993226</v>
      </c>
      <c r="O145">
        <f ca="1"/>
        <v>0</v>
      </c>
      <c r="P145">
        <f ca="1"/>
        <v>2.5167497536072316</v>
      </c>
      <c r="Q145">
        <f ca="1"/>
        <v>-1758.7728226109357</v>
      </c>
    </row>
    <row r="146" spans="1:17">
      <c r="A146" s="2">
        <f ca="1"/>
        <v>145</v>
      </c>
      <c r="B146" s="4">
        <f ca="1"/>
        <v>-2.3728813559321882E-2</v>
      </c>
      <c r="C146" s="4">
        <f ca="1"/>
        <v>3.6000000000000004E-2</v>
      </c>
      <c r="D146" s="4">
        <f ca="1"/>
        <v>1.4466101694915259</v>
      </c>
      <c r="E146" s="4">
        <f ca="1"/>
        <v>61.016949152542374</v>
      </c>
      <c r="F146" s="4">
        <f ca="1"/>
        <v>0</v>
      </c>
      <c r="G146">
        <f ca="1"/>
        <v>0</v>
      </c>
      <c r="H146">
        <f ca="1"/>
        <v>1.4466101694915259</v>
      </c>
      <c r="I146">
        <f ca="1"/>
        <v>1.2396917214072456E-2</v>
      </c>
      <c r="J146">
        <f ca="1"/>
        <v>1.0632422320607251E-3</v>
      </c>
      <c r="K146">
        <f ca="1"/>
        <v>0</v>
      </c>
      <c r="L146">
        <f ca="1"/>
        <v>9.9381166923707187E-2</v>
      </c>
      <c r="M146">
        <f ca="1"/>
        <v>0</v>
      </c>
      <c r="N146">
        <f ca="1"/>
        <v>1.9792616098114044</v>
      </c>
      <c r="O146">
        <f ca="1"/>
        <v>0</v>
      </c>
      <c r="P146">
        <f ca="1"/>
        <v>2.0786427767351117</v>
      </c>
      <c r="Q146">
        <f ca="1"/>
        <v>-1760.4739612453836</v>
      </c>
    </row>
    <row r="147" spans="1:17">
      <c r="A147" s="2">
        <f ca="1"/>
        <v>146</v>
      </c>
      <c r="B147" s="4">
        <f ca="1"/>
        <v>-1.6949152542372947E-2</v>
      </c>
      <c r="C147" s="4">
        <f ca="1"/>
        <v>3.6249999999999998E-2</v>
      </c>
      <c r="D147" s="4">
        <f ca="1"/>
        <v>1.4618644067796609</v>
      </c>
      <c r="E147" s="4">
        <f ca="1"/>
        <v>61.016949152542374</v>
      </c>
      <c r="F147" s="4">
        <f ca="1"/>
        <v>0</v>
      </c>
      <c r="G147">
        <f ca="1"/>
        <v>0</v>
      </c>
      <c r="H147">
        <f ca="1"/>
        <v>1.4618644067796609</v>
      </c>
      <c r="I147">
        <f ca="1"/>
        <v>1.2411351517235738E-2</v>
      </c>
      <c r="J147">
        <f ca="1"/>
        <v>8.348093153260997E-4</v>
      </c>
      <c r="K147">
        <f ca="1"/>
        <v>0</v>
      </c>
      <c r="L147">
        <f ca="1"/>
        <v>8.2486813974747608E-2</v>
      </c>
      <c r="M147">
        <f ca="1"/>
        <v>0</v>
      </c>
      <c r="N147">
        <f ca="1"/>
        <v>1.5540259590098036</v>
      </c>
      <c r="O147">
        <f ca="1"/>
        <v>0</v>
      </c>
      <c r="P147">
        <f ca="1"/>
        <v>1.6365127729845512</v>
      </c>
      <c r="Q147">
        <f ca="1"/>
        <v>-1771.0879228443941</v>
      </c>
    </row>
    <row r="148" spans="1:17">
      <c r="A148" s="2">
        <f ca="1"/>
        <v>147</v>
      </c>
      <c r="B148" s="4">
        <f ca="1"/>
        <v>-1.0169491525423791E-2</v>
      </c>
      <c r="C148" s="4">
        <f ca="1"/>
        <v>3.6499999999999998E-2</v>
      </c>
      <c r="D148" s="4">
        <f ca="1"/>
        <v>1.4771186440677964</v>
      </c>
      <c r="E148" s="4">
        <f ca="1"/>
        <v>61.016949152542374</v>
      </c>
      <c r="F148" s="4">
        <f ca="1"/>
        <v>0</v>
      </c>
      <c r="G148">
        <f ca="1"/>
        <v>0</v>
      </c>
      <c r="H148">
        <f ca="1"/>
        <v>1.4771186440677964</v>
      </c>
      <c r="I148">
        <f ca="1"/>
        <v>1.2422284500997144E-2</v>
      </c>
      <c r="J148">
        <f ca="1"/>
        <v>6.0571366974023822E-4</v>
      </c>
      <c r="K148">
        <f ca="1"/>
        <v>0</v>
      </c>
      <c r="L148">
        <f ca="1"/>
        <v>6.5542199421876432E-2</v>
      </c>
      <c r="M148">
        <f ca="1"/>
        <v>0</v>
      </c>
      <c r="N148">
        <f ca="1"/>
        <v>1.1275566158910497</v>
      </c>
      <c r="O148">
        <f ca="1"/>
        <v>0</v>
      </c>
      <c r="P148">
        <f ca="1"/>
        <v>1.1930988153129261</v>
      </c>
      <c r="Q148">
        <f ca="1"/>
        <v>-1778.8932587431216</v>
      </c>
    </row>
    <row r="149" spans="1:17">
      <c r="A149" s="2">
        <f ca="1"/>
        <v>148</v>
      </c>
      <c r="B149" s="4">
        <f ca="1"/>
        <v>-3.3898305084746339E-3</v>
      </c>
      <c r="C149" s="4">
        <f ca="1"/>
        <v>3.6749999999999998E-2</v>
      </c>
      <c r="D149" s="4">
        <f ca="1"/>
        <v>1.492372881355932</v>
      </c>
      <c r="E149" s="4">
        <f ca="1"/>
        <v>61.016949152542374</v>
      </c>
      <c r="F149" s="4">
        <f ca="1"/>
        <v>0</v>
      </c>
      <c r="G149">
        <f ca="1"/>
        <v>0</v>
      </c>
      <c r="H149">
        <f ca="1"/>
        <v>1.492372881355932</v>
      </c>
      <c r="I149">
        <f ca="1"/>
        <v>1.242972685698336E-2</v>
      </c>
      <c r="J149">
        <f ca="1"/>
        <v>3.7523161006714113E-4</v>
      </c>
      <c r="K149">
        <f ca="1"/>
        <v>0</v>
      </c>
      <c r="L149">
        <f ca="1"/>
        <v>4.8559727860310889E-2</v>
      </c>
      <c r="M149">
        <f ca="1"/>
        <v>0</v>
      </c>
      <c r="N149">
        <f ca="1"/>
        <v>0.69850641575267869</v>
      </c>
      <c r="O149">
        <f ca="1"/>
        <v>0</v>
      </c>
      <c r="P149">
        <f ca="1"/>
        <v>0.74706614361298962</v>
      </c>
      <c r="Q149">
        <f ca="1"/>
        <v>-1797.6535394121377</v>
      </c>
    </row>
    <row r="150" spans="1:17">
      <c r="A150" s="2">
        <f ca="1"/>
        <v>149</v>
      </c>
      <c r="B150" s="4">
        <f ca="1"/>
        <v>3.3898305084745228E-3</v>
      </c>
      <c r="C150" s="4">
        <f ca="1"/>
        <v>3.6999999999999998E-2</v>
      </c>
      <c r="D150" s="4">
        <f ca="1"/>
        <v>1.5076271186440677</v>
      </c>
      <c r="E150" s="4">
        <f ca="1"/>
        <v>61.016949152542374</v>
      </c>
      <c r="F150" s="4">
        <f ca="1"/>
        <v>0</v>
      </c>
      <c r="G150">
        <f ca="1"/>
        <v>0</v>
      </c>
      <c r="H150">
        <f ca="1"/>
        <v>1.5076271186440677</v>
      </c>
      <c r="I150">
        <f ca="1"/>
        <v>1.2433649559945026E-2</v>
      </c>
      <c r="J150">
        <f ca="1"/>
        <v>1.4113103246900404E-4</v>
      </c>
      <c r="K150">
        <f ca="1"/>
        <v>0</v>
      </c>
      <c r="L150">
        <f ca="1"/>
        <v>3.1551824291387719E-2</v>
      </c>
      <c r="M150">
        <f ca="1"/>
        <v>0</v>
      </c>
      <c r="N150">
        <f ca="1"/>
        <v>0.26272022131546863</v>
      </c>
      <c r="O150">
        <f ca="1"/>
        <v>0</v>
      </c>
      <c r="P150">
        <f ca="1"/>
        <v>0.29427204560685633</v>
      </c>
      <c r="Q150">
        <f ca="1"/>
        <v>-1801.7979707575489</v>
      </c>
    </row>
    <row r="151" spans="1:17">
      <c r="A151" s="2">
        <f ca="1"/>
        <v>150</v>
      </c>
      <c r="B151" s="4">
        <f ca="1"/>
        <v>1.0169491525423791E-2</v>
      </c>
      <c r="C151" s="4">
        <f ca="1"/>
        <v>3.7249999999999998E-2</v>
      </c>
      <c r="D151" s="4">
        <f ca="1"/>
        <v>1.5228813559322036</v>
      </c>
      <c r="E151" s="4">
        <f ca="1"/>
        <v>61.016949152542374</v>
      </c>
      <c r="F151" s="4">
        <f ca="1"/>
        <v>0</v>
      </c>
      <c r="G151">
        <f ca="1"/>
        <v>0</v>
      </c>
      <c r="H151">
        <f ca="1"/>
        <v>1.5228813559322036</v>
      </c>
      <c r="I151">
        <f ca="1"/>
        <v>1.2434054648306979E-2</v>
      </c>
      <c r="J151">
        <f ca="1"/>
        <v>-9.0443562850141143E-5</v>
      </c>
      <c r="K151">
        <f ca="1"/>
        <v>0</v>
      </c>
      <c r="L151">
        <f ca="1"/>
        <v>1.4530929354270257E-2</v>
      </c>
      <c r="M151">
        <f ca="1"/>
        <v>0</v>
      </c>
      <c r="N151">
        <f ca="1"/>
        <v>-0.16836377112005591</v>
      </c>
      <c r="O151">
        <f ca="1"/>
        <v>0</v>
      </c>
      <c r="P151">
        <f ca="1"/>
        <v>-0.15383284176578566</v>
      </c>
      <c r="Q151">
        <f ca="1"/>
        <v>-1788.0729614267309</v>
      </c>
    </row>
    <row r="152" spans="1:17">
      <c r="A152" s="2">
        <f ca="1"/>
        <v>151</v>
      </c>
      <c r="B152" s="4">
        <f ca="1"/>
        <v>1.6949152542372836E-2</v>
      </c>
      <c r="C152" s="4">
        <f ca="1"/>
        <v>3.7499999999999999E-2</v>
      </c>
      <c r="D152" s="4">
        <f ca="1"/>
        <v>1.5381355932203389</v>
      </c>
      <c r="E152" s="4">
        <f ca="1"/>
        <v>61.016949152542374</v>
      </c>
      <c r="F152" s="4">
        <f ca="1"/>
        <v>0</v>
      </c>
      <c r="G152">
        <f ca="1"/>
        <v>0</v>
      </c>
      <c r="H152">
        <f ca="1"/>
        <v>1.5381355932203389</v>
      </c>
      <c r="I152">
        <f ca="1"/>
        <v>1.2430956869022708E-2</v>
      </c>
      <c r="J152">
        <f ca="1"/>
        <v>-3.2085039336127912E-4</v>
      </c>
      <c r="K152">
        <f ca="1"/>
        <v>0</v>
      </c>
      <c r="L152">
        <f ca="1"/>
        <v>-2.4905054940168284E-3</v>
      </c>
      <c r="M152">
        <f ca="1"/>
        <v>0</v>
      </c>
      <c r="N152">
        <f ca="1"/>
        <v>-0.59727392961249315</v>
      </c>
      <c r="O152">
        <f ca="1"/>
        <v>0</v>
      </c>
      <c r="P152">
        <f ca="1"/>
        <v>-0.59976443510651001</v>
      </c>
      <c r="Q152">
        <f ca="1"/>
        <v>-1783.4821778186074</v>
      </c>
    </row>
    <row r="153" spans="1:17">
      <c r="A153" s="2">
        <f ca="1"/>
        <v>152</v>
      </c>
      <c r="B153" s="4">
        <f ca="1"/>
        <v>2.3728813559322104E-2</v>
      </c>
      <c r="C153" s="4">
        <f ca="1"/>
        <v>3.7749999999999999E-2</v>
      </c>
      <c r="D153" s="4">
        <f ca="1"/>
        <v>1.5533898305084748</v>
      </c>
      <c r="E153" s="4">
        <f ca="1"/>
        <v>61.016949152542374</v>
      </c>
      <c r="F153" s="4">
        <f ca="1"/>
        <v>0</v>
      </c>
      <c r="G153">
        <f ca="1"/>
        <v>0</v>
      </c>
      <c r="H153">
        <f ca="1"/>
        <v>1.5533898305084748</v>
      </c>
      <c r="I153">
        <f ca="1"/>
        <v>1.2424339830246E-2</v>
      </c>
      <c r="J153">
        <f ca="1"/>
        <v>-5.5119803598983939E-4</v>
      </c>
      <c r="K153">
        <f ca="1"/>
        <v>0</v>
      </c>
      <c r="L153">
        <f ca="1"/>
        <v>-1.9500022828448635E-2</v>
      </c>
      <c r="M153">
        <f ca="1"/>
        <v>0</v>
      </c>
      <c r="N153">
        <f ca="1"/>
        <v>-1.0260739078466417</v>
      </c>
      <c r="O153">
        <f ca="1"/>
        <v>0</v>
      </c>
      <c r="P153">
        <f ca="1"/>
        <v>-1.0455739306750902</v>
      </c>
      <c r="Q153">
        <f ca="1"/>
        <v>-1774.2037299034373</v>
      </c>
    </row>
    <row r="154" spans="1:17">
      <c r="A154" s="2">
        <f ca="1"/>
        <v>153</v>
      </c>
      <c r="B154" s="4">
        <f ca="1"/>
        <v>3.050847457627115E-2</v>
      </c>
      <c r="C154" s="4">
        <f ca="1"/>
        <v>3.7999999999999999E-2</v>
      </c>
      <c r="D154" s="4">
        <f ca="1"/>
        <v>1.56864406779661</v>
      </c>
      <c r="E154" s="4">
        <f ca="1"/>
        <v>61.016949152542374</v>
      </c>
      <c r="F154" s="4">
        <f ca="1"/>
        <v>0</v>
      </c>
      <c r="G154">
        <f ca="1"/>
        <v>0</v>
      </c>
      <c r="H154">
        <f ca="1"/>
        <v>1.56864406779661</v>
      </c>
      <c r="I154">
        <f ca="1"/>
        <v>1.2414210107469738E-2</v>
      </c>
      <c r="J154">
        <f ca="1"/>
        <v>-7.7913591495424575E-4</v>
      </c>
      <c r="K154">
        <f ca="1"/>
        <v>0</v>
      </c>
      <c r="L154">
        <f ca="1"/>
        <v>-3.6478271071296697E-2</v>
      </c>
      <c r="M154">
        <f ca="1"/>
        <v>0</v>
      </c>
      <c r="N154">
        <f ca="1"/>
        <v>-1.4503880289869326</v>
      </c>
      <c r="O154">
        <f ca="1"/>
        <v>0</v>
      </c>
      <c r="P154">
        <f ca="1"/>
        <v>-1.4868663000582294</v>
      </c>
      <c r="Q154">
        <f ca="1"/>
        <v>-1774.5754932272575</v>
      </c>
    </row>
    <row r="155" spans="1:17">
      <c r="A155" s="2">
        <f ca="1"/>
        <v>154</v>
      </c>
      <c r="B155" s="4">
        <f ca="1"/>
        <v>3.7288135593220417E-2</v>
      </c>
      <c r="C155" s="4">
        <f ca="1"/>
        <v>3.8249999999999999E-2</v>
      </c>
      <c r="D155" s="4">
        <f ca="1"/>
        <v>1.5838983050847459</v>
      </c>
      <c r="E155" s="4">
        <f ca="1"/>
        <v>61.016949152542374</v>
      </c>
      <c r="F155" s="4">
        <f ca="1"/>
        <v>0</v>
      </c>
      <c r="G155">
        <f ca="1"/>
        <v>0</v>
      </c>
      <c r="H155">
        <f ca="1"/>
        <v>1.5838983050847459</v>
      </c>
      <c r="I155">
        <f ca="1"/>
        <v>1.2400574446113304E-2</v>
      </c>
      <c r="J155">
        <f ca="1"/>
        <v>-1.00962275084956E-3</v>
      </c>
      <c r="K155">
        <f ca="1"/>
        <v>0</v>
      </c>
      <c r="L155">
        <f ca="1"/>
        <v>-5.3414557063167015E-2</v>
      </c>
      <c r="M155">
        <f ca="1"/>
        <v>0</v>
      </c>
      <c r="N155">
        <f ca="1"/>
        <v>-1.8794471202255527</v>
      </c>
      <c r="O155">
        <f ca="1"/>
        <v>0</v>
      </c>
      <c r="P155">
        <f ca="1"/>
        <v>-1.9328616772887197</v>
      </c>
      <c r="Q155">
        <f ca="1"/>
        <v>-1775.8478976300573</v>
      </c>
    </row>
    <row r="156" spans="1:17">
      <c r="A156" s="2">
        <f ca="1"/>
        <v>155</v>
      </c>
      <c r="B156" s="4">
        <f ca="1"/>
        <v>4.4067796610169463E-2</v>
      </c>
      <c r="C156" s="4">
        <f ca="1"/>
        <v>3.85E-2</v>
      </c>
      <c r="D156" s="4">
        <f ca="1"/>
        <v>1.5991525423728814</v>
      </c>
      <c r="E156" s="4">
        <f ca="1"/>
        <v>61.016949152542374</v>
      </c>
      <c r="F156" s="4">
        <f ca="1"/>
        <v>0</v>
      </c>
      <c r="G156">
        <f ca="1"/>
        <v>0</v>
      </c>
      <c r="H156">
        <f ca="1"/>
        <v>1.5991525423728814</v>
      </c>
      <c r="I156">
        <f ca="1"/>
        <v>1.238343968601374E-2</v>
      </c>
      <c r="J156">
        <f ca="1"/>
        <v>-1.2379541008692228E-3</v>
      </c>
      <c r="K156">
        <f ca="1"/>
        <v>0</v>
      </c>
      <c r="L156">
        <f ca="1"/>
        <v>-7.0296547743536331E-2</v>
      </c>
      <c r="M156">
        <f ca="1"/>
        <v>0</v>
      </c>
      <c r="N156">
        <f ca="1"/>
        <v>-2.3044937011297226</v>
      </c>
      <c r="O156">
        <f ca="1"/>
        <v>0</v>
      </c>
      <c r="P156">
        <f ca="1"/>
        <v>-2.3747902488732588</v>
      </c>
      <c r="Q156">
        <f ca="1"/>
        <v>-1772.9317241663641</v>
      </c>
    </row>
    <row r="157" spans="1:17">
      <c r="A157" s="2">
        <f ca="1"/>
        <v>156</v>
      </c>
      <c r="B157" s="4">
        <f ca="1"/>
        <v>5.0847457627118731E-2</v>
      </c>
      <c r="C157" s="4">
        <f ca="1"/>
        <v>3.875E-2</v>
      </c>
      <c r="D157" s="4">
        <f ca="1"/>
        <v>1.6144067796610171</v>
      </c>
      <c r="E157" s="4">
        <f ca="1"/>
        <v>61.016949152542374</v>
      </c>
      <c r="F157" s="4">
        <f ca="1"/>
        <v>0</v>
      </c>
      <c r="G157">
        <f ca="1"/>
        <v>0</v>
      </c>
      <c r="H157">
        <f ca="1"/>
        <v>1.6144067796610171</v>
      </c>
      <c r="I157">
        <f ca="1"/>
        <v>1.2362812275992608E-2</v>
      </c>
      <c r="J157">
        <f ca="1"/>
        <v>-1.4677226645056433E-3</v>
      </c>
      <c r="K157">
        <f ca="1"/>
        <v>0</v>
      </c>
      <c r="L157">
        <f ca="1"/>
        <v>-8.7111835264873344E-2</v>
      </c>
      <c r="M157">
        <f ca="1"/>
        <v>0</v>
      </c>
      <c r="N157">
        <f ca="1"/>
        <v>-2.7322157041070292</v>
      </c>
      <c r="O157">
        <f ca="1"/>
        <v>0</v>
      </c>
      <c r="P157">
        <f ca="1"/>
        <v>-2.8193275393719026</v>
      </c>
      <c r="Q157">
        <f ca="1"/>
        <v>-1771.0256368155124</v>
      </c>
    </row>
    <row r="158" spans="1:17">
      <c r="A158" s="2">
        <f ca="1"/>
        <v>157</v>
      </c>
      <c r="B158" s="4">
        <f ca="1"/>
        <v>5.7627118644067776E-2</v>
      </c>
      <c r="C158" s="4">
        <f ca="1"/>
        <v>3.9E-2</v>
      </c>
      <c r="D158" s="4">
        <f ca="1"/>
        <v>1.6296610169491526</v>
      </c>
      <c r="E158" s="4">
        <f ca="1"/>
        <v>61.016949152542374</v>
      </c>
      <c r="F158" s="4">
        <f ca="1"/>
        <v>0</v>
      </c>
      <c r="G158">
        <f ca="1"/>
        <v>0</v>
      </c>
      <c r="H158">
        <f ca="1"/>
        <v>1.6296610169491526</v>
      </c>
      <c r="I158">
        <f ca="1"/>
        <v>1.2338690073026886E-2</v>
      </c>
      <c r="J158">
        <f ca="1"/>
        <v>-1.6956203634004444E-3</v>
      </c>
      <c r="K158">
        <f ca="1"/>
        <v>0</v>
      </c>
      <c r="L158">
        <f ca="1"/>
        <v>-0.10384803860107321</v>
      </c>
      <c r="M158">
        <f ca="1"/>
        <v>0</v>
      </c>
      <c r="N158">
        <f ca="1"/>
        <v>-3.1564550286799427</v>
      </c>
      <c r="O158">
        <f ca="1"/>
        <v>0</v>
      </c>
      <c r="P158">
        <f ca="1"/>
        <v>-3.2603030672810158</v>
      </c>
      <c r="Q158">
        <f ca="1"/>
        <v>-1764.5163806634578</v>
      </c>
    </row>
    <row r="159" spans="1:17">
      <c r="A159" s="2">
        <f ca="1"/>
        <v>158</v>
      </c>
      <c r="B159" s="4">
        <f ca="1"/>
        <v>6.4406779661017044E-2</v>
      </c>
      <c r="C159" s="4">
        <f ca="1"/>
        <v>3.925E-2</v>
      </c>
      <c r="D159" s="4">
        <f ca="1"/>
        <v>1.6449152542372882</v>
      </c>
      <c r="E159" s="4">
        <f ca="1"/>
        <v>61.016949152542374</v>
      </c>
      <c r="F159" s="4">
        <f ca="1"/>
        <v>0</v>
      </c>
      <c r="G159">
        <f ca="1"/>
        <v>0</v>
      </c>
      <c r="H159">
        <f ca="1"/>
        <v>1.6449152542372882</v>
      </c>
      <c r="I159">
        <f ca="1"/>
        <v>1.2311094059036035E-2</v>
      </c>
      <c r="J159">
        <f ca="1"/>
        <v>-1.9237321692686673E-3</v>
      </c>
      <c r="K159">
        <f ca="1"/>
        <v>0</v>
      </c>
      <c r="L159">
        <f ca="1"/>
        <v>-0.12049280903113468</v>
      </c>
      <c r="M159">
        <f ca="1"/>
        <v>0</v>
      </c>
      <c r="N159">
        <f ca="1"/>
        <v>-3.5810929206724977</v>
      </c>
      <c r="O159">
        <f ca="1"/>
        <v>0</v>
      </c>
      <c r="P159">
        <f ca="1"/>
        <v>-3.7015857297036323</v>
      </c>
      <c r="Q159">
        <f ca="1"/>
        <v>-1759.7529951140366</v>
      </c>
    </row>
    <row r="160" spans="1:17">
      <c r="A160" s="2">
        <f ca="1"/>
        <v>159</v>
      </c>
      <c r="B160" s="4">
        <f ca="1"/>
        <v>7.118644067796609E-2</v>
      </c>
      <c r="C160" s="4">
        <f ca="1"/>
        <v>3.95E-2</v>
      </c>
      <c r="D160" s="4">
        <f ca="1"/>
        <v>1.6601694915254237</v>
      </c>
      <c r="E160" s="4">
        <f ca="1"/>
        <v>61.016949152542374</v>
      </c>
      <c r="F160" s="4">
        <f ca="1"/>
        <v>0</v>
      </c>
      <c r="G160">
        <f ca="1"/>
        <v>0</v>
      </c>
      <c r="H160">
        <f ca="1"/>
        <v>1.6601694915254237</v>
      </c>
      <c r="I160">
        <f ca="1"/>
        <v>1.2280038007448309E-2</v>
      </c>
      <c r="J160">
        <f ca="1"/>
        <v>-2.1504552905990569E-3</v>
      </c>
      <c r="K160">
        <f ca="1"/>
        <v>0</v>
      </c>
      <c r="L160">
        <f ca="1"/>
        <v>-0.13703383571367675</v>
      </c>
      <c r="M160">
        <f ca="1"/>
        <v>0</v>
      </c>
      <c r="N160">
        <f ca="1"/>
        <v>-4.0031457291243582</v>
      </c>
      <c r="O160">
        <f ca="1"/>
        <v>0</v>
      </c>
      <c r="P160">
        <f ca="1"/>
        <v>-4.1401795648380348</v>
      </c>
      <c r="Q160">
        <f ca="1"/>
        <v>-1750.086381050256</v>
      </c>
    </row>
    <row r="161" spans="1:17">
      <c r="A161" s="2">
        <f ca="1"/>
        <v>160</v>
      </c>
      <c r="B161" s="4">
        <f ca="1"/>
        <v>7.7966101694915357E-2</v>
      </c>
      <c r="C161" s="4">
        <f ca="1"/>
        <v>3.9750000000000001E-2</v>
      </c>
      <c r="D161" s="4">
        <f ca="1"/>
        <v>1.6754237288135596</v>
      </c>
      <c r="E161" s="4">
        <f ca="1"/>
        <v>61.016949152542374</v>
      </c>
      <c r="F161" s="4">
        <f ca="1"/>
        <v>0</v>
      </c>
      <c r="G161">
        <f ca="1"/>
        <v>0</v>
      </c>
      <c r="H161">
        <f ca="1"/>
        <v>1.6754237288135596</v>
      </c>
      <c r="I161">
        <f ca="1"/>
        <v>1.2245539004779878E-2</v>
      </c>
      <c r="J161">
        <f ca="1"/>
        <v>-2.3760892330906085E-3</v>
      </c>
      <c r="K161">
        <f ca="1"/>
        <v>0</v>
      </c>
      <c r="L161">
        <f ca="1"/>
        <v>-0.15345792613880357</v>
      </c>
      <c r="M161">
        <f ca="1"/>
        <v>0</v>
      </c>
      <c r="N161">
        <f ca="1"/>
        <v>-4.4231709940899577</v>
      </c>
      <c r="O161">
        <f ca="1"/>
        <v>0</v>
      </c>
      <c r="P161">
        <f ca="1"/>
        <v>-4.5766289202287611</v>
      </c>
      <c r="Q161">
        <f ca="1"/>
        <v>-1736.3279670017494</v>
      </c>
    </row>
    <row r="162" spans="1:17">
      <c r="A162" s="2">
        <f ca="1"/>
        <v>161</v>
      </c>
      <c r="B162" s="4">
        <f ca="1"/>
        <v>8.4745762711864403E-2</v>
      </c>
      <c r="C162" s="4">
        <f ca="1"/>
        <v>0.04</v>
      </c>
      <c r="D162" s="4">
        <f ca="1"/>
        <v>1.6906779661016949</v>
      </c>
      <c r="E162" s="4">
        <f ca="1"/>
        <v>61.016949152542374</v>
      </c>
      <c r="F162" s="4">
        <f ca="1"/>
        <v>0</v>
      </c>
      <c r="G162">
        <f ca="1"/>
        <v>0</v>
      </c>
      <c r="H162">
        <f ca="1"/>
        <v>1.6906779661016949</v>
      </c>
      <c r="I162">
        <f ca="1"/>
        <v>1.2207601470731839E-2</v>
      </c>
      <c r="J162">
        <f ca="1"/>
        <v>-2.599261317223398E-3</v>
      </c>
      <c r="K162">
        <f ca="1"/>
        <v>0</v>
      </c>
      <c r="L162">
        <f ca="1"/>
        <v>-0.16973012242462709</v>
      </c>
      <c r="M162">
        <f ca="1"/>
        <v>0</v>
      </c>
      <c r="N162">
        <f ca="1"/>
        <v>-4.838613425914283</v>
      </c>
      <c r="O162">
        <f ca="1"/>
        <v>0</v>
      </c>
      <c r="P162">
        <f ca="1"/>
        <v>-5.0083435483389103</v>
      </c>
      <c r="Q162">
        <f ca="1"/>
        <v>-1724.2874399492741</v>
      </c>
    </row>
    <row r="163" spans="1:17">
      <c r="A163" s="2">
        <f ca="1"/>
        <v>162</v>
      </c>
      <c r="B163" s="4">
        <f ca="1"/>
        <v>9.1525423728813671E-2</v>
      </c>
      <c r="C163" s="4">
        <f ca="1"/>
        <v>4.0250000000000001E-2</v>
      </c>
      <c r="D163" s="4">
        <f ca="1"/>
        <v>1.7059322033898308</v>
      </c>
      <c r="E163" s="4">
        <f ca="1"/>
        <v>61.016949152542374</v>
      </c>
      <c r="F163" s="4">
        <f ca="1"/>
        <v>0</v>
      </c>
      <c r="G163">
        <f ca="1"/>
        <v>0</v>
      </c>
      <c r="H163">
        <f ca="1"/>
        <v>1.7059322033898308</v>
      </c>
      <c r="I163">
        <f ca="1"/>
        <v>1.2166256441026752E-2</v>
      </c>
      <c r="J163">
        <f ca="1"/>
        <v>-2.8218208602461894E-3</v>
      </c>
      <c r="K163">
        <f ca="1"/>
        <v>0</v>
      </c>
      <c r="L163">
        <f ca="1"/>
        <v>-0.18585704859314081</v>
      </c>
      <c r="M163">
        <f ca="1"/>
        <v>0</v>
      </c>
      <c r="N163">
        <f ca="1"/>
        <v>-5.2529155916102583</v>
      </c>
      <c r="O163">
        <f ca="1"/>
        <v>0</v>
      </c>
      <c r="P163">
        <f ca="1"/>
        <v>-5.4387726402033989</v>
      </c>
      <c r="Q163">
        <f ca="1"/>
        <v>-1714.6174200747348</v>
      </c>
    </row>
    <row r="164" spans="1:17">
      <c r="A164" s="2">
        <f ca="1"/>
        <v>163</v>
      </c>
      <c r="B164" s="4">
        <f ca="1"/>
        <v>9.8305084745762716E-2</v>
      </c>
      <c r="C164" s="4">
        <f ca="1"/>
        <v>4.0500000000000001E-2</v>
      </c>
      <c r="D164" s="4">
        <f ca="1"/>
        <v>1.721186440677966</v>
      </c>
      <c r="E164" s="4">
        <f ca="1"/>
        <v>61.016949152542374</v>
      </c>
      <c r="F164" s="4">
        <f ca="1"/>
        <v>0</v>
      </c>
      <c r="G164">
        <f ca="1"/>
        <v>0</v>
      </c>
      <c r="H164">
        <f ca="1"/>
        <v>1.721186440677966</v>
      </c>
      <c r="I164">
        <f ca="1"/>
        <v>1.212152630366036E-2</v>
      </c>
      <c r="J164">
        <f ca="1"/>
        <v>-3.0425581642931627E-3</v>
      </c>
      <c r="K164">
        <f ca="1"/>
        <v>0</v>
      </c>
      <c r="L164">
        <f ca="1"/>
        <v>-0.20182666095608381</v>
      </c>
      <c r="M164">
        <f ca="1"/>
        <v>0</v>
      </c>
      <c r="N164">
        <f ca="1"/>
        <v>-5.6638255974201943</v>
      </c>
      <c r="O164">
        <f ca="1"/>
        <v>0</v>
      </c>
      <c r="P164">
        <f ca="1"/>
        <v>-5.8656522583762785</v>
      </c>
      <c r="Q164">
        <f ca="1"/>
        <v>-1695.1988922828662</v>
      </c>
    </row>
    <row r="165" spans="1:17">
      <c r="A165" s="2">
        <f ca="1"/>
        <v>164</v>
      </c>
      <c r="B165" s="4">
        <f ca="1"/>
        <v>0.10508474576271198</v>
      </c>
      <c r="C165" s="4">
        <f ca="1"/>
        <v>4.0750000000000001E-2</v>
      </c>
      <c r="D165" s="4">
        <f ca="1"/>
        <v>1.7364406779661019</v>
      </c>
      <c r="E165" s="4">
        <f ca="1"/>
        <v>61.016949152542374</v>
      </c>
      <c r="F165" s="4">
        <f ca="1"/>
        <v>0</v>
      </c>
      <c r="G165">
        <f ca="1"/>
        <v>0</v>
      </c>
      <c r="H165">
        <f ca="1"/>
        <v>1.7364406779661019</v>
      </c>
      <c r="I165">
        <f ca="1"/>
        <v>1.207342893890863E-2</v>
      </c>
      <c r="J165">
        <f ca="1"/>
        <v>-3.2600774188518873E-3</v>
      </c>
      <c r="K165">
        <f ca="1"/>
        <v>0</v>
      </c>
      <c r="L165">
        <f ca="1"/>
        <v>-0.21762699178573161</v>
      </c>
      <c r="M165">
        <f ca="1"/>
        <v>0</v>
      </c>
      <c r="N165">
        <f ca="1"/>
        <v>-6.0687450945591008</v>
      </c>
      <c r="O165">
        <f ca="1"/>
        <v>0</v>
      </c>
      <c r="P165">
        <f ca="1"/>
        <v>-6.2863720863448327</v>
      </c>
      <c r="Q165">
        <f ca="1"/>
        <v>-1686.294920370289</v>
      </c>
    </row>
    <row r="166" spans="1:17">
      <c r="A166" s="2">
        <f ca="1"/>
        <v>165</v>
      </c>
      <c r="B166" s="4">
        <f ca="1"/>
        <v>0.11186440677966103</v>
      </c>
      <c r="C166" s="4">
        <f ca="1"/>
        <v>4.1000000000000002E-2</v>
      </c>
      <c r="D166" s="4">
        <f ca="1"/>
        <v>1.7516949152542374</v>
      </c>
      <c r="E166" s="4">
        <f ca="1"/>
        <v>61.016949152542374</v>
      </c>
      <c r="F166" s="4">
        <f ca="1"/>
        <v>0</v>
      </c>
      <c r="G166">
        <f ca="1"/>
        <v>0</v>
      </c>
      <c r="H166">
        <f ca="1"/>
        <v>1.7516949152542374</v>
      </c>
      <c r="I166">
        <f ca="1"/>
        <v>1.202198433904219E-2</v>
      </c>
      <c r="J166">
        <f ca="1"/>
        <v>-3.4786114123500434E-3</v>
      </c>
      <c r="K166">
        <f ca="1"/>
        <v>0</v>
      </c>
      <c r="L166">
        <f ca="1"/>
        <v>-0.23324615578397981</v>
      </c>
      <c r="M166">
        <f ca="1"/>
        <v>0</v>
      </c>
      <c r="N166">
        <f ca="1"/>
        <v>-6.4755535627774439</v>
      </c>
      <c r="O166">
        <f ca="1"/>
        <v>0</v>
      </c>
      <c r="P166">
        <f ca="1"/>
        <v>-6.7087997185614237</v>
      </c>
      <c r="Q166">
        <f ca="1"/>
        <v>-1677.8875290136903</v>
      </c>
    </row>
    <row r="167" spans="1:17">
      <c r="A167" s="2">
        <f ca="1"/>
        <v>166</v>
      </c>
      <c r="B167" s="4">
        <f ca="1"/>
        <v>0.1186440677966103</v>
      </c>
      <c r="C167" s="4">
        <f ca="1"/>
        <v>4.1250000000000002E-2</v>
      </c>
      <c r="D167" s="4">
        <f ca="1"/>
        <v>1.7669491525423733</v>
      </c>
      <c r="E167" s="4">
        <f ca="1"/>
        <v>61.016949152542374</v>
      </c>
      <c r="F167" s="4">
        <f ca="1"/>
        <v>0</v>
      </c>
      <c r="G167">
        <f ca="1"/>
        <v>0</v>
      </c>
      <c r="H167">
        <f ca="1"/>
        <v>1.7669491525423733</v>
      </c>
      <c r="I167">
        <f ca="1"/>
        <v>1.1967235478446107E-2</v>
      </c>
      <c r="J167">
        <f ca="1"/>
        <v>-3.6940734573040535E-3</v>
      </c>
      <c r="K167">
        <f ca="1"/>
        <v>0</v>
      </c>
      <c r="L167">
        <f ca="1"/>
        <v>-0.24867235664591344</v>
      </c>
      <c r="M167">
        <f ca="1"/>
        <v>0</v>
      </c>
      <c r="N167">
        <f ca="1"/>
        <v>-6.8766434942057648</v>
      </c>
      <c r="O167">
        <f ca="1"/>
        <v>0</v>
      </c>
      <c r="P167">
        <f ca="1"/>
        <v>-7.1253158508516785</v>
      </c>
      <c r="Q167">
        <f ca="1"/>
        <v>-1663.3689570879098</v>
      </c>
    </row>
    <row r="168" spans="1:17">
      <c r="A168" s="2">
        <f ca="1"/>
        <v>167</v>
      </c>
      <c r="B168" s="4">
        <f ca="1"/>
        <v>0.12542372881355934</v>
      </c>
      <c r="C168" s="4">
        <f ca="1"/>
        <v>4.1500000000000002E-2</v>
      </c>
      <c r="D168" s="4">
        <f ca="1"/>
        <v>1.7822033898305085</v>
      </c>
      <c r="E168" s="4">
        <f ca="1"/>
        <v>61.016949152542374</v>
      </c>
      <c r="F168" s="4">
        <f ca="1"/>
        <v>0</v>
      </c>
      <c r="G168">
        <f ca="1"/>
        <v>0</v>
      </c>
      <c r="H168">
        <f ca="1"/>
        <v>1.7822033898305085</v>
      </c>
      <c r="I168">
        <f ca="1"/>
        <v>1.1909207474934135E-2</v>
      </c>
      <c r="J168">
        <f ca="1"/>
        <v>-3.9089214268517832E-3</v>
      </c>
      <c r="K168">
        <f ca="1"/>
        <v>0</v>
      </c>
      <c r="L168">
        <f ca="1"/>
        <v>-0.26389389374440331</v>
      </c>
      <c r="M168">
        <f ca="1"/>
        <v>0</v>
      </c>
      <c r="N168">
        <f ca="1"/>
        <v>-7.276590303360976</v>
      </c>
      <c r="O168">
        <f ca="1"/>
        <v>0</v>
      </c>
      <c r="P168">
        <f ca="1"/>
        <v>-7.5404841971053793</v>
      </c>
      <c r="Q168">
        <f ca="1"/>
        <v>-1646.2071611094448</v>
      </c>
    </row>
    <row r="169" spans="1:17">
      <c r="A169" s="2">
        <f ca="1"/>
        <v>168</v>
      </c>
      <c r="B169" s="4">
        <f ca="1"/>
        <v>0.13220338983050861</v>
      </c>
      <c r="C169" s="4">
        <f ca="1"/>
        <v>4.1750000000000002E-2</v>
      </c>
      <c r="D169" s="4">
        <f ca="1"/>
        <v>1.7974576271186444</v>
      </c>
      <c r="E169" s="4">
        <f ca="1"/>
        <v>61.016949152542374</v>
      </c>
      <c r="F169" s="4">
        <f ca="1"/>
        <v>0</v>
      </c>
      <c r="G169">
        <f ca="1"/>
        <v>0</v>
      </c>
      <c r="H169">
        <f ca="1"/>
        <v>1.7974576271186444</v>
      </c>
      <c r="I169">
        <f ca="1"/>
        <v>1.1847919534343604E-2</v>
      </c>
      <c r="J169">
        <f ca="1"/>
        <v>-4.12000219878634E-3</v>
      </c>
      <c r="K169">
        <f ca="1"/>
        <v>0</v>
      </c>
      <c r="L169">
        <f ca="1"/>
        <v>-0.2788950854898587</v>
      </c>
      <c r="M169">
        <f ca="1"/>
        <v>0</v>
      </c>
      <c r="N169">
        <f ca="1"/>
        <v>-7.6695243459165425</v>
      </c>
      <c r="O169">
        <f ca="1"/>
        <v>0</v>
      </c>
      <c r="P169">
        <f ca="1"/>
        <v>-7.9484194314064016</v>
      </c>
      <c r="Q169">
        <f ca="1"/>
        <v>-1638.4756331871276</v>
      </c>
    </row>
    <row r="170" spans="1:17">
      <c r="A170" s="2">
        <f ca="1"/>
        <v>169</v>
      </c>
      <c r="B170" s="4">
        <f ca="1"/>
        <v>0.13898305084745766</v>
      </c>
      <c r="C170" s="4">
        <f ca="1"/>
        <v>4.2000000000000003E-2</v>
      </c>
      <c r="D170" s="4">
        <f ca="1"/>
        <v>1.8127118644067797</v>
      </c>
      <c r="E170" s="4">
        <f ca="1"/>
        <v>61.016949152542374</v>
      </c>
      <c r="F170" s="4">
        <f ca="1"/>
        <v>0</v>
      </c>
      <c r="G170">
        <f ca="1"/>
        <v>0</v>
      </c>
      <c r="H170">
        <f ca="1"/>
        <v>1.8127118644067797</v>
      </c>
      <c r="I170">
        <f ca="1"/>
        <v>1.1783416214285873E-2</v>
      </c>
      <c r="J170">
        <f ca="1"/>
        <v>-4.333034229523536E-3</v>
      </c>
      <c r="K170">
        <f ca="1"/>
        <v>0</v>
      </c>
      <c r="L170">
        <f ca="1"/>
        <v>-0.29363129054108178</v>
      </c>
      <c r="M170">
        <f ca="1"/>
        <v>0</v>
      </c>
      <c r="N170">
        <f ca="1"/>
        <v>-8.0660907231578616</v>
      </c>
      <c r="O170">
        <f ca="1"/>
        <v>0</v>
      </c>
      <c r="P170">
        <f ca="1"/>
        <v>-8.3597220136989439</v>
      </c>
      <c r="Q170">
        <f ca="1"/>
        <v>-1630.8191518467565</v>
      </c>
    </row>
    <row r="171" spans="1:17">
      <c r="A171" s="2">
        <f ca="1"/>
        <v>170</v>
      </c>
      <c r="B171" s="4">
        <f ca="1"/>
        <v>0.14576271186440692</v>
      </c>
      <c r="C171" s="4">
        <f ca="1"/>
        <v>4.2250000000000003E-2</v>
      </c>
      <c r="D171" s="4">
        <f ca="1"/>
        <v>1.8279661016949156</v>
      </c>
      <c r="E171" s="4">
        <f ca="1"/>
        <v>61.016949152542374</v>
      </c>
      <c r="F171" s="4">
        <f ca="1"/>
        <v>0</v>
      </c>
      <c r="G171">
        <f ca="1"/>
        <v>0</v>
      </c>
      <c r="H171">
        <f ca="1"/>
        <v>1.8279661016949156</v>
      </c>
      <c r="I171">
        <f ca="1"/>
        <v>1.1715733001707404E-2</v>
      </c>
      <c r="J171">
        <f ca="1"/>
        <v>-4.5423317287672125E-3</v>
      </c>
      <c r="K171">
        <f ca="1"/>
        <v>0</v>
      </c>
      <c r="L171">
        <f ca="1"/>
        <v>-0.30812386443649187</v>
      </c>
      <c r="M171">
        <f ca="1"/>
        <v>0</v>
      </c>
      <c r="N171">
        <f ca="1"/>
        <v>-8.4557051428932883</v>
      </c>
      <c r="O171">
        <f ca="1"/>
        <v>0</v>
      </c>
      <c r="P171">
        <f ca="1"/>
        <v>-8.7638290073297807</v>
      </c>
      <c r="Q171">
        <f ca="1"/>
        <v>-1598.0440376507111</v>
      </c>
    </row>
    <row r="172" spans="1:17">
      <c r="A172" s="2">
        <f ca="1"/>
        <v>171</v>
      </c>
      <c r="B172" s="4">
        <f ca="1"/>
        <v>0.15254237288135597</v>
      </c>
      <c r="C172" s="4">
        <f ca="1"/>
        <v>4.2500000000000003E-2</v>
      </c>
      <c r="D172" s="4">
        <f ca="1"/>
        <v>1.843220338983051</v>
      </c>
      <c r="E172" s="4">
        <f ca="1"/>
        <v>61.016949152542374</v>
      </c>
      <c r="F172" s="4">
        <f ca="1"/>
        <v>0</v>
      </c>
      <c r="G172">
        <f ca="1"/>
        <v>0</v>
      </c>
      <c r="H172">
        <f ca="1"/>
        <v>1.843220338983051</v>
      </c>
      <c r="I172">
        <f ca="1"/>
        <v>1.1644919318067529E-2</v>
      </c>
      <c r="J172">
        <f ca="1"/>
        <v>-4.7468282430776533E-3</v>
      </c>
      <c r="K172">
        <f ca="1"/>
        <v>0</v>
      </c>
      <c r="L172">
        <f ca="1"/>
        <v>-0.32236166678365136</v>
      </c>
      <c r="M172">
        <f ca="1"/>
        <v>0</v>
      </c>
      <c r="N172">
        <f ca="1"/>
        <v>-8.8363823657406488</v>
      </c>
      <c r="O172">
        <f ca="1"/>
        <v>0</v>
      </c>
      <c r="P172">
        <f ca="1"/>
        <v>-9.1587440325243001</v>
      </c>
      <c r="Q172">
        <f ca="1"/>
        <v>-1568.3272070493238</v>
      </c>
    </row>
    <row r="173" spans="1:17">
      <c r="A173" s="2">
        <f ca="1"/>
        <v>172</v>
      </c>
      <c r="B173" s="4">
        <f ca="1"/>
        <v>0.15932203389830524</v>
      </c>
      <c r="C173" s="4">
        <f ca="1"/>
        <v>4.2750000000000003E-2</v>
      </c>
      <c r="D173" s="4">
        <f ca="1"/>
        <v>1.8584745762711867</v>
      </c>
      <c r="E173" s="4">
        <f ca="1"/>
        <v>61.016949152542374</v>
      </c>
      <c r="F173" s="4">
        <f ca="1"/>
        <v>0</v>
      </c>
      <c r="G173">
        <f ca="1"/>
        <v>0</v>
      </c>
      <c r="H173">
        <f ca="1"/>
        <v>1.8584745762711867</v>
      </c>
      <c r="I173">
        <f ca="1"/>
        <v>1.1570996235076568E-2</v>
      </c>
      <c r="J173">
        <f ca="1"/>
        <v>-4.9484235607188563E-3</v>
      </c>
      <c r="K173">
        <f ca="1"/>
        <v>0</v>
      </c>
      <c r="L173">
        <f ca="1"/>
        <v>-0.33633369862859164</v>
      </c>
      <c r="M173">
        <f ca="1"/>
        <v>0</v>
      </c>
      <c r="N173">
        <f ca="1"/>
        <v>-9.2116589122258521</v>
      </c>
      <c r="O173">
        <f ca="1"/>
        <v>0</v>
      </c>
      <c r="P173">
        <f ca="1"/>
        <v>-9.5479926108544433</v>
      </c>
      <c r="Q173">
        <f ca="1"/>
        <v>-1539.0672958433797</v>
      </c>
    </row>
    <row r="174" spans="1:17">
      <c r="A174" s="2">
        <f ca="1"/>
        <v>173</v>
      </c>
      <c r="B174" s="4">
        <f ca="1"/>
        <v>0.16610169491525428</v>
      </c>
      <c r="C174" s="4">
        <f ca="1"/>
        <v>4.3000000000000003E-2</v>
      </c>
      <c r="D174" s="4">
        <f ca="1"/>
        <v>1.8737288135593222</v>
      </c>
      <c r="E174" s="4">
        <f ca="1"/>
        <v>61.016949152542374</v>
      </c>
      <c r="F174" s="4">
        <f ca="1"/>
        <v>0</v>
      </c>
      <c r="G174">
        <f ca="1"/>
        <v>0</v>
      </c>
      <c r="H174">
        <f ca="1"/>
        <v>1.8737288135593222</v>
      </c>
      <c r="I174">
        <f ca="1"/>
        <v>1.1494026528516173E-2</v>
      </c>
      <c r="J174">
        <f ca="1"/>
        <v>-5.145352356990057E-3</v>
      </c>
      <c r="K174">
        <f ca="1"/>
        <v>0</v>
      </c>
      <c r="L174">
        <f ca="1"/>
        <v>-0.35002911012264254</v>
      </c>
      <c r="M174">
        <f ca="1"/>
        <v>0</v>
      </c>
      <c r="N174">
        <f ca="1"/>
        <v>-9.578248570323348</v>
      </c>
      <c r="O174">
        <f ca="1"/>
        <v>0</v>
      </c>
      <c r="P174">
        <f ca="1"/>
        <v>-9.9282776804459907</v>
      </c>
      <c r="Q174">
        <f ca="1"/>
        <v>-1516.8227020306965</v>
      </c>
    </row>
    <row r="175" spans="1:17">
      <c r="A175" s="2">
        <f ca="1"/>
        <v>174</v>
      </c>
      <c r="B175" s="4">
        <f ca="1"/>
        <v>0.17288135593220355</v>
      </c>
      <c r="C175" s="4">
        <f ca="1"/>
        <v>4.3250000000000004E-2</v>
      </c>
      <c r="D175" s="4">
        <f ca="1"/>
        <v>1.8889830508474579</v>
      </c>
      <c r="E175" s="4">
        <f ca="1"/>
        <v>61.016949152542374</v>
      </c>
      <c r="F175" s="4">
        <f ca="1"/>
        <v>0</v>
      </c>
      <c r="G175">
        <f ca="1"/>
        <v>0</v>
      </c>
      <c r="H175">
        <f ca="1"/>
        <v>1.8889830508474579</v>
      </c>
      <c r="I175">
        <f ca="1"/>
        <v>1.1414057873637419E-2</v>
      </c>
      <c r="J175">
        <f ca="1"/>
        <v>-5.3412758131138344E-3</v>
      </c>
      <c r="K175">
        <f ca="1"/>
        <v>0</v>
      </c>
      <c r="L175">
        <f ca="1"/>
        <v>-0.36343720835710902</v>
      </c>
      <c r="M175">
        <f ca="1"/>
        <v>0</v>
      </c>
      <c r="N175">
        <f ca="1"/>
        <v>-9.9429667535126836</v>
      </c>
      <c r="O175">
        <f ca="1"/>
        <v>0</v>
      </c>
      <c r="P175">
        <f ca="1"/>
        <v>-10.306403961869792</v>
      </c>
      <c r="Q175">
        <f ca="1"/>
        <v>-1489.9713145771282</v>
      </c>
    </row>
    <row r="176" spans="1:17">
      <c r="A176" s="2">
        <f ca="1"/>
        <v>175</v>
      </c>
      <c r="B176" s="4">
        <f ca="1"/>
        <v>0.17966101694915282</v>
      </c>
      <c r="C176" s="4">
        <f ca="1"/>
        <v>4.3500000000000004E-2</v>
      </c>
      <c r="D176" s="4">
        <f ca="1"/>
        <v>1.9042372881355938</v>
      </c>
      <c r="E176" s="4">
        <f ca="1"/>
        <v>61.016949152542374</v>
      </c>
      <c r="F176" s="4">
        <f ca="1"/>
        <v>0</v>
      </c>
      <c r="G176">
        <f ca="1"/>
        <v>0</v>
      </c>
      <c r="H176">
        <f ca="1"/>
        <v>1.9042372881355938</v>
      </c>
      <c r="I176">
        <f ca="1"/>
        <v>1.1331139282906143E-2</v>
      </c>
      <c r="J176">
        <f ca="1"/>
        <v>-5.5313067826991604E-3</v>
      </c>
      <c r="K176">
        <f ca="1"/>
        <v>0</v>
      </c>
      <c r="L176">
        <f ca="1"/>
        <v>-0.37654746531554767</v>
      </c>
      <c r="M176">
        <f ca="1"/>
        <v>0</v>
      </c>
      <c r="N176">
        <f ca="1"/>
        <v>-10.296715872419007</v>
      </c>
      <c r="O176">
        <f ca="1"/>
        <v>0</v>
      </c>
      <c r="P176">
        <f ca="1"/>
        <v>-10.673263337734555</v>
      </c>
      <c r="Q176">
        <f ca="1"/>
        <v>-1463.5406646656741</v>
      </c>
    </row>
    <row r="177" spans="1:17">
      <c r="A177" s="2">
        <f ca="1"/>
        <v>176</v>
      </c>
      <c r="B177" s="4">
        <f ca="1"/>
        <v>0.18644067796610186</v>
      </c>
      <c r="C177" s="4">
        <f ca="1"/>
        <v>4.3750000000000004E-2</v>
      </c>
      <c r="D177" s="4">
        <f ca="1"/>
        <v>1.9194915254237293</v>
      </c>
      <c r="E177" s="4">
        <f ca="1"/>
        <v>61.016949152542374</v>
      </c>
      <c r="F177" s="4">
        <f ca="1"/>
        <v>0</v>
      </c>
      <c r="G177">
        <f ca="1"/>
        <v>0</v>
      </c>
      <c r="H177">
        <f ca="1"/>
        <v>1.9194915254237293</v>
      </c>
      <c r="I177">
        <f ca="1"/>
        <v>1.1245315705495711E-2</v>
      </c>
      <c r="J177">
        <f ca="1"/>
        <v>-5.7204615299304897E-3</v>
      </c>
      <c r="K177">
        <f ca="1"/>
        <v>0</v>
      </c>
      <c r="L177">
        <f ca="1"/>
        <v>-0.3893404206175749</v>
      </c>
      <c r="M177">
        <f ca="1"/>
        <v>0</v>
      </c>
      <c r="N177">
        <f ca="1"/>
        <v>-10.648833873585055</v>
      </c>
      <c r="O177">
        <f ca="1"/>
        <v>0</v>
      </c>
      <c r="P177">
        <f ca="1"/>
        <v>-11.03817429420263</v>
      </c>
      <c r="Q177">
        <f ca="1"/>
        <v>-1440.4704877682316</v>
      </c>
    </row>
    <row r="178" spans="1:17">
      <c r="A178" s="2">
        <f ca="1"/>
        <v>177</v>
      </c>
      <c r="B178" s="4">
        <f ca="1"/>
        <v>0.19322033898305091</v>
      </c>
      <c r="C178" s="4">
        <f ca="1"/>
        <v>4.3999999999999997E-2</v>
      </c>
      <c r="D178" s="4">
        <f ca="1"/>
        <v>1.9347457627118645</v>
      </c>
      <c r="E178" s="4">
        <f ca="1"/>
        <v>61.016949152542374</v>
      </c>
      <c r="F178" s="4">
        <f ca="1"/>
        <v>0</v>
      </c>
      <c r="G178">
        <f ca="1"/>
        <v>0</v>
      </c>
      <c r="H178">
        <f ca="1"/>
        <v>1.9347457627118645</v>
      </c>
      <c r="I178">
        <f ca="1"/>
        <v>1.1156648794104881E-2</v>
      </c>
      <c r="J178">
        <f ca="1"/>
        <v>-5.9046628106603225E-3</v>
      </c>
      <c r="K178">
        <f ca="1"/>
        <v>0</v>
      </c>
      <c r="L178">
        <f ca="1"/>
        <v>-0.40176775338571513</v>
      </c>
      <c r="M178">
        <f ca="1"/>
        <v>0</v>
      </c>
      <c r="N178">
        <f ca="1"/>
        <v>-10.991730828232948</v>
      </c>
      <c r="O178">
        <f ca="1"/>
        <v>0</v>
      </c>
      <c r="P178">
        <f ca="1"/>
        <v>-11.393498581618662</v>
      </c>
      <c r="Q178">
        <f ca="1"/>
        <v>-1410.0153090230065</v>
      </c>
    </row>
    <row r="179" spans="1:17">
      <c r="A179" s="2">
        <f ca="1"/>
        <v>178</v>
      </c>
      <c r="B179" s="4">
        <f ca="1"/>
        <v>0.19999999999999996</v>
      </c>
      <c r="C179" s="4">
        <f ca="1"/>
        <v>4.4249999999999998E-2</v>
      </c>
      <c r="D179" s="4">
        <f ca="1"/>
        <v>1.95</v>
      </c>
      <c r="E179" s="4">
        <f ca="1"/>
        <v>61.016949152542374</v>
      </c>
      <c r="F179" s="4">
        <f ca="1"/>
        <v>0</v>
      </c>
      <c r="G179">
        <f ca="1"/>
        <v>0</v>
      </c>
      <c r="H179">
        <f ca="1"/>
        <v>1.95</v>
      </c>
      <c r="I179">
        <f ca="1"/>
        <v>1.1065198681241804E-2</v>
      </c>
      <c r="J179">
        <f ca="1"/>
        <v>-6.0860123142353513E-3</v>
      </c>
      <c r="K179">
        <f ca="1"/>
        <v>0</v>
      </c>
      <c r="L179">
        <f ca="1"/>
        <v>-0.41386284608698226</v>
      </c>
      <c r="M179">
        <f ca="1"/>
        <v>0</v>
      </c>
      <c r="N179">
        <f ca="1"/>
        <v>-11.329319102627142</v>
      </c>
      <c r="O179">
        <f ca="1"/>
        <v>0</v>
      </c>
      <c r="P179">
        <f ca="1"/>
        <v>-11.743181948714124</v>
      </c>
      <c r="Q179">
        <f ca="1"/>
        <v>-1381.8765177012888</v>
      </c>
    </row>
    <row r="180" spans="1:17">
      <c r="A180" s="2">
        <f ca="1"/>
        <v>179</v>
      </c>
      <c r="B180" s="4">
        <f ca="1"/>
        <v>0.20677966101694922</v>
      </c>
      <c r="C180" s="4">
        <f ca="1"/>
        <v>4.4499999999999998E-2</v>
      </c>
      <c r="D180" s="4">
        <f ca="1"/>
        <v>1.9652542372881356</v>
      </c>
      <c r="E180" s="4">
        <f ca="1"/>
        <v>61.016949152542374</v>
      </c>
      <c r="F180" s="4">
        <f ca="1"/>
        <v>0</v>
      </c>
      <c r="G180">
        <f ca="1"/>
        <v>0</v>
      </c>
      <c r="H180">
        <f ca="1"/>
        <v>1.9652542372881356</v>
      </c>
      <c r="I180">
        <f ca="1"/>
        <v>1.0971025380187413E-2</v>
      </c>
      <c r="J180">
        <f ca="1"/>
        <v>-6.2630177579579872E-3</v>
      </c>
      <c r="K180">
        <f ca="1"/>
        <v>0</v>
      </c>
      <c r="L180">
        <f ca="1"/>
        <v>-0.42561607874343521</v>
      </c>
      <c r="M180">
        <f ca="1"/>
        <v>0</v>
      </c>
      <c r="N180">
        <f ca="1"/>
        <v>-11.658820761725872</v>
      </c>
      <c r="O180">
        <f ca="1"/>
        <v>0</v>
      </c>
      <c r="P180">
        <f ca="1"/>
        <v>-12.084436840469307</v>
      </c>
      <c r="Q180">
        <f ca="1"/>
        <v>-1345.4152748544943</v>
      </c>
    </row>
    <row r="181" spans="1:17">
      <c r="A181" s="2">
        <f ca="1"/>
        <v>180</v>
      </c>
      <c r="B181" s="4">
        <f ca="1"/>
        <v>0.21355932203389827</v>
      </c>
      <c r="C181" s="4">
        <f ca="1"/>
        <v>4.4749999999999998E-2</v>
      </c>
      <c r="D181" s="4">
        <f ca="1"/>
        <v>1.9805084745762711</v>
      </c>
      <c r="E181" s="4">
        <f ca="1"/>
        <v>61.016949152542374</v>
      </c>
      <c r="F181" s="4">
        <f ca="1"/>
        <v>0</v>
      </c>
      <c r="G181">
        <f ca="1"/>
        <v>0</v>
      </c>
      <c r="H181">
        <f ca="1"/>
        <v>1.9805084745762711</v>
      </c>
      <c r="I181">
        <f ca="1"/>
        <v>1.0874191196612728E-2</v>
      </c>
      <c r="J181">
        <f ca="1"/>
        <v>-6.4349462684066307E-3</v>
      </c>
      <c r="K181">
        <f ca="1"/>
        <v>0</v>
      </c>
      <c r="L181">
        <f ca="1"/>
        <v>-0.43701804943497335</v>
      </c>
      <c r="M181">
        <f ca="1"/>
        <v>0</v>
      </c>
      <c r="N181">
        <f ca="1"/>
        <v>-11.978871536706398</v>
      </c>
      <c r="O181">
        <f ca="1"/>
        <v>0</v>
      </c>
      <c r="P181">
        <f ca="1"/>
        <v>-12.415889586141372</v>
      </c>
      <c r="Q181">
        <f ca="1"/>
        <v>-1306.7548471439661</v>
      </c>
    </row>
    <row r="182" spans="1:17">
      <c r="A182" s="2">
        <f ca="1"/>
        <v>181</v>
      </c>
      <c r="B182" s="4">
        <f ca="1"/>
        <v>0.22033898305084754</v>
      </c>
      <c r="C182" s="4">
        <f ca="1"/>
        <v>4.4999999999999998E-2</v>
      </c>
      <c r="D182" s="4">
        <f ca="1"/>
        <v>1.995762711864407</v>
      </c>
      <c r="E182" s="4">
        <f ca="1"/>
        <v>61.016949152542374</v>
      </c>
      <c r="F182" s="4">
        <f ca="1"/>
        <v>0</v>
      </c>
      <c r="G182">
        <f ca="1"/>
        <v>0</v>
      </c>
      <c r="H182">
        <f ca="1"/>
        <v>1.995762711864407</v>
      </c>
      <c r="I182">
        <f ca="1"/>
        <v>1.0774765222742181E-2</v>
      </c>
      <c r="J182">
        <f ca="1"/>
        <v>-6.6019500068643941E-3</v>
      </c>
      <c r="K182">
        <f ca="1"/>
        <v>0</v>
      </c>
      <c r="L182">
        <f ca="1"/>
        <v>-0.44805958306419369</v>
      </c>
      <c r="M182">
        <f ca="1"/>
        <v>0</v>
      </c>
      <c r="N182">
        <f ca="1"/>
        <v>-12.289754680977097</v>
      </c>
      <c r="O182">
        <f ca="1"/>
        <v>0</v>
      </c>
      <c r="P182">
        <f ca="1"/>
        <v>-12.73781426404129</v>
      </c>
      <c r="Q182">
        <f ca="1"/>
        <v>-1269.8139197621383</v>
      </c>
    </row>
    <row r="183" spans="1:17">
      <c r="A183" s="2">
        <f ca="1"/>
        <v>182</v>
      </c>
      <c r="B183" s="4">
        <f ca="1"/>
        <v>0.22711864406779658</v>
      </c>
      <c r="C183" s="4">
        <f ca="1"/>
        <v>4.5249999999999999E-2</v>
      </c>
      <c r="D183" s="4">
        <f ca="1"/>
        <v>2.011016949152542</v>
      </c>
      <c r="E183" s="4">
        <f ca="1"/>
        <v>61.016949152542374</v>
      </c>
      <c r="F183" s="4">
        <f ca="1"/>
        <v>0</v>
      </c>
      <c r="G183">
        <f ca="1"/>
        <v>0</v>
      </c>
      <c r="H183">
        <f ca="1"/>
        <v>2.011016949152542</v>
      </c>
      <c r="I183">
        <f ca="1"/>
        <v>1.0672821605519345E-2</v>
      </c>
      <c r="J183">
        <f ca="1"/>
        <v>-6.7643483933983745E-3</v>
      </c>
      <c r="K183">
        <f ca="1"/>
        <v>0</v>
      </c>
      <c r="L183">
        <f ca="1"/>
        <v>-0.45873174015588841</v>
      </c>
      <c r="M183">
        <f ca="1"/>
        <v>0</v>
      </c>
      <c r="N183">
        <f ca="1"/>
        <v>-12.592064805866553</v>
      </c>
      <c r="O183">
        <f ca="1"/>
        <v>0</v>
      </c>
      <c r="P183">
        <f ca="1"/>
        <v>-13.050796546022442</v>
      </c>
      <c r="Q183">
        <f ca="1"/>
        <v>-1233.3557196615625</v>
      </c>
    </row>
    <row r="184" spans="1:17">
      <c r="A184" s="2">
        <f ca="1"/>
        <v>183</v>
      </c>
      <c r="B184" s="4">
        <f ca="1"/>
        <v>0.23389830508474585</v>
      </c>
      <c r="C184" s="4">
        <f ca="1"/>
        <v>4.5499999999999999E-2</v>
      </c>
      <c r="D184" s="4">
        <f ca="1"/>
        <v>2.0262711864406784</v>
      </c>
      <c r="E184" s="4">
        <f ca="1"/>
        <v>61.016949152542374</v>
      </c>
      <c r="F184" s="4">
        <f ca="1"/>
        <v>0</v>
      </c>
      <c r="G184">
        <f ca="1"/>
        <v>0</v>
      </c>
      <c r="H184">
        <f ca="1"/>
        <v>2.0262711864406784</v>
      </c>
      <c r="I184">
        <f ca="1"/>
        <v>1.0568433653425158E-2</v>
      </c>
      <c r="J184">
        <f ca="1"/>
        <v>-6.921961139494834E-3</v>
      </c>
      <c r="K184">
        <f ca="1"/>
        <v>0</v>
      </c>
      <c r="L184">
        <f ca="1"/>
        <v>-0.46902582570300372</v>
      </c>
      <c r="M184">
        <f ca="1"/>
        <v>0</v>
      </c>
      <c r="N184">
        <f ca="1"/>
        <v>-12.885466298169069</v>
      </c>
      <c r="O184">
        <f ca="1"/>
        <v>0</v>
      </c>
      <c r="P184">
        <f ca="1"/>
        <v>-13.354492123872072</v>
      </c>
      <c r="Q184">
        <f ca="1"/>
        <v>-1188.3426937514503</v>
      </c>
    </row>
    <row r="185" spans="1:17">
      <c r="A185" s="2">
        <f ca="1"/>
        <v>184</v>
      </c>
      <c r="B185" s="4">
        <f ca="1"/>
        <v>0.2406779661016949</v>
      </c>
      <c r="C185" s="4">
        <f ca="1"/>
        <v>4.5749999999999999E-2</v>
      </c>
      <c r="D185" s="4">
        <f ca="1"/>
        <v>2.0415254237288134</v>
      </c>
      <c r="E185" s="4">
        <f ca="1"/>
        <v>61.016949152542374</v>
      </c>
      <c r="F185" s="4">
        <f ca="1"/>
        <v>0</v>
      </c>
      <c r="G185">
        <f ca="1"/>
        <v>0</v>
      </c>
      <c r="H185">
        <f ca="1"/>
        <v>2.0415254237288134</v>
      </c>
      <c r="I185">
        <f ca="1"/>
        <v>1.0461670927135389E-2</v>
      </c>
      <c r="J185">
        <f ca="1"/>
        <v>-7.072688270123805E-3</v>
      </c>
      <c r="K185">
        <f ca="1"/>
        <v>0</v>
      </c>
      <c r="L185">
        <f ca="1"/>
        <v>-0.47891791001903605</v>
      </c>
      <c r="M185">
        <f ca="1"/>
        <v>0</v>
      </c>
      <c r="N185">
        <f ca="1"/>
        <v>-13.166049982879132</v>
      </c>
      <c r="O185">
        <f ca="1"/>
        <v>0</v>
      </c>
      <c r="P185">
        <f ca="1"/>
        <v>-13.644967892898167</v>
      </c>
      <c r="Q185">
        <f ca="1"/>
        <v>-1150.3521027068819</v>
      </c>
    </row>
    <row r="186" spans="1:17">
      <c r="A186" s="2">
        <f ca="1"/>
        <v>185</v>
      </c>
      <c r="B186" s="4">
        <f ca="1"/>
        <v>0.24745762711864416</v>
      </c>
      <c r="C186" s="4">
        <f ca="1"/>
        <v>4.5999999999999999E-2</v>
      </c>
      <c r="D186" s="4">
        <f ca="1"/>
        <v>2.0567796610169493</v>
      </c>
      <c r="E186" s="4">
        <f ca="1"/>
        <v>61.016949152542374</v>
      </c>
      <c r="F186" s="4">
        <f ca="1"/>
        <v>0</v>
      </c>
      <c r="G186">
        <f ca="1"/>
        <v>0</v>
      </c>
      <c r="H186">
        <f ca="1"/>
        <v>2.0567796610169493</v>
      </c>
      <c r="I186">
        <f ca="1"/>
        <v>1.0352617848865332E-2</v>
      </c>
      <c r="J186">
        <f ca="1"/>
        <v>-7.2205534914787954E-3</v>
      </c>
      <c r="K186">
        <f ca="1"/>
        <v>0</v>
      </c>
      <c r="L186">
        <f ca="1"/>
        <v>-0.4883620491747816</v>
      </c>
      <c r="M186">
        <f ca="1"/>
        <v>0</v>
      </c>
      <c r="N186">
        <f ca="1"/>
        <v>-13.441306126050732</v>
      </c>
      <c r="O186">
        <f ca="1"/>
        <v>0</v>
      </c>
      <c r="P186">
        <f ca="1"/>
        <v>-13.929668175225514</v>
      </c>
      <c r="Q186">
        <f ca="1"/>
        <v>-1111.4956337435826</v>
      </c>
    </row>
    <row r="187" spans="1:17">
      <c r="A187" s="2">
        <f ca="1"/>
        <v>186</v>
      </c>
      <c r="B187" s="4">
        <f ca="1"/>
        <v>0.25423728813559321</v>
      </c>
      <c r="C187" s="4">
        <f ca="1"/>
        <v>4.6249999999999999E-2</v>
      </c>
      <c r="D187" s="4">
        <f ca="1"/>
        <v>2.0720338983050848</v>
      </c>
      <c r="E187" s="4">
        <f ca="1"/>
        <v>61.016949152542374</v>
      </c>
      <c r="F187" s="4">
        <f ca="1"/>
        <v>0</v>
      </c>
      <c r="G187">
        <f ca="1"/>
        <v>0</v>
      </c>
      <c r="H187">
        <f ca="1"/>
        <v>2.0720338983050848</v>
      </c>
      <c r="I187">
        <f ca="1"/>
        <v>1.0241362503183287E-2</v>
      </c>
      <c r="J187">
        <f ca="1"/>
        <v>-7.3613024449142844E-3</v>
      </c>
      <c r="K187">
        <f ca="1"/>
        <v>0</v>
      </c>
      <c r="L187">
        <f ca="1"/>
        <v>-0.49740061553135928</v>
      </c>
      <c r="M187">
        <f ca="1"/>
        <v>0</v>
      </c>
      <c r="N187">
        <f ca="1"/>
        <v>-13.703315094238599</v>
      </c>
      <c r="O187">
        <f ca="1"/>
        <v>0</v>
      </c>
      <c r="P187">
        <f ca="1"/>
        <v>-14.200715709769959</v>
      </c>
      <c r="Q187">
        <f ca="1"/>
        <v>-1066.7102460035371</v>
      </c>
    </row>
    <row r="188" spans="1:17">
      <c r="A188" s="2">
        <f ca="1"/>
        <v>187</v>
      </c>
      <c r="B188" s="4">
        <f ca="1"/>
        <v>0.26101694915254248</v>
      </c>
      <c r="C188" s="4">
        <f ca="1"/>
        <v>4.65E-2</v>
      </c>
      <c r="D188" s="4">
        <f ca="1"/>
        <v>2.0872881355932207</v>
      </c>
      <c r="E188" s="4">
        <f ca="1"/>
        <v>61.016949152542374</v>
      </c>
      <c r="F188" s="4">
        <f ca="1"/>
        <v>0</v>
      </c>
      <c r="G188">
        <f ca="1"/>
        <v>0</v>
      </c>
      <c r="H188">
        <f ca="1"/>
        <v>2.0872881355932207</v>
      </c>
      <c r="I188">
        <f ca="1"/>
        <v>1.0127987578514793E-2</v>
      </c>
      <c r="J188">
        <f ca="1"/>
        <v>-7.4975782183340717E-3</v>
      </c>
      <c r="K188">
        <f ca="1"/>
        <v>0</v>
      </c>
      <c r="L188">
        <f ca="1"/>
        <v>-0.5060262126757773</v>
      </c>
      <c r="M188">
        <f ca="1"/>
        <v>0</v>
      </c>
      <c r="N188">
        <f ca="1"/>
        <v>-13.956997085551505</v>
      </c>
      <c r="O188">
        <f ca="1"/>
        <v>0</v>
      </c>
      <c r="P188">
        <f ca="1"/>
        <v>-14.463023298227283</v>
      </c>
      <c r="Q188">
        <f ca="1"/>
        <v>-1037.8312111745761</v>
      </c>
    </row>
    <row r="189" spans="1:17">
      <c r="A189" s="2">
        <f ca="1"/>
        <v>188</v>
      </c>
      <c r="B189" s="4">
        <f ca="1"/>
        <v>0.26779661016949152</v>
      </c>
      <c r="C189" s="4">
        <f ca="1"/>
        <v>4.675E-2</v>
      </c>
      <c r="D189" s="4">
        <f ca="1"/>
        <v>2.1025423728813557</v>
      </c>
      <c r="E189" s="4">
        <f ca="1"/>
        <v>61.016949152542374</v>
      </c>
      <c r="F189" s="4">
        <f ca="1"/>
        <v>0</v>
      </c>
      <c r="G189">
        <f ca="1"/>
        <v>0</v>
      </c>
      <c r="H189">
        <f ca="1"/>
        <v>2.1025423728813557</v>
      </c>
      <c r="I189">
        <f ca="1"/>
        <v>1.0012571292424494E-2</v>
      </c>
      <c r="J189">
        <f ca="1"/>
        <v>-7.6310178860448715E-3</v>
      </c>
      <c r="K189">
        <f ca="1"/>
        <v>0</v>
      </c>
      <c r="L189">
        <f ca="1"/>
        <v>-0.51423174581666331</v>
      </c>
      <c r="M189">
        <f ca="1"/>
        <v>0</v>
      </c>
      <c r="N189">
        <f ca="1"/>
        <v>-14.205399569540583</v>
      </c>
      <c r="O189">
        <f ca="1"/>
        <v>0</v>
      </c>
      <c r="P189">
        <f ca="1"/>
        <v>-14.719631315357248</v>
      </c>
      <c r="Q189">
        <f ca="1"/>
        <v>-986.80773633311867</v>
      </c>
    </row>
    <row r="190" spans="1:17">
      <c r="A190" s="2">
        <f ca="1"/>
        <v>189</v>
      </c>
      <c r="B190" s="4">
        <f ca="1"/>
        <v>0.27457627118644079</v>
      </c>
      <c r="C190" s="4">
        <f ca="1"/>
        <v>4.7E-2</v>
      </c>
      <c r="D190" s="4">
        <f ca="1"/>
        <v>2.1177966101694921</v>
      </c>
      <c r="E190" s="4">
        <f ca="1"/>
        <v>61.016949152542374</v>
      </c>
      <c r="F190" s="4">
        <f ca="1"/>
        <v>0</v>
      </c>
      <c r="G190">
        <f ca="1"/>
        <v>0</v>
      </c>
      <c r="H190">
        <f ca="1"/>
        <v>2.1177966101694921</v>
      </c>
      <c r="I190">
        <f ca="1"/>
        <v>9.895213658841032E-3</v>
      </c>
      <c r="J190">
        <f ca="1"/>
        <v>-7.754043928525205E-3</v>
      </c>
      <c r="K190">
        <f ca="1"/>
        <v>0</v>
      </c>
      <c r="L190">
        <f ca="1"/>
        <v>-0.52201043073071907</v>
      </c>
      <c r="M190">
        <f ca="1"/>
        <v>0</v>
      </c>
      <c r="N190">
        <f ca="1"/>
        <v>-14.434416735663124</v>
      </c>
      <c r="O190">
        <f ca="1"/>
        <v>0</v>
      </c>
      <c r="P190">
        <f ca="1"/>
        <v>-14.956427166393842</v>
      </c>
      <c r="Q190">
        <f ca="1"/>
        <v>-937.48403963034752</v>
      </c>
    </row>
    <row r="191" spans="1:17">
      <c r="A191" s="2">
        <f ca="1"/>
        <v>190</v>
      </c>
      <c r="B191" s="4">
        <f ca="1"/>
        <v>0.28135593220338984</v>
      </c>
      <c r="C191" s="4">
        <f ca="1"/>
        <v>4.725E-2</v>
      </c>
      <c r="D191" s="4">
        <f ca="1"/>
        <v>2.1330508474576271</v>
      </c>
      <c r="E191" s="4">
        <f ca="1"/>
        <v>61.016949152542374</v>
      </c>
      <c r="F191" s="4">
        <f ca="1"/>
        <v>0</v>
      </c>
      <c r="G191">
        <f ca="1"/>
        <v>0</v>
      </c>
      <c r="H191">
        <f ca="1"/>
        <v>2.1330508474576271</v>
      </c>
      <c r="I191">
        <f ca="1"/>
        <v>9.7760099261082027E-3</v>
      </c>
      <c r="J191">
        <f ca="1"/>
        <v>-7.8746975356014017E-3</v>
      </c>
      <c r="K191">
        <f ca="1"/>
        <v>0</v>
      </c>
      <c r="L191">
        <f ca="1"/>
        <v>-0.52935580265386772</v>
      </c>
      <c r="M191">
        <f ca="1"/>
        <v>0</v>
      </c>
      <c r="N191">
        <f ca="1"/>
        <v>-14.659017532518554</v>
      </c>
      <c r="O191">
        <f ca="1"/>
        <v>0</v>
      </c>
      <c r="P191">
        <f ca="1"/>
        <v>-15.188373335172422</v>
      </c>
      <c r="Q191">
        <f ca="1"/>
        <v>-893.40785060507164</v>
      </c>
    </row>
    <row r="192" spans="1:17">
      <c r="A192" s="2">
        <f ca="1"/>
        <v>191</v>
      </c>
      <c r="B192" s="4">
        <f ca="1"/>
        <v>0.2881355932203391</v>
      </c>
      <c r="C192" s="4">
        <f ca="1"/>
        <v>4.7500000000000001E-2</v>
      </c>
      <c r="D192" s="4">
        <f ca="1"/>
        <v>2.148305084745763</v>
      </c>
      <c r="E192" s="4">
        <f ca="1"/>
        <v>61.016949152542374</v>
      </c>
      <c r="F192" s="4">
        <f ca="1"/>
        <v>0</v>
      </c>
      <c r="G192">
        <f ca="1"/>
        <v>0</v>
      </c>
      <c r="H192">
        <f ca="1"/>
        <v>2.148305084745763</v>
      </c>
      <c r="I192">
        <f ca="1"/>
        <v>9.6550506723229908E-3</v>
      </c>
      <c r="J192">
        <f ca="1"/>
        <v>-7.9863537446135564E-3</v>
      </c>
      <c r="K192">
        <f ca="1"/>
        <v>0</v>
      </c>
      <c r="L192">
        <f ca="1"/>
        <v>-0.53626172510751102</v>
      </c>
      <c r="M192">
        <f ca="1"/>
        <v>0</v>
      </c>
      <c r="N192">
        <f ca="1"/>
        <v>-14.866869366588867</v>
      </c>
      <c r="O192">
        <f ca="1"/>
        <v>0</v>
      </c>
      <c r="P192">
        <f ca="1"/>
        <v>-15.403131091696379</v>
      </c>
      <c r="Q192">
        <f ca="1"/>
        <v>-831.94117791571921</v>
      </c>
    </row>
    <row r="193" spans="1:17">
      <c r="A193" s="2">
        <f ca="1"/>
        <v>192</v>
      </c>
      <c r="B193" s="4">
        <f ca="1"/>
        <v>0.29491525423728815</v>
      </c>
      <c r="C193" s="4">
        <f ca="1"/>
        <v>4.7750000000000001E-2</v>
      </c>
      <c r="D193" s="4">
        <f ca="1"/>
        <v>2.1635593220338984</v>
      </c>
      <c r="E193" s="4">
        <f ca="1"/>
        <v>61.016949152542374</v>
      </c>
      <c r="F193" s="4">
        <f ca="1"/>
        <v>0</v>
      </c>
      <c r="G193">
        <f ca="1"/>
        <v>0</v>
      </c>
      <c r="H193">
        <f ca="1"/>
        <v>2.1635593220338984</v>
      </c>
      <c r="I193">
        <f ca="1"/>
        <v>9.5324490745820317E-3</v>
      </c>
      <c r="J193">
        <f ca="1"/>
        <v>-8.0909849905750255E-3</v>
      </c>
      <c r="K193">
        <f ca="1"/>
        <v>0</v>
      </c>
      <c r="L193">
        <f ca="1"/>
        <v>-0.54269993133333627</v>
      </c>
      <c r="M193">
        <f ca="1"/>
        <v>0</v>
      </c>
      <c r="N193">
        <f ca="1"/>
        <v>-15.061643992796945</v>
      </c>
      <c r="O193">
        <f ca="1"/>
        <v>0</v>
      </c>
      <c r="P193">
        <f ca="1"/>
        <v>-15.604343924130282</v>
      </c>
      <c r="Q193">
        <f ca="1"/>
        <v>-775.42942811186253</v>
      </c>
    </row>
    <row r="194" spans="1:17">
      <c r="A194" s="2">
        <f ca="1"/>
        <v>193</v>
      </c>
      <c r="B194" s="4">
        <f ca="1"/>
        <v>0.30169491525423742</v>
      </c>
      <c r="C194" s="4">
        <f ca="1"/>
        <v>4.8000000000000001E-2</v>
      </c>
      <c r="D194" s="4">
        <f ca="1"/>
        <v>2.1788135593220339</v>
      </c>
      <c r="E194" s="4">
        <f ca="1"/>
        <v>61.016949152542374</v>
      </c>
      <c r="F194" s="4">
        <f ca="1"/>
        <v>0</v>
      </c>
      <c r="G194">
        <f ca="1"/>
        <v>0</v>
      </c>
      <c r="H194">
        <f ca="1"/>
        <v>2.1788135593220339</v>
      </c>
      <c r="I194">
        <f ca="1"/>
        <v>9.4082995693023919E-3</v>
      </c>
      <c r="J194">
        <f ca="1"/>
        <v>-8.1879852716212481E-3</v>
      </c>
      <c r="K194">
        <f ca="1"/>
        <v>0</v>
      </c>
      <c r="L194">
        <f ca="1"/>
        <v>-0.54863248770988204</v>
      </c>
      <c r="M194">
        <f ca="1"/>
        <v>0</v>
      </c>
      <c r="N194">
        <f ca="1"/>
        <v>-15.242213318042428</v>
      </c>
      <c r="O194">
        <f ca="1"/>
        <v>0</v>
      </c>
      <c r="P194">
        <f ca="1"/>
        <v>-15.79084580575231</v>
      </c>
      <c r="Q194">
        <f ca="1"/>
        <v>-716.73481986250852</v>
      </c>
    </row>
    <row r="195" spans="1:17">
      <c r="A195" s="2">
        <f ca="1"/>
        <v>194</v>
      </c>
      <c r="B195" s="4">
        <f ca="1"/>
        <v>0.30847457627118646</v>
      </c>
      <c r="C195" s="4">
        <f ca="1"/>
        <v>4.8250000000000001E-2</v>
      </c>
      <c r="D195" s="4">
        <f ca="1"/>
        <v>2.1940677966101694</v>
      </c>
      <c r="E195" s="4">
        <f ca="1"/>
        <v>61.016949152542374</v>
      </c>
      <c r="F195" s="4">
        <f ca="1"/>
        <v>0</v>
      </c>
      <c r="G195">
        <f ca="1"/>
        <v>0</v>
      </c>
      <c r="H195">
        <f ca="1"/>
        <v>2.1940677966101694</v>
      </c>
      <c r="I195">
        <f ca="1"/>
        <v>9.2827154550464922E-3</v>
      </c>
      <c r="J195">
        <f ca="1"/>
        <v>-8.2773688294329809E-3</v>
      </c>
      <c r="K195">
        <f ca="1"/>
        <v>0</v>
      </c>
      <c r="L195">
        <f ca="1"/>
        <v>-0.55410748036267898</v>
      </c>
      <c r="M195">
        <f ca="1"/>
        <v>0</v>
      </c>
      <c r="N195">
        <f ca="1"/>
        <v>-15.408603853698857</v>
      </c>
      <c r="O195">
        <f ca="1"/>
        <v>0</v>
      </c>
      <c r="P195">
        <f ca="1"/>
        <v>-15.962711334061536</v>
      </c>
      <c r="Q195">
        <f ca="1"/>
        <v>-665.19336012354859</v>
      </c>
    </row>
    <row r="196" spans="1:17">
      <c r="A196" s="2">
        <f ca="1"/>
        <v>195</v>
      </c>
      <c r="B196" s="4">
        <f ca="1"/>
        <v>0.31525423728813573</v>
      </c>
      <c r="C196" s="4">
        <f ca="1"/>
        <v>4.8500000000000001E-2</v>
      </c>
      <c r="D196" s="4">
        <f ca="1"/>
        <v>2.2093220338983053</v>
      </c>
      <c r="E196" s="4">
        <f ca="1"/>
        <v>61.016949152542374</v>
      </c>
      <c r="F196" s="4">
        <f ca="1"/>
        <v>0</v>
      </c>
      <c r="G196">
        <f ca="1"/>
        <v>0</v>
      </c>
      <c r="H196">
        <f ca="1"/>
        <v>2.2093220338983053</v>
      </c>
      <c r="I196">
        <f ca="1"/>
        <v>9.155800741288531E-3</v>
      </c>
      <c r="J196">
        <f ca="1"/>
        <v>-8.3610192833780423E-3</v>
      </c>
      <c r="K196">
        <f ca="1"/>
        <v>0</v>
      </c>
      <c r="L196">
        <f ca="1"/>
        <v>-0.559120464472597</v>
      </c>
      <c r="M196">
        <f ca="1"/>
        <v>0</v>
      </c>
      <c r="N196">
        <f ca="1"/>
        <v>-15.564322021341487</v>
      </c>
      <c r="O196">
        <f ca="1"/>
        <v>0</v>
      </c>
      <c r="P196">
        <f ca="1"/>
        <v>-16.123442485814085</v>
      </c>
      <c r="Q196">
        <f ca="1"/>
        <v>-614.81879167588306</v>
      </c>
    </row>
    <row r="197" spans="1:17">
      <c r="A197" s="2">
        <f ca="1"/>
        <v>196</v>
      </c>
      <c r="B197" s="4">
        <f ca="1"/>
        <v>0.32203389830508478</v>
      </c>
      <c r="C197" s="4">
        <f ca="1"/>
        <v>4.8750000000000002E-2</v>
      </c>
      <c r="D197" s="4">
        <f ca="1"/>
        <v>2.2245762711864407</v>
      </c>
      <c r="E197" s="4">
        <f ca="1"/>
        <v>61.016949152542374</v>
      </c>
      <c r="F197" s="4">
        <f ca="1"/>
        <v>0</v>
      </c>
      <c r="G197">
        <f ca="1"/>
        <v>0</v>
      </c>
      <c r="H197">
        <f ca="1"/>
        <v>2.2245762711864407</v>
      </c>
      <c r="I197">
        <f ca="1"/>
        <v>9.0276685763593136E-3</v>
      </c>
      <c r="J197">
        <f ca="1"/>
        <v>-8.4373710066447116E-3</v>
      </c>
      <c r="K197">
        <f ca="1"/>
        <v>0</v>
      </c>
      <c r="L197">
        <f ca="1"/>
        <v>-0.56366737653615329</v>
      </c>
      <c r="M197">
        <f ca="1"/>
        <v>0</v>
      </c>
      <c r="N197">
        <f ca="1"/>
        <v>-15.706453353363326</v>
      </c>
      <c r="O197">
        <f ca="1"/>
        <v>0</v>
      </c>
      <c r="P197">
        <f ca="1"/>
        <v>-16.270120729899478</v>
      </c>
      <c r="Q197">
        <f ca="1"/>
        <v>-558.59229401645598</v>
      </c>
    </row>
    <row r="198" spans="1:17">
      <c r="A198" s="2">
        <f ca="1"/>
        <v>197</v>
      </c>
      <c r="B198" s="4">
        <f ca="1"/>
        <v>0.32881355932203404</v>
      </c>
      <c r="C198" s="4">
        <f ca="1"/>
        <v>4.9000000000000002E-2</v>
      </c>
      <c r="D198" s="4">
        <f ca="1"/>
        <v>2.2398305084745767</v>
      </c>
      <c r="E198" s="4">
        <f ca="1"/>
        <v>61.016949152542374</v>
      </c>
      <c r="F198" s="4">
        <f ca="1"/>
        <v>0</v>
      </c>
      <c r="G198">
        <f ca="1"/>
        <v>-4964090.7785119181</v>
      </c>
      <c r="H198">
        <f ca="1"/>
        <v>2.2398305084745767</v>
      </c>
      <c r="I198">
        <f ca="1"/>
        <v>8.8984335871510403E-3</v>
      </c>
      <c r="J198">
        <f ca="1"/>
        <v>-8.5064219800096586E-3</v>
      </c>
      <c r="K198">
        <f ca="1"/>
        <v>0</v>
      </c>
      <c r="L198">
        <f ca="1"/>
        <v>-0.56774454191091028</v>
      </c>
      <c r="M198">
        <f ca="1"/>
        <v>0</v>
      </c>
      <c r="N198">
        <f ca="1"/>
        <v>-15.834994090911403</v>
      </c>
      <c r="O198">
        <f ca="1"/>
        <v>0</v>
      </c>
      <c r="P198">
        <f ca="1"/>
        <v>-16.402738632822313</v>
      </c>
      <c r="Q198">
        <f ca="1"/>
        <v>-43808.646830488993</v>
      </c>
    </row>
    <row r="199" spans="1:17">
      <c r="A199" s="2">
        <f ca="1"/>
        <v>198</v>
      </c>
      <c r="B199" s="4">
        <f ca="1"/>
        <v>0.33559322033898309</v>
      </c>
      <c r="C199" s="4">
        <f ca="1"/>
        <v>4.9250000000000002E-2</v>
      </c>
      <c r="D199" s="4">
        <f ca="1"/>
        <v>2.2550761275495548</v>
      </c>
      <c r="E199" s="4">
        <f ca="1"/>
        <v>60.810112036771045</v>
      </c>
      <c r="F199" s="4">
        <f ca="1"/>
        <v>-2482.0453892559613</v>
      </c>
      <c r="G199">
        <f ca="1"/>
        <v>-4964090.7785119181</v>
      </c>
      <c r="H199">
        <f ca="1"/>
        <v>2.2550761275495548</v>
      </c>
      <c r="I199">
        <f ca="1"/>
        <v>8.7682894871790058E-3</v>
      </c>
      <c r="J199">
        <f ca="1"/>
        <v>-8.5669890722371925E-3</v>
      </c>
      <c r="K199">
        <f ca="1"/>
        <v>0</v>
      </c>
      <c r="L199">
        <f ca="1"/>
        <v>-0.57134688555323176</v>
      </c>
      <c r="M199">
        <f ca="1"/>
        <v>-21.763292493314168</v>
      </c>
      <c r="N199">
        <f ca="1"/>
        <v>-15.839804766276597</v>
      </c>
      <c r="O199">
        <f ca="1"/>
        <v>0</v>
      </c>
      <c r="P199">
        <f ca="1"/>
        <v>-38.174444145143994</v>
      </c>
      <c r="Q199">
        <f ca="1"/>
        <v>-42452.201006526382</v>
      </c>
    </row>
    <row r="200" spans="1:17">
      <c r="A200" s="2">
        <f ca="1"/>
        <v>199</v>
      </c>
      <c r="B200" s="4">
        <f ca="1"/>
        <v>0.34237288135593236</v>
      </c>
      <c r="C200" s="4">
        <f ca="1"/>
        <v>4.9500000000000002E-2</v>
      </c>
      <c r="D200" s="4">
        <f ca="1"/>
        <v>2.2702010916403337</v>
      </c>
      <c r="E200" s="4">
        <f ca="1"/>
        <v>60.189600689457038</v>
      </c>
      <c r="F200" s="4">
        <f ca="1"/>
        <v>-2482.0453892559613</v>
      </c>
      <c r="G200">
        <f ca="1"/>
        <v>0</v>
      </c>
      <c r="H200">
        <f ca="1"/>
        <v>2.2702010916403337</v>
      </c>
      <c r="I200">
        <f ca="1"/>
        <v>8.6383154218082243E-3</v>
      </c>
      <c r="J200">
        <f ca="1"/>
        <v>-8.6197121153331058E-3</v>
      </c>
      <c r="K200">
        <f ca="1"/>
        <v>0</v>
      </c>
      <c r="L200">
        <f ca="1"/>
        <v>-0.57445323072695009</v>
      </c>
      <c r="M200">
        <f ca="1"/>
        <v>-21.440690963637767</v>
      </c>
      <c r="N200">
        <f ca="1"/>
        <v>-15.613694941720809</v>
      </c>
      <c r="O200">
        <f ca="1"/>
        <v>0</v>
      </c>
      <c r="P200">
        <f ca="1"/>
        <v>-37.628839136085524</v>
      </c>
      <c r="Q200">
        <f ca="1"/>
        <v>2212.7292097033383</v>
      </c>
    </row>
    <row r="201" spans="1:17">
      <c r="A201" s="2">
        <f ca="1"/>
        <v>200</v>
      </c>
      <c r="B201" s="4">
        <f ca="1"/>
        <v>0.3491525423728814</v>
      </c>
      <c r="C201" s="4">
        <f ca="1"/>
        <v>4.9750000000000003E-2</v>
      </c>
      <c r="D201" s="4">
        <f ca="1"/>
        <v>2.2851709278942831</v>
      </c>
      <c r="E201" s="4">
        <f ca="1"/>
        <v>59.569089342143066</v>
      </c>
      <c r="F201" s="4">
        <f ca="1"/>
        <v>-2482.0453892559613</v>
      </c>
      <c r="G201">
        <f ca="1"/>
        <v>0</v>
      </c>
      <c r="H201">
        <f ca="1"/>
        <v>2.2851709278942831</v>
      </c>
      <c r="I201">
        <f ca="1"/>
        <v>8.5089538883461012E-3</v>
      </c>
      <c r="J201">
        <f ca="1"/>
        <v>-8.6636870597576205E-3</v>
      </c>
      <c r="K201">
        <f ca="1"/>
        <v>0</v>
      </c>
      <c r="L201">
        <f ca="1"/>
        <v>-0.57702521817820907</v>
      </c>
      <c r="M201">
        <f ca="1"/>
        <v>-21.119609765961023</v>
      </c>
      <c r="N201">
        <f ca="1"/>
        <v>-15.37144455615309</v>
      </c>
      <c r="O201">
        <f ca="1"/>
        <v>0</v>
      </c>
      <c r="P201">
        <f ca="1"/>
        <v>-37.068079540292324</v>
      </c>
      <c r="Q201">
        <f ca="1"/>
        <v>2268.1172133980263</v>
      </c>
    </row>
    <row r="202" spans="1:17">
      <c r="A202" s="2">
        <f ca="1"/>
        <v>201</v>
      </c>
      <c r="B202" s="4">
        <f ca="1"/>
        <v>0.35593220338983067</v>
      </c>
      <c r="C202" s="4">
        <f ca="1"/>
        <v>0.05</v>
      </c>
      <c r="D202" s="4">
        <f ca="1"/>
        <v>2.2999856363114053</v>
      </c>
      <c r="E202" s="4">
        <f ca="1"/>
        <v>58.948577994829058</v>
      </c>
      <c r="F202" s="4">
        <f ca="1"/>
        <v>-2482.0453892559613</v>
      </c>
      <c r="G202">
        <f ca="1"/>
        <v>0</v>
      </c>
      <c r="H202">
        <f ca="1"/>
        <v>2.2999856363114053</v>
      </c>
      <c r="I202">
        <f ca="1"/>
        <v>8.3803437089679973E-3</v>
      </c>
      <c r="J202">
        <f ca="1"/>
        <v>-8.6996264327091986E-3</v>
      </c>
      <c r="K202">
        <f ca="1"/>
        <v>0</v>
      </c>
      <c r="L202">
        <f ca="1"/>
        <v>-0.57906954004652433</v>
      </c>
      <c r="M202">
        <f ca="1"/>
        <v>-20.800393463224218</v>
      </c>
      <c r="N202">
        <f ca="1"/>
        <v>-15.115317526115767</v>
      </c>
      <c r="O202">
        <f ca="1"/>
        <v>0</v>
      </c>
      <c r="P202">
        <f ca="1"/>
        <v>-36.49478052938651</v>
      </c>
      <c r="Q202">
        <f ca="1"/>
        <v>2316.6697290040597</v>
      </c>
    </row>
    <row r="203" spans="1:17">
      <c r="A203" s="2">
        <f ca="1"/>
        <v>202</v>
      </c>
      <c r="B203" s="4">
        <f ca="1"/>
        <v>0.36271186440677972</v>
      </c>
      <c r="C203" s="4">
        <f ca="1"/>
        <v>5.0250000000000003E-2</v>
      </c>
      <c r="D203" s="4">
        <f ca="1"/>
        <v>2.314645216891698</v>
      </c>
      <c r="E203" s="4">
        <f ca="1"/>
        <v>58.328066647515087</v>
      </c>
      <c r="F203" s="4">
        <f ca="1"/>
        <v>-2482.0453892559613</v>
      </c>
      <c r="G203">
        <f ca="1"/>
        <v>0</v>
      </c>
      <c r="H203">
        <f ca="1"/>
        <v>2.314645216891698</v>
      </c>
      <c r="I203">
        <f ca="1"/>
        <v>8.2526122094340355E-3</v>
      </c>
      <c r="J203">
        <f ca="1"/>
        <v>-8.7272339197744745E-3</v>
      </c>
      <c r="K203">
        <f ca="1"/>
        <v>0</v>
      </c>
      <c r="L203">
        <f ca="1"/>
        <v>-0.58064885911920039</v>
      </c>
      <c r="M203">
        <f ca="1"/>
        <v>-20.483358083743198</v>
      </c>
      <c r="N203">
        <f ca="1"/>
        <v>-14.845737732927896</v>
      </c>
      <c r="O203">
        <f ca="1"/>
        <v>0</v>
      </c>
      <c r="P203">
        <f ca="1"/>
        <v>-35.909744675790293</v>
      </c>
      <c r="Q203">
        <f ca="1"/>
        <v>2359.9063615418154</v>
      </c>
    </row>
    <row r="204" spans="1:17">
      <c r="A204" s="2">
        <f ca="1"/>
        <v>203</v>
      </c>
      <c r="B204" s="4">
        <f ca="1"/>
        <v>0.36949152542372898</v>
      </c>
      <c r="C204" s="4">
        <f ca="1"/>
        <v>5.0500000000000003E-2</v>
      </c>
      <c r="D204" s="4">
        <f ca="1"/>
        <v>2.3291496696351626</v>
      </c>
      <c r="E204" s="4">
        <f ca="1"/>
        <v>57.707555300201072</v>
      </c>
      <c r="F204" s="4">
        <f ca="1"/>
        <v>-2482.0453892559613</v>
      </c>
      <c r="G204">
        <f ca="1"/>
        <v>0</v>
      </c>
      <c r="H204">
        <f ca="1"/>
        <v>2.3291496696351626</v>
      </c>
      <c r="I204">
        <f ca="1"/>
        <v>8.1258877870558129E-3</v>
      </c>
      <c r="J204">
        <f ca="1"/>
        <v>-8.746857165103988E-3</v>
      </c>
      <c r="K204">
        <f ca="1"/>
        <v>0</v>
      </c>
      <c r="L204">
        <f ca="1"/>
        <v>-0.58177962579237252</v>
      </c>
      <c r="M204">
        <f ca="1"/>
        <v>-20.168822315473207</v>
      </c>
      <c r="N204">
        <f ca="1"/>
        <v>-14.564225407350021</v>
      </c>
      <c r="O204">
        <f ca="1"/>
        <v>0</v>
      </c>
      <c r="P204">
        <f ca="1"/>
        <v>-35.314827348615601</v>
      </c>
      <c r="Q204">
        <f ca="1"/>
        <v>2395.2711108571216</v>
      </c>
    </row>
    <row r="205" spans="1:17">
      <c r="A205" s="2">
        <f ca="1"/>
        <v>204</v>
      </c>
      <c r="B205" s="4">
        <f ca="1"/>
        <v>0.37627118644067803</v>
      </c>
      <c r="C205" s="4">
        <f ca="1"/>
        <v>5.0750000000000003E-2</v>
      </c>
      <c r="D205" s="4">
        <f ca="1"/>
        <v>2.3434989945417986</v>
      </c>
      <c r="E205" s="4">
        <f ca="1"/>
        <v>57.0870439528871</v>
      </c>
      <c r="F205" s="4">
        <f ca="1"/>
        <v>-2482.0453892559613</v>
      </c>
      <c r="G205">
        <f ca="1"/>
        <v>0</v>
      </c>
      <c r="H205">
        <f ca="1"/>
        <v>2.3434989945417986</v>
      </c>
      <c r="I205">
        <f ca="1"/>
        <v>8.0002930301921772E-3</v>
      </c>
      <c r="J205">
        <f ca="1"/>
        <v>-8.759032846100228E-3</v>
      </c>
      <c r="K205">
        <f ca="1"/>
        <v>0</v>
      </c>
      <c r="L205">
        <f ca="1"/>
        <v>-0.58247866350849997</v>
      </c>
      <c r="M205">
        <f ca="1"/>
        <v>-19.857090428285098</v>
      </c>
      <c r="N205">
        <f ca="1"/>
        <v>-14.272540028568136</v>
      </c>
      <c r="O205">
        <f ca="1"/>
        <v>0</v>
      </c>
      <c r="P205">
        <f ca="1"/>
        <v>-34.712109120361731</v>
      </c>
      <c r="Q205">
        <f ca="1"/>
        <v>2425.3940683655751</v>
      </c>
    </row>
    <row r="206" spans="1:17">
      <c r="A206" s="2">
        <f ca="1"/>
        <v>205</v>
      </c>
      <c r="B206" s="4">
        <f ca="1"/>
        <v>0.3830508474576273</v>
      </c>
      <c r="C206" s="4">
        <f ca="1"/>
        <v>5.1000000000000004E-2</v>
      </c>
      <c r="D206" s="4">
        <f ca="1"/>
        <v>2.357693191611606</v>
      </c>
      <c r="E206" s="4">
        <f ca="1"/>
        <v>56.466532605573093</v>
      </c>
      <c r="F206" s="4">
        <f ca="1"/>
        <v>-2482.0453892559613</v>
      </c>
      <c r="G206">
        <f ca="1"/>
        <v>0</v>
      </c>
      <c r="H206">
        <f ca="1"/>
        <v>2.357693191611606</v>
      </c>
      <c r="I206">
        <f ca="1"/>
        <v>7.8759383886367277E-3</v>
      </c>
      <c r="J206">
        <f ca="1"/>
        <v>-8.7634092255469316E-3</v>
      </c>
      <c r="K206">
        <f ca="1"/>
        <v>0</v>
      </c>
      <c r="L206">
        <f ca="1"/>
        <v>-0.58276309165517648</v>
      </c>
      <c r="M206">
        <f ca="1"/>
        <v>-19.548436563579816</v>
      </c>
      <c r="N206">
        <f ca="1"/>
        <v>-13.970930659197819</v>
      </c>
      <c r="O206">
        <f ca="1"/>
        <v>0</v>
      </c>
      <c r="P206">
        <f ca="1"/>
        <v>-34.102130314432813</v>
      </c>
      <c r="Q206">
        <f ca="1"/>
        <v>2451.3751044236451</v>
      </c>
    </row>
    <row r="207" spans="1:17">
      <c r="A207" s="2">
        <f ca="1"/>
        <v>206</v>
      </c>
      <c r="B207" s="4">
        <f ca="1"/>
        <v>0.38983050847457634</v>
      </c>
      <c r="C207" s="4">
        <f ca="1"/>
        <v>5.1250000000000004E-2</v>
      </c>
      <c r="D207" s="4">
        <f ca="1"/>
        <v>2.3717322608445852</v>
      </c>
      <c r="E207" s="4">
        <f ca="1"/>
        <v>55.846021258259121</v>
      </c>
      <c r="F207" s="4">
        <f ca="1"/>
        <v>-2482.0453892559613</v>
      </c>
      <c r="G207">
        <f ca="1"/>
        <v>0</v>
      </c>
      <c r="H207">
        <f ca="1"/>
        <v>2.3717322608445852</v>
      </c>
      <c r="I207">
        <f ca="1"/>
        <v>7.7529342180045913E-3</v>
      </c>
      <c r="J207">
        <f ca="1"/>
        <v>-8.7602946229224706E-3</v>
      </c>
      <c r="K207">
        <f ca="1"/>
        <v>0</v>
      </c>
      <c r="L207">
        <f ca="1"/>
        <v>-0.58257947153374501</v>
      </c>
      <c r="M207">
        <f ca="1"/>
        <v>-19.243134629003066</v>
      </c>
      <c r="N207">
        <f ca="1"/>
        <v>-13.660707467613095</v>
      </c>
      <c r="O207">
        <f ca="1"/>
        <v>0</v>
      </c>
      <c r="P207">
        <f ca="1"/>
        <v>-33.486421568149908</v>
      </c>
      <c r="Q207">
        <f ca="1"/>
        <v>2473.13512958925</v>
      </c>
    </row>
    <row r="208" spans="1:17">
      <c r="A208" s="2">
        <f ca="1"/>
        <v>207</v>
      </c>
      <c r="B208" s="4">
        <f ca="1"/>
        <v>0.39661016949152561</v>
      </c>
      <c r="C208" s="4">
        <f ca="1"/>
        <v>5.1500000000000004E-2</v>
      </c>
      <c r="D208" s="4">
        <f ca="1"/>
        <v>2.3856162022407359</v>
      </c>
      <c r="E208" s="4">
        <f ca="1"/>
        <v>55.225509910945114</v>
      </c>
      <c r="F208" s="4">
        <f ca="1"/>
        <v>-2482.0453892559613</v>
      </c>
      <c r="G208">
        <f ca="1"/>
        <v>0</v>
      </c>
      <c r="H208">
        <f ca="1"/>
        <v>2.3856162022407359</v>
      </c>
      <c r="I208">
        <f ca="1"/>
        <v>7.6313855077649829E-3</v>
      </c>
      <c r="J208">
        <f ca="1"/>
        <v>-8.7493689780897381E-3</v>
      </c>
      <c r="K208">
        <f ca="1"/>
        <v>0</v>
      </c>
      <c r="L208">
        <f ca="1"/>
        <v>-0.58195566569100698</v>
      </c>
      <c r="M208">
        <f ca="1"/>
        <v>-18.941445213182838</v>
      </c>
      <c r="N208">
        <f ca="1"/>
        <v>-13.342161870764345</v>
      </c>
      <c r="O208">
        <f ca="1"/>
        <v>0</v>
      </c>
      <c r="P208">
        <f ca="1"/>
        <v>-32.865562749638187</v>
      </c>
      <c r="Q208">
        <f ca="1"/>
        <v>2488.1417959976752</v>
      </c>
    </row>
    <row r="209" spans="1:17">
      <c r="A209" s="2">
        <f ca="1"/>
        <v>208</v>
      </c>
      <c r="B209" s="4">
        <f ca="1"/>
        <v>0.40338983050847488</v>
      </c>
      <c r="C209" s="4">
        <f ca="1"/>
        <v>5.1750000000000004E-2</v>
      </c>
      <c r="D209" s="4">
        <f ca="1"/>
        <v>2.399345015800058</v>
      </c>
      <c r="E209" s="4">
        <f ca="1"/>
        <v>54.604998563631113</v>
      </c>
      <c r="F209" s="4">
        <f ca="1"/>
        <v>-2482.0453892559613</v>
      </c>
      <c r="G209">
        <f ca="1"/>
        <v>0</v>
      </c>
      <c r="H209">
        <f ca="1"/>
        <v>2.399345015800058</v>
      </c>
      <c r="I209">
        <f ca="1"/>
        <v>7.5113838847801579E-3</v>
      </c>
      <c r="J209">
        <f ca="1"/>
        <v>-8.7317731418197764E-3</v>
      </c>
      <c r="K209">
        <f ca="1"/>
        <v>0</v>
      </c>
      <c r="L209">
        <f ca="1"/>
        <v>-0.58096532391082611</v>
      </c>
      <c r="M209">
        <f ca="1"/>
        <v>-18.643595738150122</v>
      </c>
      <c r="N209">
        <f ca="1"/>
        <v>-13.017789608090121</v>
      </c>
      <c r="O209">
        <f ca="1"/>
        <v>0</v>
      </c>
      <c r="P209">
        <f ca="1"/>
        <v>-32.242350670151069</v>
      </c>
      <c r="Q209">
        <f ca="1"/>
        <v>2496.3727827806515</v>
      </c>
    </row>
    <row r="210" spans="1:17">
      <c r="A210" s="2">
        <f ca="1"/>
        <v>209</v>
      </c>
      <c r="B210" s="4">
        <f ca="1"/>
        <v>0.41016949152542392</v>
      </c>
      <c r="C210" s="4">
        <f ca="1"/>
        <v>5.2000000000000005E-2</v>
      </c>
      <c r="D210" s="4">
        <f ca="1"/>
        <v>2.4129187015225515</v>
      </c>
      <c r="E210" s="4">
        <f ca="1"/>
        <v>53.984487216317135</v>
      </c>
      <c r="F210" s="4">
        <f ca="1"/>
        <v>-2482.0453892559613</v>
      </c>
      <c r="G210">
        <f ca="1"/>
        <v>0</v>
      </c>
      <c r="H210">
        <f ca="1"/>
        <v>2.4129187015225515</v>
      </c>
      <c r="I210">
        <f ca="1"/>
        <v>7.3930218871777129E-3</v>
      </c>
      <c r="J210">
        <f ca="1"/>
        <v>-8.7072886155549045E-3</v>
      </c>
      <c r="K210">
        <f ca="1"/>
        <v>0</v>
      </c>
      <c r="L210">
        <f ca="1"/>
        <v>-0.57962663271877779</v>
      </c>
      <c r="M210">
        <f ca="1"/>
        <v>-18.349815887737847</v>
      </c>
      <c r="N210">
        <f ca="1"/>
        <v>-12.687933837791233</v>
      </c>
      <c r="O210">
        <f ca="1"/>
        <v>0</v>
      </c>
      <c r="P210">
        <f ca="1"/>
        <v>-31.61737635824786</v>
      </c>
      <c r="Q210">
        <f ca="1"/>
        <v>2497.9662103729265</v>
      </c>
    </row>
    <row r="211" spans="1:17">
      <c r="A211" s="2">
        <f ca="1"/>
        <v>210</v>
      </c>
      <c r="B211" s="4">
        <f ca="1"/>
        <v>0.41694915254237297</v>
      </c>
      <c r="C211" s="4">
        <f ca="1"/>
        <v>5.2249999999999998E-2</v>
      </c>
      <c r="D211" s="4">
        <f ca="1"/>
        <v>2.426337259408216</v>
      </c>
      <c r="E211" s="4">
        <f ca="1"/>
        <v>53.363975869003156</v>
      </c>
      <c r="F211" s="4">
        <f ca="1"/>
        <v>-2482.0453892559613</v>
      </c>
      <c r="G211">
        <f ca="1"/>
        <v>0</v>
      </c>
      <c r="H211">
        <f ca="1"/>
        <v>2.426337259408216</v>
      </c>
      <c r="I211">
        <f ca="1"/>
        <v>7.2763831825766751E-3</v>
      </c>
      <c r="J211">
        <f ca="1"/>
        <v>-8.6772034375390116E-3</v>
      </c>
      <c r="K211">
        <f ca="1"/>
        <v>0</v>
      </c>
      <c r="L211">
        <f ca="1"/>
        <v>-0.5779577259391141</v>
      </c>
      <c r="M211">
        <f ca="1"/>
        <v>-18.060313328774054</v>
      </c>
      <c r="N211">
        <f ca="1"/>
        <v>-12.355096510251453</v>
      </c>
      <c r="O211">
        <f ca="1"/>
        <v>0</v>
      </c>
      <c r="P211">
        <f ca="1"/>
        <v>-30.993367564964622</v>
      </c>
      <c r="Q211">
        <f ca="1"/>
        <v>2497.0657529887217</v>
      </c>
    </row>
    <row r="212" spans="1:17">
      <c r="A212" s="2">
        <f ca="1"/>
        <v>211</v>
      </c>
      <c r="B212" s="4">
        <f ca="1"/>
        <v>0.42372881355932202</v>
      </c>
      <c r="C212" s="4">
        <f ca="1"/>
        <v>5.2499999999999998E-2</v>
      </c>
      <c r="D212" s="4">
        <f ca="1"/>
        <v>2.4396006894570528</v>
      </c>
      <c r="E212" s="4">
        <f ca="1"/>
        <v>52.743464521689177</v>
      </c>
      <c r="F212" s="4">
        <f ca="1"/>
        <v>-2482.0453892559613</v>
      </c>
      <c r="G212">
        <f ca="1"/>
        <v>0</v>
      </c>
      <c r="H212">
        <f ca="1"/>
        <v>2.4396006894570528</v>
      </c>
      <c r="I212">
        <f ca="1"/>
        <v>7.1615483729686432E-3</v>
      </c>
      <c r="J212">
        <f ca="1"/>
        <v>-8.640019103830129E-3</v>
      </c>
      <c r="K212">
        <f ca="1"/>
        <v>0</v>
      </c>
      <c r="L212">
        <f ca="1"/>
        <v>-0.57583721555511302</v>
      </c>
      <c r="M212">
        <f ca="1"/>
        <v>-17.775288119060352</v>
      </c>
      <c r="N212">
        <f ca="1"/>
        <v>-12.01771814713805</v>
      </c>
      <c r="O212">
        <f ca="1"/>
        <v>0</v>
      </c>
      <c r="P212">
        <f ca="1"/>
        <v>-30.368843481753515</v>
      </c>
      <c r="Q212">
        <f ca="1"/>
        <v>2495.760605820235</v>
      </c>
    </row>
    <row r="213" spans="1:17">
      <c r="A213" s="2">
        <f ca="1"/>
        <v>212</v>
      </c>
      <c r="B213" s="4">
        <f ca="1"/>
        <v>0.43050847457627128</v>
      </c>
      <c r="C213" s="4">
        <f ca="1"/>
        <v>5.2749999999999998E-2</v>
      </c>
      <c r="D213" s="4">
        <f ca="1"/>
        <v>2.452708991669061</v>
      </c>
      <c r="E213" s="4">
        <f ca="1"/>
        <v>52.122953174375176</v>
      </c>
      <c r="F213" s="4">
        <f ca="1"/>
        <v>-2482.0453892559613</v>
      </c>
      <c r="G213">
        <f ca="1"/>
        <v>0</v>
      </c>
      <c r="H213">
        <f ca="1"/>
        <v>2.452708991669061</v>
      </c>
      <c r="I213">
        <f ca="1"/>
        <v>7.0485889726270437E-3</v>
      </c>
      <c r="J213">
        <f ca="1"/>
        <v>-8.5962546125224627E-3</v>
      </c>
      <c r="K213">
        <f ca="1"/>
        <v>0</v>
      </c>
      <c r="L213">
        <f ca="1"/>
        <v>-0.57340757558586175</v>
      </c>
      <c r="M213">
        <f ca="1"/>
        <v>-17.494917760269367</v>
      </c>
      <c r="N213">
        <f ca="1"/>
        <v>-11.677161926199274</v>
      </c>
      <c r="O213">
        <f ca="1"/>
        <v>0</v>
      </c>
      <c r="P213">
        <f ca="1"/>
        <v>-29.745487262054503</v>
      </c>
      <c r="Q213">
        <f ca="1"/>
        <v>2494.7283040707953</v>
      </c>
    </row>
    <row r="214" spans="1:17">
      <c r="A214" s="2">
        <f ca="1"/>
        <v>213</v>
      </c>
      <c r="B214" s="4">
        <f ca="1"/>
        <v>0.43728813559322033</v>
      </c>
      <c r="C214" s="4">
        <f ca="1"/>
        <v>5.2999999999999999E-2</v>
      </c>
      <c r="D214" s="4">
        <f ca="1"/>
        <v>2.4656621660442402</v>
      </c>
      <c r="E214" s="4">
        <f ca="1"/>
        <v>51.502441827061197</v>
      </c>
      <c r="F214" s="4">
        <f ca="1"/>
        <v>-2482.0453892559613</v>
      </c>
      <c r="G214">
        <f ca="1"/>
        <v>0</v>
      </c>
      <c r="H214">
        <f ca="1"/>
        <v>2.4656621660442402</v>
      </c>
      <c r="I214">
        <f ca="1"/>
        <v>6.9375669626422333E-3</v>
      </c>
      <c r="J214">
        <f ca="1"/>
        <v>-8.5439529761064496E-3</v>
      </c>
      <c r="K214">
        <f ca="1"/>
        <v>0</v>
      </c>
      <c r="L214">
        <f ca="1"/>
        <v>-0.57069913446385856</v>
      </c>
      <c r="M214">
        <f ca="1"/>
        <v>-17.219356092280638</v>
      </c>
      <c r="N214">
        <f ca="1"/>
        <v>-11.331424102973621</v>
      </c>
      <c r="O214">
        <f ca="1"/>
        <v>0</v>
      </c>
      <c r="P214">
        <f ca="1"/>
        <v>-29.121479329718117</v>
      </c>
      <c r="Q214">
        <f ca="1"/>
        <v>2480.5870640763296</v>
      </c>
    </row>
    <row r="215" spans="1:17">
      <c r="A215" s="2">
        <f ca="1"/>
        <v>214</v>
      </c>
      <c r="B215" s="4">
        <f ca="1"/>
        <v>0.4440677966101696</v>
      </c>
      <c r="C215" s="4">
        <f ca="1"/>
        <v>5.3249999999999999E-2</v>
      </c>
      <c r="D215" s="4">
        <f ca="1"/>
        <v>2.4784602125825916</v>
      </c>
      <c r="E215" s="4">
        <f ca="1"/>
        <v>50.88193047974719</v>
      </c>
      <c r="F215" s="4">
        <f ca="1"/>
        <v>-2482.0453892559613</v>
      </c>
      <c r="G215">
        <f ca="1"/>
        <v>0</v>
      </c>
      <c r="H215">
        <f ca="1"/>
        <v>2.4784602125825916</v>
      </c>
      <c r="I215">
        <f ca="1"/>
        <v>6.8285422948125667E-3</v>
      </c>
      <c r="J215">
        <f ca="1"/>
        <v>-8.4888649257881324E-3</v>
      </c>
      <c r="K215">
        <f ca="1"/>
        <v>0</v>
      </c>
      <c r="L215">
        <f ca="1"/>
        <v>-0.56772989338763535</v>
      </c>
      <c r="M215">
        <f ca="1"/>
        <v>-16.948751918178854</v>
      </c>
      <c r="N215">
        <f ca="1"/>
        <v>-10.988711918449846</v>
      </c>
      <c r="O215">
        <f ca="1"/>
        <v>0</v>
      </c>
      <c r="P215">
        <f ca="1"/>
        <v>-28.505193730016337</v>
      </c>
      <c r="Q215">
        <f ca="1"/>
        <v>2453.8476529438831</v>
      </c>
    </row>
    <row r="216" spans="1:17">
      <c r="A216" s="2">
        <f ca="1"/>
        <v>215</v>
      </c>
      <c r="B216" s="4">
        <f ca="1"/>
        <v>0.45084745762711864</v>
      </c>
      <c r="C216" s="4">
        <f ca="1"/>
        <v>5.3499999999999999E-2</v>
      </c>
      <c r="D216" s="4">
        <f ca="1"/>
        <v>2.4911031312841136</v>
      </c>
      <c r="E216" s="4">
        <f ca="1"/>
        <v>50.261419132433211</v>
      </c>
      <c r="F216" s="4">
        <f ca="1"/>
        <v>-2482.0453892559613</v>
      </c>
      <c r="G216">
        <f ca="1"/>
        <v>0</v>
      </c>
      <c r="H216">
        <f ca="1"/>
        <v>2.4911031312841136</v>
      </c>
      <c r="I216">
        <f ca="1"/>
        <v>6.7215773621200365E-3</v>
      </c>
      <c r="J216">
        <f ca="1"/>
        <v>-8.4291817884626953E-3</v>
      </c>
      <c r="K216">
        <f ca="1"/>
        <v>0</v>
      </c>
      <c r="L216">
        <f ca="1"/>
        <v>-0.56435267299249825</v>
      </c>
      <c r="M216">
        <f ca="1"/>
        <v>-16.683260100177282</v>
      </c>
      <c r="N216">
        <f ca="1"/>
        <v>-10.646942730076393</v>
      </c>
      <c r="O216">
        <f ca="1"/>
        <v>0</v>
      </c>
      <c r="P216">
        <f ca="1"/>
        <v>-27.894555503246174</v>
      </c>
      <c r="Q216">
        <f ca="1"/>
        <v>2431.9282802502876</v>
      </c>
    </row>
    <row r="217" spans="1:17">
      <c r="A217" s="2">
        <f ca="1"/>
        <v>216</v>
      </c>
      <c r="B217" s="4">
        <f ca="1"/>
        <v>0.45762711864406791</v>
      </c>
      <c r="C217" s="4">
        <f ca="1"/>
        <v>5.3749999999999999E-2</v>
      </c>
      <c r="D217" s="4">
        <f ca="1"/>
        <v>2.503590922148808</v>
      </c>
      <c r="E217" s="4">
        <f ca="1"/>
        <v>49.640907785119211</v>
      </c>
      <c r="F217" s="4">
        <f ca="1"/>
        <v>-2482.0453892559613</v>
      </c>
      <c r="G217">
        <f ca="1"/>
        <v>0</v>
      </c>
      <c r="H217">
        <f ca="1"/>
        <v>2.503590922148808</v>
      </c>
      <c r="I217">
        <f ca="1"/>
        <v>6.6167166045877036E-3</v>
      </c>
      <c r="J217">
        <f ca="1"/>
        <v>-8.3641024619104682E-3</v>
      </c>
      <c r="K217">
        <f ca="1"/>
        <v>0</v>
      </c>
      <c r="L217">
        <f ca="1"/>
        <v>-0.56074551212464374</v>
      </c>
      <c r="M217">
        <f ca="1"/>
        <v>-16.422990940430267</v>
      </c>
      <c r="N217">
        <f ca="1"/>
        <v>-10.305493137336281</v>
      </c>
      <c r="O217">
        <f ca="1"/>
        <v>0</v>
      </c>
      <c r="P217">
        <f ca="1"/>
        <v>-27.289229589891193</v>
      </c>
      <c r="Q217">
        <f ca="1"/>
        <v>2411.7167190675891</v>
      </c>
    </row>
    <row r="218" spans="1:17">
      <c r="A218" s="2">
        <f ca="1"/>
        <v>217</v>
      </c>
      <c r="B218" s="4">
        <f ca="1"/>
        <v>0.46440677966101696</v>
      </c>
      <c r="C218" s="4">
        <f ca="1"/>
        <v>5.3999999999999999E-2</v>
      </c>
      <c r="D218" s="4">
        <f ca="1"/>
        <v>2.5159235851766732</v>
      </c>
      <c r="E218" s="4">
        <f ca="1"/>
        <v>49.020396437805232</v>
      </c>
      <c r="F218" s="4">
        <f ca="1"/>
        <v>-2482.0453892559613</v>
      </c>
      <c r="G218">
        <f ca="1"/>
        <v>0</v>
      </c>
      <c r="H218">
        <f ca="1"/>
        <v>2.5159235851766732</v>
      </c>
      <c r="I218">
        <f ca="1"/>
        <v>6.51400450744877E-3</v>
      </c>
      <c r="J218">
        <f ca="1"/>
        <v>-8.2927308448710237E-3</v>
      </c>
      <c r="K218">
        <f ca="1"/>
        <v>0</v>
      </c>
      <c r="L218">
        <f ca="1"/>
        <v>-0.55692921991334476</v>
      </c>
      <c r="M218">
        <f ca="1"/>
        <v>-16.168054853305769</v>
      </c>
      <c r="N218">
        <f ca="1"/>
        <v>-9.963713070493263</v>
      </c>
      <c r="O218">
        <f ca="1"/>
        <v>0</v>
      </c>
      <c r="P218">
        <f ca="1"/>
        <v>-26.688697143712378</v>
      </c>
      <c r="Q218">
        <f ca="1"/>
        <v>2386.0676057297051</v>
      </c>
    </row>
    <row r="219" spans="1:17">
      <c r="A219" s="2">
        <f ca="1"/>
        <v>218</v>
      </c>
      <c r="B219" s="4">
        <f ca="1"/>
        <v>0.47118644067796622</v>
      </c>
      <c r="C219" s="4">
        <f ca="1"/>
        <v>5.425E-2</v>
      </c>
      <c r="D219" s="4">
        <f ca="1"/>
        <v>2.5281011203677108</v>
      </c>
      <c r="E219" s="4">
        <f ca="1"/>
        <v>48.399885090491225</v>
      </c>
      <c r="F219" s="4">
        <f ca="1"/>
        <v>-2482.0453892559613</v>
      </c>
      <c r="G219">
        <f ca="1"/>
        <v>0</v>
      </c>
      <c r="H219">
        <f ca="1"/>
        <v>2.5281011203677108</v>
      </c>
      <c r="I219">
        <f ca="1"/>
        <v>6.4134749533595438E-3</v>
      </c>
      <c r="J219">
        <f ca="1"/>
        <v>-8.2173978937364542E-3</v>
      </c>
      <c r="K219">
        <f ca="1"/>
        <v>0</v>
      </c>
      <c r="L219">
        <f ca="1"/>
        <v>-0.55283174694812443</v>
      </c>
      <c r="M219">
        <f ca="1"/>
        <v>-15.918535937094648</v>
      </c>
      <c r="N219">
        <f ca="1"/>
        <v>-9.6248281029835656</v>
      </c>
      <c r="O219">
        <f ca="1"/>
        <v>0</v>
      </c>
      <c r="P219">
        <f ca="1"/>
        <v>-26.096195787026339</v>
      </c>
      <c r="Q219">
        <f ca="1"/>
        <v>2354.1364644990686</v>
      </c>
    </row>
    <row r="220" spans="1:17">
      <c r="A220" s="2">
        <f ca="1"/>
        <v>219</v>
      </c>
      <c r="B220" s="4">
        <f ca="1"/>
        <v>0.47796610169491527</v>
      </c>
      <c r="C220" s="4">
        <f ca="1"/>
        <v>5.45E-2</v>
      </c>
      <c r="D220" s="4">
        <f ca="1"/>
        <v>2.540123527721919</v>
      </c>
      <c r="E220" s="4">
        <f ca="1"/>
        <v>47.779373743177246</v>
      </c>
      <c r="F220" s="4">
        <f ca="1"/>
        <v>-2482.0453892559613</v>
      </c>
      <c r="G220">
        <f ca="1"/>
        <v>0</v>
      </c>
      <c r="H220">
        <f ca="1"/>
        <v>2.540123527721919</v>
      </c>
      <c r="I220">
        <f ca="1"/>
        <v>6.3151648340471914E-3</v>
      </c>
      <c r="J220">
        <f ca="1"/>
        <v>-8.137687123687223E-3</v>
      </c>
      <c r="K220">
        <f ca="1"/>
        <v>0</v>
      </c>
      <c r="L220">
        <f ca="1"/>
        <v>-0.54846812899680186</v>
      </c>
      <c r="M220">
        <f ca="1"/>
        <v>-15.67452575873822</v>
      </c>
      <c r="N220">
        <f ca="1"/>
        <v>-9.288635023727819</v>
      </c>
      <c r="O220">
        <f ca="1"/>
        <v>0</v>
      </c>
      <c r="P220">
        <f ca="1"/>
        <v>-25.511628911462843</v>
      </c>
      <c r="Q220">
        <f ca="1"/>
        <v>2326.6967689146563</v>
      </c>
    </row>
    <row r="221" spans="1:17">
      <c r="A221" s="2">
        <f ca="1"/>
        <v>220</v>
      </c>
      <c r="B221" s="4">
        <f ca="1"/>
        <v>0.48474576271186454</v>
      </c>
      <c r="C221" s="4">
        <f ca="1"/>
        <v>5.475E-2</v>
      </c>
      <c r="D221" s="4">
        <f ca="1"/>
        <v>2.5519908072392994</v>
      </c>
      <c r="E221" s="4">
        <f ca="1"/>
        <v>47.158862395863245</v>
      </c>
      <c r="F221" s="4">
        <f ca="1"/>
        <v>-2482.0453892559613</v>
      </c>
      <c r="G221">
        <f ca="1"/>
        <v>0</v>
      </c>
      <c r="H221">
        <f ca="1"/>
        <v>2.5519908072392994</v>
      </c>
      <c r="I221">
        <f ca="1"/>
        <v>6.219094030982821E-3</v>
      </c>
      <c r="J221">
        <f ca="1"/>
        <v>-8.0512548739359834E-3</v>
      </c>
      <c r="K221">
        <f ca="1"/>
        <v>0</v>
      </c>
      <c r="L221">
        <f ca="1"/>
        <v>-0.5439461765149276</v>
      </c>
      <c r="M221">
        <f ca="1"/>
        <v>-15.436073664950181</v>
      </c>
      <c r="N221">
        <f ca="1"/>
        <v>-8.9528275611039003</v>
      </c>
      <c r="O221">
        <f ca="1"/>
        <v>0</v>
      </c>
      <c r="P221">
        <f ca="1"/>
        <v>-24.93284740256901</v>
      </c>
      <c r="Q221">
        <f ca="1"/>
        <v>2289.0129554352661</v>
      </c>
    </row>
    <row r="222" spans="1:17">
      <c r="A222" s="2">
        <f ca="1"/>
        <v>221</v>
      </c>
      <c r="B222" s="4">
        <f ca="1"/>
        <v>0.49152542372881358</v>
      </c>
      <c r="C222" s="4">
        <f ca="1"/>
        <v>5.5E-2</v>
      </c>
      <c r="D222" s="4">
        <f ca="1"/>
        <v>2.5637029589198508</v>
      </c>
      <c r="E222" s="4">
        <f ca="1"/>
        <v>46.538351048549266</v>
      </c>
      <c r="F222" s="4">
        <f ca="1"/>
        <v>-2482.0453892559613</v>
      </c>
      <c r="G222">
        <f ca="1"/>
        <v>0</v>
      </c>
      <c r="H222">
        <f ca="1"/>
        <v>2.5637029589198508</v>
      </c>
      <c r="I222">
        <f ca="1"/>
        <v>6.1252915710250421E-3</v>
      </c>
      <c r="J222">
        <f ca="1"/>
        <v>-7.9643364130167222E-3</v>
      </c>
      <c r="K222">
        <f ca="1"/>
        <v>0</v>
      </c>
      <c r="L222">
        <f ca="1"/>
        <v>-0.53921868018836761</v>
      </c>
      <c r="M222">
        <f ca="1"/>
        <v>-15.203251701711109</v>
      </c>
      <c r="N222">
        <f ca="1"/>
        <v>-8.6246520518457306</v>
      </c>
      <c r="O222">
        <f ca="1"/>
        <v>0</v>
      </c>
      <c r="P222">
        <f ca="1"/>
        <v>-24.367122433745209</v>
      </c>
      <c r="Q222">
        <f ca="1"/>
        <v>2245.7564434409796</v>
      </c>
    </row>
    <row r="223" spans="1:17">
      <c r="A223" s="2">
        <f ca="1"/>
        <v>222</v>
      </c>
      <c r="B223" s="4">
        <f ca="1"/>
        <v>0.49830508474576285</v>
      </c>
      <c r="C223" s="4">
        <f ca="1"/>
        <v>5.525E-2</v>
      </c>
      <c r="D223" s="4">
        <f ca="1"/>
        <v>2.575259982763574</v>
      </c>
      <c r="E223" s="4">
        <f ca="1"/>
        <v>45.917839701235266</v>
      </c>
      <c r="F223" s="4">
        <f ca="1"/>
        <v>-2482.0453892559613</v>
      </c>
      <c r="G223">
        <f ca="1"/>
        <v>0</v>
      </c>
      <c r="H223">
        <f ca="1"/>
        <v>2.575259982763574</v>
      </c>
      <c r="I223">
        <f ca="1"/>
        <v>6.0337778464207154E-3</v>
      </c>
      <c r="J223">
        <f ca="1"/>
        <v>-7.8727282169989681E-3</v>
      </c>
      <c r="K223">
        <f ca="1"/>
        <v>0</v>
      </c>
      <c r="L223">
        <f ca="1"/>
        <v>-0.53423965437433629</v>
      </c>
      <c r="M223">
        <f ca="1"/>
        <v>-14.9761104835033</v>
      </c>
      <c r="N223">
        <f ca="1"/>
        <v>-8.2996190429708854</v>
      </c>
      <c r="O223">
        <f ca="1"/>
        <v>0</v>
      </c>
      <c r="P223">
        <f ca="1"/>
        <v>-23.809969180848519</v>
      </c>
      <c r="Q223">
        <f ca="1"/>
        <v>2209.7531329289932</v>
      </c>
    </row>
    <row r="224" spans="1:17">
      <c r="A224" s="2">
        <f ca="1"/>
        <v>223</v>
      </c>
      <c r="B224" s="4">
        <f ca="1"/>
        <v>0.5050847457627119</v>
      </c>
      <c r="C224" s="4">
        <f ca="1"/>
        <v>5.5500000000000001E-2</v>
      </c>
      <c r="D224" s="4">
        <f ca="1"/>
        <v>2.5866618787704683</v>
      </c>
      <c r="E224" s="4">
        <f ca="1"/>
        <v>45.297328353921287</v>
      </c>
      <c r="F224" s="4">
        <f ca="1"/>
        <v>-2482.0453892559613</v>
      </c>
      <c r="G224">
        <f ca="1"/>
        <v>0</v>
      </c>
      <c r="H224">
        <f ca="1"/>
        <v>2.5866618787704683</v>
      </c>
      <c r="I224">
        <f ca="1"/>
        <v>5.9445552703341854E-3</v>
      </c>
      <c r="J224">
        <f ca="1"/>
        <v>-7.7768323243596772E-3</v>
      </c>
      <c r="K224">
        <f ca="1"/>
        <v>0</v>
      </c>
      <c r="L224">
        <f ca="1"/>
        <v>-0.52915111291293804</v>
      </c>
      <c r="M224">
        <f ca="1"/>
        <v>-14.75465599991019</v>
      </c>
      <c r="N224">
        <f ca="1"/>
        <v>-7.9784387544575814</v>
      </c>
      <c r="O224">
        <f ca="1"/>
        <v>0</v>
      </c>
      <c r="P224">
        <f ca="1"/>
        <v>-23.262245867280711</v>
      </c>
      <c r="Q224">
        <f ca="1"/>
        <v>2168.5190555560589</v>
      </c>
    </row>
    <row r="225" spans="1:17">
      <c r="A225" s="2">
        <f ca="1"/>
        <v>224</v>
      </c>
      <c r="B225" s="4">
        <f ca="1"/>
        <v>0.51186440677966116</v>
      </c>
      <c r="C225" s="4">
        <f ca="1"/>
        <v>5.5750000000000001E-2</v>
      </c>
      <c r="D225" s="4">
        <f ca="1"/>
        <v>2.5979086469405344</v>
      </c>
      <c r="E225" s="4">
        <f ca="1"/>
        <v>44.676817006607287</v>
      </c>
      <c r="F225" s="4">
        <f ca="1"/>
        <v>-2482.0453892559613</v>
      </c>
      <c r="G225">
        <f ca="1"/>
        <v>0</v>
      </c>
      <c r="H225">
        <f ca="1"/>
        <v>2.5979086469405344</v>
      </c>
      <c r="I225">
        <f ca="1"/>
        <v>5.8576449855349769E-3</v>
      </c>
      <c r="J225">
        <f ca="1"/>
        <v>-7.6781710523823087E-3</v>
      </c>
      <c r="K225">
        <f ca="1"/>
        <v>0</v>
      </c>
      <c r="L225">
        <f ca="1"/>
        <v>-0.52388519607502093</v>
      </c>
      <c r="M225">
        <f ca="1"/>
        <v>-14.538940728245391</v>
      </c>
      <c r="N225">
        <f ca="1"/>
        <v>-7.6628837287500753</v>
      </c>
      <c r="O225">
        <f ca="1"/>
        <v>0</v>
      </c>
      <c r="P225">
        <f ca="1"/>
        <v>-22.725709653070489</v>
      </c>
      <c r="Q225">
        <f ca="1"/>
        <v>2124.9008257529717</v>
      </c>
    </row>
    <row r="226" spans="1:17">
      <c r="A226" s="2">
        <f ca="1"/>
        <v>225</v>
      </c>
      <c r="B226" s="4">
        <f ca="1"/>
        <v>0.51864406779661021</v>
      </c>
      <c r="C226" s="4">
        <f ca="1"/>
        <v>5.6000000000000001E-2</v>
      </c>
      <c r="D226" s="4">
        <f ca="1"/>
        <v>2.6090002872737719</v>
      </c>
      <c r="E226" s="4">
        <f ca="1"/>
        <v>44.056305659293308</v>
      </c>
      <c r="F226" s="4">
        <f ca="1"/>
        <v>-2482.0453892559613</v>
      </c>
      <c r="G226">
        <f ca="1"/>
        <v>0</v>
      </c>
      <c r="H226">
        <f ca="1"/>
        <v>2.6090002872737719</v>
      </c>
      <c r="I226">
        <f ca="1"/>
        <v>5.7730331450009196E-3</v>
      </c>
      <c r="J226">
        <f ca="1"/>
        <v>-7.5760906965617568E-3</v>
      </c>
      <c r="K226">
        <f ca="1"/>
        <v>0</v>
      </c>
      <c r="L226">
        <f ca="1"/>
        <v>-0.51842797283003494</v>
      </c>
      <c r="M226">
        <f ca="1"/>
        <v>-14.328930299571374</v>
      </c>
      <c r="N226">
        <f ca="1"/>
        <v>-7.3524371820028174</v>
      </c>
      <c r="O226">
        <f ca="1"/>
        <v>0</v>
      </c>
      <c r="P226">
        <f ca="1"/>
        <v>-22.199795454404224</v>
      </c>
      <c r="Q226">
        <f ca="1"/>
        <v>2077.0545927764965</v>
      </c>
    </row>
    <row r="227" spans="1:17">
      <c r="A227" s="2">
        <f ca="1"/>
        <v>226</v>
      </c>
      <c r="B227" s="4">
        <f ca="1"/>
        <v>0.52542372881355948</v>
      </c>
      <c r="C227" s="4">
        <f ca="1"/>
        <v>5.6250000000000001E-2</v>
      </c>
      <c r="D227" s="4">
        <f ca="1"/>
        <v>2.6199367997701812</v>
      </c>
      <c r="E227" s="4">
        <f ca="1"/>
        <v>43.435794311979308</v>
      </c>
      <c r="F227" s="4">
        <f ca="1"/>
        <v>-2482.0453892559613</v>
      </c>
      <c r="G227">
        <f ca="1"/>
        <v>0</v>
      </c>
      <c r="H227">
        <f ca="1"/>
        <v>2.6199367997701812</v>
      </c>
      <c r="I227">
        <f ca="1"/>
        <v>5.6907341122446097E-3</v>
      </c>
      <c r="J227">
        <f ca="1"/>
        <v>-7.4730838984456297E-3</v>
      </c>
      <c r="K227">
        <f ca="1"/>
        <v>0</v>
      </c>
      <c r="L227">
        <f ca="1"/>
        <v>-0.51290701553730156</v>
      </c>
      <c r="M227">
        <f ca="1"/>
        <v>-14.12466036477835</v>
      </c>
      <c r="N227">
        <f ca="1"/>
        <v>-7.0496149763665867</v>
      </c>
      <c r="O227">
        <f ca="1"/>
        <v>0</v>
      </c>
      <c r="P227">
        <f ca="1"/>
        <v>-21.687182356682239</v>
      </c>
      <c r="Q227">
        <f ca="1"/>
        <v>2029.9386565406774</v>
      </c>
    </row>
    <row r="228" spans="1:17">
      <c r="A228" s="2">
        <f ca="1"/>
        <v>227</v>
      </c>
      <c r="B228" s="4">
        <f ca="1"/>
        <v>0.53220338983050852</v>
      </c>
      <c r="C228" s="4">
        <f ca="1"/>
        <v>5.6500000000000002E-2</v>
      </c>
      <c r="D228" s="4">
        <f ca="1"/>
        <v>2.6307181844297616</v>
      </c>
      <c r="E228" s="4">
        <f ca="1"/>
        <v>42.815282964665329</v>
      </c>
      <c r="F228" s="4">
        <f ca="1"/>
        <v>-2482.0453892559613</v>
      </c>
      <c r="G228">
        <f ca="1"/>
        <v>0</v>
      </c>
      <c r="H228">
        <f ca="1"/>
        <v>2.6307181844297616</v>
      </c>
      <c r="I228">
        <f ca="1"/>
        <v>5.610741861989242E-3</v>
      </c>
      <c r="J228">
        <f ca="1"/>
        <v>-7.3660323776492875E-3</v>
      </c>
      <c r="K228">
        <f ca="1"/>
        <v>0</v>
      </c>
      <c r="L228">
        <f ca="1"/>
        <v>-0.50719471972590702</v>
      </c>
      <c r="M228">
        <f ca="1"/>
        <v>-13.926115968855806</v>
      </c>
      <c r="N228">
        <f ca="1"/>
        <v>-6.7515154375521718</v>
      </c>
      <c r="O228">
        <f ca="1"/>
        <v>0</v>
      </c>
      <c r="P228">
        <f ca="1"/>
        <v>-21.184826126133885</v>
      </c>
      <c r="Q228">
        <f ca="1"/>
        <v>1984.8764090355057</v>
      </c>
    </row>
    <row r="229" spans="1:17">
      <c r="A229" s="2">
        <f ca="1"/>
        <v>228</v>
      </c>
      <c r="B229" s="4">
        <f ca="1"/>
        <v>0.53898305084745779</v>
      </c>
      <c r="C229" s="4">
        <f ca="1"/>
        <v>5.6750000000000002E-2</v>
      </c>
      <c r="D229" s="4">
        <f ca="1"/>
        <v>2.6413444412525138</v>
      </c>
      <c r="E229" s="4">
        <f ca="1"/>
        <v>42.194771617351321</v>
      </c>
      <c r="F229" s="4">
        <f ca="1"/>
        <v>-2482.0453892559613</v>
      </c>
      <c r="G229">
        <f ca="1"/>
        <v>0</v>
      </c>
      <c r="H229">
        <f ca="1"/>
        <v>2.6413444412525138</v>
      </c>
      <c r="I229">
        <f ca="1"/>
        <v>5.5330455215104697E-3</v>
      </c>
      <c r="J229">
        <f ca="1"/>
        <v>-7.2568955405507007E-3</v>
      </c>
      <c r="K229">
        <f ca="1"/>
        <v>0</v>
      </c>
      <c r="L229">
        <f ca="1"/>
        <v>-0.50139014563962958</v>
      </c>
      <c r="M229">
        <f ca="1"/>
        <v>-13.733270125208406</v>
      </c>
      <c r="N229">
        <f ca="1"/>
        <v>-6.4600838813164492</v>
      </c>
      <c r="O229">
        <f ca="1"/>
        <v>0</v>
      </c>
      <c r="P229">
        <f ca="1"/>
        <v>-20.694744152164485</v>
      </c>
      <c r="Q229">
        <f ca="1"/>
        <v>1934.9355395012803</v>
      </c>
    </row>
    <row r="230" spans="1:17">
      <c r="A230" s="2">
        <f ca="1"/>
        <v>229</v>
      </c>
      <c r="B230" s="4">
        <f ca="1"/>
        <v>0.54576271186440684</v>
      </c>
      <c r="C230" s="4">
        <f ca="1"/>
        <v>5.7000000000000002E-2</v>
      </c>
      <c r="D230" s="4">
        <f ca="1"/>
        <v>2.6518155702384374</v>
      </c>
      <c r="E230" s="4">
        <f ca="1"/>
        <v>41.574260270037342</v>
      </c>
      <c r="F230" s="4">
        <f ca="1"/>
        <v>-2482.0453892559613</v>
      </c>
      <c r="G230">
        <f ca="1"/>
        <v>0</v>
      </c>
      <c r="H230">
        <f ca="1"/>
        <v>2.6518155702384374</v>
      </c>
      <c r="I230">
        <f ca="1"/>
        <v>5.4576284098267957E-3</v>
      </c>
      <c r="J230">
        <f ca="1"/>
        <v>-7.146119154297189E-3</v>
      </c>
      <c r="K230">
        <f ca="1"/>
        <v>0</v>
      </c>
      <c r="L230">
        <f ca="1"/>
        <v>-0.49553244617385706</v>
      </c>
      <c r="M230">
        <f ca="1"/>
        <v>-13.546081430882943</v>
      </c>
      <c r="N230">
        <f ca="1"/>
        <v>-6.1757444793264451</v>
      </c>
      <c r="O230">
        <f ca="1"/>
        <v>0</v>
      </c>
      <c r="P230">
        <f ca="1"/>
        <v>-20.217358356383244</v>
      </c>
      <c r="Q230">
        <f ca="1"/>
        <v>1883.796612418399</v>
      </c>
    </row>
    <row r="231" spans="1:17">
      <c r="A231" s="2">
        <f ca="1"/>
        <v>230</v>
      </c>
      <c r="B231" s="4">
        <f ca="1"/>
        <v>0.5525423728813561</v>
      </c>
      <c r="C231" s="4">
        <f ca="1"/>
        <v>5.7250000000000002E-2</v>
      </c>
      <c r="D231" s="4">
        <f ca="1"/>
        <v>2.6621315713875324</v>
      </c>
      <c r="E231" s="4">
        <f ca="1"/>
        <v>40.953748922723342</v>
      </c>
      <c r="F231" s="4">
        <f ca="1"/>
        <v>-2482.0453892559613</v>
      </c>
      <c r="G231">
        <f ca="1"/>
        <v>0</v>
      </c>
      <c r="H231">
        <f ca="1"/>
        <v>2.6621315713875324</v>
      </c>
      <c r="I231">
        <f ca="1"/>
        <v>5.3844840367930948E-3</v>
      </c>
      <c r="J231">
        <f ca="1"/>
        <v>-7.0340830130996507E-3</v>
      </c>
      <c r="K231">
        <f ca="1"/>
        <v>0</v>
      </c>
      <c r="L231">
        <f ca="1"/>
        <v>-0.48949646347571474</v>
      </c>
      <c r="M231">
        <f ca="1"/>
        <v>-13.364533777044626</v>
      </c>
      <c r="N231">
        <f ca="1"/>
        <v>-5.8988156054349439</v>
      </c>
      <c r="O231">
        <f ca="1"/>
        <v>0</v>
      </c>
      <c r="P231">
        <f ca="1"/>
        <v>-19.752845845955285</v>
      </c>
      <c r="Q231">
        <f ca="1"/>
        <v>1833.0191260989379</v>
      </c>
    </row>
    <row r="232" spans="1:17">
      <c r="A232" s="2">
        <f ca="1"/>
        <v>231</v>
      </c>
      <c r="B232" s="4">
        <f ca="1"/>
        <v>0.55932203389830515</v>
      </c>
      <c r="C232" s="4">
        <f ca="1"/>
        <v>5.7500000000000002E-2</v>
      </c>
      <c r="D232" s="4">
        <f ca="1"/>
        <v>2.6722924446997989</v>
      </c>
      <c r="E232" s="4">
        <f ca="1"/>
        <v>40.333237575409363</v>
      </c>
      <c r="F232" s="4">
        <f ca="1"/>
        <v>-2482.0453892559613</v>
      </c>
      <c r="G232">
        <f ca="1"/>
        <v>0</v>
      </c>
      <c r="H232">
        <f ca="1"/>
        <v>2.6722924446997989</v>
      </c>
      <c r="I232">
        <f ca="1"/>
        <v>5.3135886964519865E-3</v>
      </c>
      <c r="J232">
        <f ca="1"/>
        <v>-6.920232883077795E-3</v>
      </c>
      <c r="K232">
        <f ca="1"/>
        <v>0</v>
      </c>
      <c r="L232">
        <f ca="1"/>
        <v>-0.48346666082621498</v>
      </c>
      <c r="M232">
        <f ca="1"/>
        <v>-13.188568324431246</v>
      </c>
      <c r="N232">
        <f ca="1"/>
        <v>-5.6288138080763126</v>
      </c>
      <c r="O232">
        <f ca="1"/>
        <v>0</v>
      </c>
      <c r="P232">
        <f ca="1"/>
        <v>-19.300848793333774</v>
      </c>
      <c r="Q232">
        <f ca="1"/>
        <v>1784.5267846173469</v>
      </c>
    </row>
    <row r="233" spans="1:17">
      <c r="A233" s="2">
        <f ca="1"/>
        <v>232</v>
      </c>
      <c r="B233" s="4">
        <f ca="1"/>
        <v>0.56610169491525442</v>
      </c>
      <c r="C233" s="4">
        <f ca="1"/>
        <v>5.7750000000000003E-2</v>
      </c>
      <c r="D233" s="4">
        <f ca="1"/>
        <v>2.6822981901752372</v>
      </c>
      <c r="E233" s="4">
        <f ca="1"/>
        <v>39.712726228095356</v>
      </c>
      <c r="F233" s="4">
        <f ca="1"/>
        <v>-2482.0453892559613</v>
      </c>
      <c r="G233">
        <f ca="1"/>
        <v>0</v>
      </c>
      <c r="H233">
        <f ca="1"/>
        <v>2.6822981901752372</v>
      </c>
      <c r="I233">
        <f ca="1"/>
        <v>5.2449256431889692E-3</v>
      </c>
      <c r="J233">
        <f ca="1"/>
        <v>-6.803795602520632E-3</v>
      </c>
      <c r="K233">
        <f ca="1"/>
        <v>0</v>
      </c>
      <c r="L233">
        <f ca="1"/>
        <v>-0.47730379723629252</v>
      </c>
      <c r="M233">
        <f ca="1"/>
        <v>-13.018143509667539</v>
      </c>
      <c r="N233">
        <f ca="1"/>
        <v>-5.3651351467427792</v>
      </c>
      <c r="O233">
        <f ca="1"/>
        <v>0</v>
      </c>
      <c r="P233">
        <f ca="1"/>
        <v>-18.860582453646611</v>
      </c>
      <c r="Q233">
        <f ca="1"/>
        <v>1732.1986558434671</v>
      </c>
    </row>
    <row r="234" spans="1:17">
      <c r="A234" s="2">
        <f ca="1"/>
        <v>233</v>
      </c>
      <c r="B234" s="4">
        <f ca="1"/>
        <v>0.57288135593220346</v>
      </c>
      <c r="C234" s="4">
        <f ca="1"/>
        <v>5.8000000000000003E-2</v>
      </c>
      <c r="D234" s="4">
        <f ca="1"/>
        <v>2.6921488078138465</v>
      </c>
      <c r="E234" s="4">
        <f ca="1"/>
        <v>39.092214880781377</v>
      </c>
      <c r="F234" s="4">
        <f ca="1"/>
        <v>-2482.0453892559613</v>
      </c>
      <c r="G234">
        <f ca="1"/>
        <v>0</v>
      </c>
      <c r="H234">
        <f ca="1"/>
        <v>2.6921488078138465</v>
      </c>
      <c r="I234">
        <f ca="1"/>
        <v>5.1784720157546848E-3</v>
      </c>
      <c r="J234">
        <f ca="1"/>
        <v>-6.6881596230129762E-3</v>
      </c>
      <c r="K234">
        <f ca="1"/>
        <v>0</v>
      </c>
      <c r="L234">
        <f ca="1"/>
        <v>-0.47111987950232115</v>
      </c>
      <c r="M234">
        <f ca="1"/>
        <v>-12.85320259009494</v>
      </c>
      <c r="N234">
        <f ca="1"/>
        <v>-5.1104269958147777</v>
      </c>
      <c r="O234">
        <f ca="1"/>
        <v>0</v>
      </c>
      <c r="P234">
        <f ca="1"/>
        <v>-18.43474946541204</v>
      </c>
      <c r="Q234">
        <f ca="1"/>
        <v>1678.5494637877803</v>
      </c>
    </row>
    <row r="235" spans="1:17">
      <c r="A235" s="2">
        <f ca="1"/>
        <v>234</v>
      </c>
      <c r="B235" s="4">
        <f ca="1"/>
        <v>0.57966101694915273</v>
      </c>
      <c r="C235" s="4">
        <f ca="1"/>
        <v>5.8250000000000003E-2</v>
      </c>
      <c r="D235" s="4">
        <f ca="1"/>
        <v>2.7018442976156281</v>
      </c>
      <c r="E235" s="4">
        <f ca="1"/>
        <v>38.471703533467377</v>
      </c>
      <c r="F235" s="4">
        <f ca="1"/>
        <v>-2482.0453892559613</v>
      </c>
      <c r="G235">
        <f ca="1"/>
        <v>0</v>
      </c>
      <c r="H235">
        <f ca="1"/>
        <v>2.7018442976156281</v>
      </c>
      <c r="I235">
        <f ca="1"/>
        <v>5.1141921428704126E-3</v>
      </c>
      <c r="J235">
        <f ca="1"/>
        <v>-6.570981753757546E-3</v>
      </c>
      <c r="K235">
        <f ca="1"/>
        <v>0</v>
      </c>
      <c r="L235">
        <f ca="1"/>
        <v>-0.46488773012217999</v>
      </c>
      <c r="M235">
        <f ca="1"/>
        <v>-12.693657027980572</v>
      </c>
      <c r="N235">
        <f ca="1"/>
        <v>-4.862762963649967</v>
      </c>
      <c r="O235">
        <f ca="1"/>
        <v>0</v>
      </c>
      <c r="P235">
        <f ca="1"/>
        <v>-18.02130772175272</v>
      </c>
      <c r="Q235">
        <f ca="1"/>
        <v>1629.5222470789795</v>
      </c>
    </row>
    <row r="236" spans="1:17">
      <c r="A236" s="2">
        <f ca="1"/>
        <v>235</v>
      </c>
      <c r="B236" s="4">
        <f ca="1"/>
        <v>0.58644067796610178</v>
      </c>
      <c r="C236" s="4">
        <f ca="1"/>
        <v>5.8500000000000003E-2</v>
      </c>
      <c r="D236" s="4">
        <f ca="1"/>
        <v>2.7113846595805802</v>
      </c>
      <c r="E236" s="4">
        <f ca="1"/>
        <v>37.851192186153398</v>
      </c>
      <c r="F236" s="4">
        <f ca="1"/>
        <v>-2482.0453892559613</v>
      </c>
      <c r="G236">
        <f ca="1"/>
        <v>0</v>
      </c>
      <c r="H236">
        <f ca="1"/>
        <v>2.7113846595805802</v>
      </c>
      <c r="I236">
        <f ca="1"/>
        <v>5.0520718460576892E-3</v>
      </c>
      <c r="J236">
        <f ca="1"/>
        <v>-6.4519839961415882E-3</v>
      </c>
      <c r="K236">
        <f ca="1"/>
        <v>0</v>
      </c>
      <c r="L236">
        <f ca="1"/>
        <v>-0.45859684342148249</v>
      </c>
      <c r="M236">
        <f ca="1"/>
        <v>-12.53947163169734</v>
      </c>
      <c r="N236">
        <f ca="1"/>
        <v>-4.6219198667537276</v>
      </c>
      <c r="O236">
        <f ca="1"/>
        <v>0</v>
      </c>
      <c r="P236">
        <f ca="1"/>
        <v>-17.619988341872549</v>
      </c>
      <c r="Q236">
        <f ca="1"/>
        <v>1576.9349237582219</v>
      </c>
    </row>
    <row r="237" spans="1:17">
      <c r="A237" s="2">
        <f ca="1"/>
        <v>236</v>
      </c>
      <c r="B237" s="4">
        <f ca="1"/>
        <v>0.59322033898305104</v>
      </c>
      <c r="C237" s="4">
        <f ca="1"/>
        <v>5.8750000000000004E-2</v>
      </c>
      <c r="D237" s="4">
        <f ca="1"/>
        <v>2.7207698937087046</v>
      </c>
      <c r="E237" s="4">
        <f ca="1"/>
        <v>37.230680838839397</v>
      </c>
      <c r="F237" s="4">
        <f ca="1"/>
        <v>-2482.0453892559613</v>
      </c>
      <c r="G237">
        <f ca="1"/>
        <v>0</v>
      </c>
      <c r="H237">
        <f ca="1"/>
        <v>2.7207698937087046</v>
      </c>
      <c r="I237">
        <f ca="1"/>
        <v>4.9920643404412855E-3</v>
      </c>
      <c r="J237">
        <f ca="1"/>
        <v>-6.3341951488521961E-3</v>
      </c>
      <c r="K237">
        <f ca="1"/>
        <v>0</v>
      </c>
      <c r="L237">
        <f ca="1"/>
        <v>-0.45232130294146183</v>
      </c>
      <c r="M237">
        <f ca="1"/>
        <v>-12.390530279061394</v>
      </c>
      <c r="N237">
        <f ca="1"/>
        <v>-4.3899886778707513</v>
      </c>
      <c r="O237">
        <f ca="1"/>
        <v>0</v>
      </c>
      <c r="P237">
        <f ca="1"/>
        <v>-17.232840259873608</v>
      </c>
      <c r="Q237">
        <f ca="1"/>
        <v>1523.9933635508494</v>
      </c>
    </row>
    <row r="238" spans="1:17">
      <c r="A238" s="2">
        <f ca="1"/>
        <v>237</v>
      </c>
      <c r="B238" s="4">
        <f ca="1"/>
        <v>0.60000000000000009</v>
      </c>
      <c r="C238" s="4">
        <f ca="1"/>
        <v>5.9000000000000004E-2</v>
      </c>
      <c r="D238" s="4">
        <f ca="1"/>
        <v>2.73</v>
      </c>
      <c r="E238" s="4">
        <f ca="1"/>
        <v>36.610169491525419</v>
      </c>
      <c r="F238" s="4">
        <f ca="1"/>
        <v>-2482.0453892559613</v>
      </c>
      <c r="G238">
        <f ca="1"/>
        <v>0</v>
      </c>
      <c r="H238">
        <f ca="1"/>
        <v>2.73</v>
      </c>
      <c r="I238">
        <f ca="1"/>
        <v>4.9341491807259547E-3</v>
      </c>
      <c r="J238">
        <f ca="1"/>
        <v>-6.2153652725413918E-3</v>
      </c>
      <c r="K238">
        <f ca="1"/>
        <v>0</v>
      </c>
      <c r="L238">
        <f ca="1"/>
        <v>-0.44596838251688481</v>
      </c>
      <c r="M238">
        <f ca="1"/>
        <v>-12.246782223921935</v>
      </c>
      <c r="N238">
        <f ca="1"/>
        <v>-4.1652410536583035</v>
      </c>
      <c r="O238">
        <f ca="1"/>
        <v>0</v>
      </c>
      <c r="P238">
        <f ca="1"/>
        <v>-16.857991660097124</v>
      </c>
      <c r="Q238">
        <f ca="1"/>
        <v>1474.3922064650108</v>
      </c>
    </row>
    <row r="239" spans="1:17">
      <c r="A239" s="2">
        <f ca="1"/>
        <v>238</v>
      </c>
      <c r="B239" s="4">
        <f ca="1"/>
        <v>0.60677966101694936</v>
      </c>
      <c r="C239" s="4">
        <f ca="1"/>
        <v>5.9250000000000004E-2</v>
      </c>
      <c r="D239" s="4">
        <f ca="1"/>
        <v>2.7390749784544672</v>
      </c>
      <c r="E239" s="4">
        <f ca="1"/>
        <v>35.989658144211418</v>
      </c>
      <c r="F239" s="4">
        <f ca="1"/>
        <v>-2482.0453892559613</v>
      </c>
      <c r="G239">
        <f ca="1"/>
        <v>0</v>
      </c>
      <c r="H239">
        <f ca="1"/>
        <v>2.7390749784544672</v>
      </c>
      <c r="I239">
        <f ca="1"/>
        <v>4.8782870456208164E-3</v>
      </c>
      <c r="J239">
        <f ca="1"/>
        <v>-6.0958468427125528E-3</v>
      </c>
      <c r="K239">
        <f ca="1"/>
        <v>0</v>
      </c>
      <c r="L239">
        <f ca="1"/>
        <v>-0.4396747328080301</v>
      </c>
      <c r="M239">
        <f ca="1"/>
        <v>-12.108129869050233</v>
      </c>
      <c r="N239">
        <f ca="1"/>
        <v>-3.9478395547828402</v>
      </c>
      <c r="O239">
        <f ca="1"/>
        <v>0</v>
      </c>
      <c r="P239">
        <f ca="1"/>
        <v>-16.495644156641102</v>
      </c>
      <c r="Q239">
        <f ca="1"/>
        <v>1423.2030787759543</v>
      </c>
    </row>
    <row r="240" spans="1:17">
      <c r="A240" s="2">
        <f ca="1"/>
        <v>239</v>
      </c>
      <c r="B240" s="4">
        <f ca="1"/>
        <v>0.6135593220338984</v>
      </c>
      <c r="C240" s="4">
        <f ca="1"/>
        <v>5.9500000000000004E-2</v>
      </c>
      <c r="D240" s="4">
        <f ca="1"/>
        <v>2.7479948290721059</v>
      </c>
      <c r="E240" s="4">
        <f ca="1"/>
        <v>35.369146796897432</v>
      </c>
      <c r="F240" s="4">
        <f ca="1"/>
        <v>-2482.0453892559613</v>
      </c>
      <c r="G240">
        <f ca="1"/>
        <v>0</v>
      </c>
      <c r="H240">
        <f ca="1"/>
        <v>2.7479948290721059</v>
      </c>
      <c r="I240">
        <f ca="1"/>
        <v>4.8244411774648523E-3</v>
      </c>
      <c r="J240">
        <f ca="1"/>
        <v>-5.9770998166250866E-3</v>
      </c>
      <c r="K240">
        <f ca="1"/>
        <v>0</v>
      </c>
      <c r="L240">
        <f ca="1"/>
        <v>-0.4333023011651862</v>
      </c>
      <c r="M240">
        <f ca="1"/>
        <v>-11.974481980263237</v>
      </c>
      <c r="N240">
        <f ca="1"/>
        <v>-3.7386058392807233</v>
      </c>
      <c r="O240">
        <f ca="1"/>
        <v>0</v>
      </c>
      <c r="P240">
        <f ca="1"/>
        <v>-16.146390120709146</v>
      </c>
      <c r="Q240">
        <f ca="1"/>
        <v>1372.1516119900118</v>
      </c>
    </row>
    <row r="241" spans="1:17">
      <c r="A241" s="2">
        <f ca="1"/>
        <v>240</v>
      </c>
      <c r="B241" s="4">
        <f ca="1"/>
        <v>0.62033898305084767</v>
      </c>
      <c r="C241" s="4">
        <f ca="1"/>
        <v>5.9750000000000004E-2</v>
      </c>
      <c r="D241" s="4">
        <f ca="1"/>
        <v>2.756759551852916</v>
      </c>
      <c r="E241" s="4">
        <f ca="1"/>
        <v>34.748635449583439</v>
      </c>
      <c r="F241" s="4">
        <f ca="1"/>
        <v>-2482.0453892559613</v>
      </c>
      <c r="G241">
        <f ca="1"/>
        <v>0</v>
      </c>
      <c r="H241">
        <f ca="1"/>
        <v>2.756759551852916</v>
      </c>
      <c r="I241">
        <f ca="1"/>
        <v>4.7725736300267552E-3</v>
      </c>
      <c r="J241">
        <f ca="1"/>
        <v>-5.8582253231028612E-3</v>
      </c>
      <c r="K241">
        <f ca="1"/>
        <v>0</v>
      </c>
      <c r="L241">
        <f ca="1"/>
        <v>-0.427015149607124</v>
      </c>
      <c r="M241">
        <f ca="1"/>
        <v>-11.845744373292494</v>
      </c>
      <c r="N241">
        <f ca="1"/>
        <v>-3.5368088277464791</v>
      </c>
      <c r="O241">
        <f ca="1"/>
        <v>0</v>
      </c>
      <c r="P241">
        <f ca="1"/>
        <v>-15.809568350646096</v>
      </c>
      <c r="Q241">
        <f ca="1"/>
        <v>1322.321198592831</v>
      </c>
    </row>
    <row r="242" spans="1:17">
      <c r="A242" s="2">
        <f ca="1"/>
        <v>241</v>
      </c>
      <c r="B242" s="4">
        <f ca="1"/>
        <v>0.62711864406779672</v>
      </c>
      <c r="C242" s="4">
        <f ca="1"/>
        <v>0.06</v>
      </c>
      <c r="D242" s="4">
        <f ca="1"/>
        <v>2.7653691467968975</v>
      </c>
      <c r="E242" s="4">
        <f ca="1"/>
        <v>34.128124102269453</v>
      </c>
      <c r="F242" s="4">
        <f ca="1"/>
        <v>-2482.0453892559613</v>
      </c>
      <c r="G242">
        <f ca="1"/>
        <v>0</v>
      </c>
      <c r="H242">
        <f ca="1"/>
        <v>2.7653691467968975</v>
      </c>
      <c r="I242">
        <f ca="1"/>
        <v>4.7226432305831033E-3</v>
      </c>
      <c r="J242">
        <f ca="1"/>
        <v>-5.7399651792042847E-3</v>
      </c>
      <c r="K242">
        <f ca="1"/>
        <v>0</v>
      </c>
      <c r="L242">
        <f ca="1"/>
        <v>-0.42066313113229892</v>
      </c>
      <c r="M242">
        <f ca="1"/>
        <v>-11.721814855569669</v>
      </c>
      <c r="N242">
        <f ca="1"/>
        <v>-3.342751534710771</v>
      </c>
      <c r="O242">
        <f ca="1"/>
        <v>0</v>
      </c>
      <c r="P242">
        <f ca="1"/>
        <v>-15.485229521412739</v>
      </c>
      <c r="Q242">
        <f ca="1"/>
        <v>1272.8570733568733</v>
      </c>
    </row>
    <row r="243" spans="1:17">
      <c r="A243" s="2">
        <f ca="1"/>
        <v>242</v>
      </c>
      <c r="B243" s="4">
        <f ca="1"/>
        <v>0.63389830508474576</v>
      </c>
      <c r="C243" s="4">
        <f ca="1"/>
        <v>6.0249999999999998E-2</v>
      </c>
      <c r="D243" s="4">
        <f ca="1"/>
        <v>2.7738236139040504</v>
      </c>
      <c r="E243" s="4">
        <f ca="1"/>
        <v>33.507612754955474</v>
      </c>
      <c r="F243" s="4">
        <f ca="1"/>
        <v>-2482.0453892559613</v>
      </c>
      <c r="G243">
        <f ca="1"/>
        <v>0</v>
      </c>
      <c r="H243">
        <f ca="1"/>
        <v>2.7738236139040504</v>
      </c>
      <c r="I243">
        <f ca="1"/>
        <v>4.6746125121079141E-3</v>
      </c>
      <c r="J243">
        <f ca="1"/>
        <v>-5.6220968213739498E-3</v>
      </c>
      <c r="K243">
        <f ca="1"/>
        <v>0</v>
      </c>
      <c r="L243">
        <f ca="1"/>
        <v>-0.41440635180478752</v>
      </c>
      <c r="M243">
        <f ca="1"/>
        <v>-11.602600432235674</v>
      </c>
      <c r="N243">
        <f ca="1"/>
        <v>-3.1561330299272057</v>
      </c>
      <c r="O243">
        <f ca="1"/>
        <v>0</v>
      </c>
      <c r="P243">
        <f ca="1"/>
        <v>-15.173139813967667</v>
      </c>
      <c r="Q243">
        <f ca="1"/>
        <v>1224.70925612519</v>
      </c>
    </row>
    <row r="244" spans="1:17">
      <c r="A244" s="2">
        <f ca="1"/>
        <v>243</v>
      </c>
      <c r="B244" s="4">
        <f ca="1"/>
        <v>0.64067796610169503</v>
      </c>
      <c r="C244" s="4">
        <f ca="1"/>
        <v>6.0499999999999998E-2</v>
      </c>
      <c r="D244" s="4">
        <f ca="1"/>
        <v>2.7821229531743752</v>
      </c>
      <c r="E244" s="4">
        <f ca="1"/>
        <v>32.887101407641474</v>
      </c>
      <c r="F244" s="4">
        <f ca="1"/>
        <v>-2482.0453892559613</v>
      </c>
      <c r="G244">
        <f ca="1"/>
        <v>0</v>
      </c>
      <c r="H244">
        <f ca="1"/>
        <v>2.7821229531743752</v>
      </c>
      <c r="I244">
        <f ca="1"/>
        <v>4.6284357928162156E-3</v>
      </c>
      <c r="J244">
        <f ca="1"/>
        <v>-5.5045883885939482E-3</v>
      </c>
      <c r="K244">
        <f ca="1"/>
        <v>0</v>
      </c>
      <c r="L244">
        <f ca="1"/>
        <v>-0.40811190499786426</v>
      </c>
      <c r="M244">
        <f ca="1"/>
        <v>-11.487987719026748</v>
      </c>
      <c r="N244">
        <f ca="1"/>
        <v>-2.9767752693255307</v>
      </c>
      <c r="O244">
        <f ca="1"/>
        <v>0</v>
      </c>
      <c r="P244">
        <f ca="1"/>
        <v>-14.872874893350144</v>
      </c>
      <c r="Q244">
        <f ca="1"/>
        <v>1176.8753256462742</v>
      </c>
    </row>
    <row r="245" spans="1:17">
      <c r="A245" s="2">
        <f ca="1"/>
        <v>244</v>
      </c>
      <c r="B245" s="4">
        <f ca="1"/>
        <v>0.64745762711864407</v>
      </c>
      <c r="C245" s="4">
        <f ca="1"/>
        <v>6.0749999999999998E-2</v>
      </c>
      <c r="D245" s="4">
        <f ca="1"/>
        <v>2.7902671646078714</v>
      </c>
      <c r="E245" s="4">
        <f ca="1"/>
        <v>32.266590060327488</v>
      </c>
      <c r="F245" s="4">
        <f ca="1"/>
        <v>-2482.0453892559613</v>
      </c>
      <c r="G245">
        <f ca="1"/>
        <v>0</v>
      </c>
      <c r="H245">
        <f ca="1"/>
        <v>2.7902671646078714</v>
      </c>
      <c r="I245">
        <f ca="1"/>
        <v>4.5840824647789416E-3</v>
      </c>
      <c r="J245">
        <f ca="1"/>
        <v>-5.3881555370641513E-3</v>
      </c>
      <c r="K245">
        <f ca="1"/>
        <v>0</v>
      </c>
      <c r="L245">
        <f ca="1"/>
        <v>-0.4019085829760719</v>
      </c>
      <c r="M245">
        <f ca="1"/>
        <v>-11.377900745673674</v>
      </c>
      <c r="N245">
        <f ca="1"/>
        <v>-2.8048928224947849</v>
      </c>
      <c r="O245">
        <f ca="1"/>
        <v>0</v>
      </c>
      <c r="P245">
        <f ca="1"/>
        <v>-14.58470215114453</v>
      </c>
      <c r="Q245">
        <f ca="1"/>
        <v>1129.6119265639807</v>
      </c>
    </row>
    <row r="246" spans="1:17">
      <c r="A246" s="2">
        <f ca="1"/>
        <v>245</v>
      </c>
      <c r="B246" s="4">
        <f ca="1"/>
        <v>0.65423728813559334</v>
      </c>
      <c r="C246" s="4">
        <f ca="1"/>
        <v>6.0999999999999999E-2</v>
      </c>
      <c r="D246" s="4">
        <f ca="1"/>
        <v>2.798256248204539</v>
      </c>
      <c r="E246" s="4">
        <f ca="1"/>
        <v>31.646078713013495</v>
      </c>
      <c r="F246" s="4">
        <f ca="1"/>
        <v>-2482.0453892559613</v>
      </c>
      <c r="G246">
        <f ca="1"/>
        <v>0</v>
      </c>
      <c r="H246">
        <f ca="1"/>
        <v>2.798256248204539</v>
      </c>
      <c r="I246">
        <f ca="1"/>
        <v>4.541496115368979E-3</v>
      </c>
      <c r="J246">
        <f ca="1"/>
        <v>-5.2725536558076843E-3</v>
      </c>
      <c r="K246">
        <f ca="1"/>
        <v>0</v>
      </c>
      <c r="L246">
        <f ca="1"/>
        <v>-0.39570595127066882</v>
      </c>
      <c r="M246">
        <f ca="1"/>
        <v>-11.272199493475433</v>
      </c>
      <c r="N246">
        <f ca="1"/>
        <v>-2.6401634853220504</v>
      </c>
      <c r="O246">
        <f ca="1"/>
        <v>0</v>
      </c>
      <c r="P246">
        <f ca="1"/>
        <v>-14.308068930068153</v>
      </c>
      <c r="Q246">
        <f ca="1"/>
        <v>1083.4399855177733</v>
      </c>
    </row>
    <row r="247" spans="1:17">
      <c r="A247" s="2">
        <f ca="1"/>
        <v>246</v>
      </c>
      <c r="B247" s="4">
        <f ca="1"/>
        <v>0.66101694915254239</v>
      </c>
      <c r="C247" s="4">
        <f ca="1"/>
        <v>6.1249999999999999E-2</v>
      </c>
      <c r="D247" s="4">
        <f ca="1"/>
        <v>2.806090203964378</v>
      </c>
      <c r="E247" s="4">
        <f ca="1"/>
        <v>31.025567365699516</v>
      </c>
      <c r="F247" s="4">
        <f ca="1"/>
        <v>-2482.0453892559613</v>
      </c>
      <c r="G247">
        <f ca="1"/>
        <v>0</v>
      </c>
      <c r="H247">
        <f ca="1"/>
        <v>2.806090203964378</v>
      </c>
      <c r="I247">
        <f ca="1"/>
        <v>4.5006379489925426E-3</v>
      </c>
      <c r="J247">
        <f ca="1"/>
        <v>-5.1582229445134879E-3</v>
      </c>
      <c r="K247">
        <f ca="1"/>
        <v>0</v>
      </c>
      <c r="L247">
        <f ca="1"/>
        <v>-0.38957833025585814</v>
      </c>
      <c r="M247">
        <f ca="1"/>
        <v>-11.170787670007346</v>
      </c>
      <c r="N247">
        <f ca="1"/>
        <v>-2.4826161581224384</v>
      </c>
      <c r="O247">
        <f ca="1"/>
        <v>0</v>
      </c>
      <c r="P247">
        <f ca="1"/>
        <v>-14.042982158385643</v>
      </c>
      <c r="Q247">
        <f ca="1"/>
        <v>1038.4516964045138</v>
      </c>
    </row>
    <row r="248" spans="1:17">
      <c r="A248" s="2">
        <f ca="1"/>
        <v>247</v>
      </c>
      <c r="B248" s="4">
        <f ca="1"/>
        <v>0.66779661016949166</v>
      </c>
      <c r="C248" s="4">
        <f ca="1"/>
        <v>6.1499999999999999E-2</v>
      </c>
      <c r="D248" s="4">
        <f ca="1"/>
        <v>2.8137690318873889</v>
      </c>
      <c r="E248" s="4">
        <f ca="1"/>
        <v>30.405056018385512</v>
      </c>
      <c r="F248" s="4">
        <f ca="1"/>
        <v>-2482.0453892559613</v>
      </c>
      <c r="G248">
        <f ca="1"/>
        <v>0</v>
      </c>
      <c r="H248">
        <f ca="1"/>
        <v>2.8137690318873889</v>
      </c>
      <c r="I248">
        <f ca="1"/>
        <v>4.4614642831787513E-3</v>
      </c>
      <c r="J248">
        <f ca="1"/>
        <v>-5.0446071691133583E-3</v>
      </c>
      <c r="K248">
        <f ca="1"/>
        <v>0</v>
      </c>
      <c r="L248">
        <f ca="1"/>
        <v>-0.38349871224108478</v>
      </c>
      <c r="M248">
        <f ca="1"/>
        <v>-11.073556853393972</v>
      </c>
      <c r="N248">
        <f ca="1"/>
        <v>-2.3317875162308388</v>
      </c>
      <c r="O248">
        <f ca="1"/>
        <v>0</v>
      </c>
      <c r="P248">
        <f ca="1"/>
        <v>-13.788843081865895</v>
      </c>
      <c r="Q248">
        <f ca="1"/>
        <v>994.53519659320739</v>
      </c>
    </row>
    <row r="249" spans="1:17">
      <c r="A249" s="2">
        <f ca="1"/>
        <v>248</v>
      </c>
      <c r="B249" s="4">
        <f ca="1"/>
        <v>0.6745762711864407</v>
      </c>
      <c r="C249" s="4">
        <f ca="1"/>
        <v>6.1749999999999999E-2</v>
      </c>
      <c r="D249" s="4">
        <f ca="1"/>
        <v>2.8212927319735708</v>
      </c>
      <c r="E249" s="4">
        <f ca="1"/>
        <v>29.784544671071533</v>
      </c>
      <c r="F249" s="4">
        <f ca="1"/>
        <v>-2482.0453892559613</v>
      </c>
      <c r="G249">
        <f ca="1"/>
        <v>0</v>
      </c>
      <c r="H249">
        <f ca="1"/>
        <v>2.8212927319735708</v>
      </c>
      <c r="I249">
        <f ca="1"/>
        <v>4.4239339574675919E-3</v>
      </c>
      <c r="J249">
        <f ca="1"/>
        <v>-4.9324640394315241E-3</v>
      </c>
      <c r="K249">
        <f ca="1"/>
        <v>0</v>
      </c>
      <c r="L249">
        <f ca="1"/>
        <v>-0.37746814574730614</v>
      </c>
      <c r="M249">
        <f ca="1"/>
        <v>-10.980404881505315</v>
      </c>
      <c r="N249">
        <f ca="1"/>
        <v>-2.1878415328364174</v>
      </c>
      <c r="O249">
        <f ca="1"/>
        <v>0</v>
      </c>
      <c r="P249">
        <f ca="1"/>
        <v>-13.545714560089039</v>
      </c>
      <c r="Q249">
        <f ca="1"/>
        <v>951.16271388496102</v>
      </c>
    </row>
    <row r="250" spans="1:17">
      <c r="A250" s="2">
        <f ca="1"/>
        <v>249</v>
      </c>
      <c r="B250" s="4">
        <f ca="1"/>
        <v>0.68135593220338997</v>
      </c>
      <c r="C250" s="4">
        <f ca="1"/>
        <v>6.2E-2</v>
      </c>
      <c r="D250" s="4">
        <f ca="1"/>
        <v>2.8286613042229245</v>
      </c>
      <c r="E250" s="4">
        <f ca="1"/>
        <v>29.164033323757529</v>
      </c>
      <c r="F250" s="4">
        <f ca="1"/>
        <v>-2482.0453892559613</v>
      </c>
      <c r="G250">
        <f ca="1"/>
        <v>0</v>
      </c>
      <c r="H250">
        <f ca="1"/>
        <v>2.8286613042229245</v>
      </c>
      <c r="I250">
        <f ca="1"/>
        <v>4.387994975852144E-3</v>
      </c>
      <c r="J250">
        <f ca="1"/>
        <v>-4.8216836767622428E-3</v>
      </c>
      <c r="K250">
        <f ca="1"/>
        <v>0</v>
      </c>
      <c r="L250">
        <f ca="1"/>
        <v>-0.37153958540843157</v>
      </c>
      <c r="M250">
        <f ca="1"/>
        <v>-10.891202697892137</v>
      </c>
      <c r="N250">
        <f ca="1"/>
        <v>-2.0505194416228463</v>
      </c>
      <c r="O250">
        <f ca="1"/>
        <v>0</v>
      </c>
      <c r="P250">
        <f ca="1"/>
        <v>-13.313261724923414</v>
      </c>
      <c r="Q250">
        <f ca="1"/>
        <v>909.24342629384034</v>
      </c>
    </row>
    <row r="251" spans="1:17">
      <c r="A251" s="2">
        <f ca="1"/>
        <v>250</v>
      </c>
      <c r="B251" s="4">
        <f ca="1"/>
        <v>0.68813559322033901</v>
      </c>
      <c r="C251" s="4">
        <f ca="1"/>
        <v>6.225E-2</v>
      </c>
      <c r="D251" s="4">
        <f ca="1"/>
        <v>2.8358747486354496</v>
      </c>
      <c r="E251" s="4">
        <f ca="1"/>
        <v>28.54352197644355</v>
      </c>
      <c r="F251" s="4">
        <f ca="1"/>
        <v>-2482.0453892559613</v>
      </c>
      <c r="G251">
        <f ca="1"/>
        <v>0</v>
      </c>
      <c r="H251">
        <f ca="1"/>
        <v>2.8358747486354496</v>
      </c>
      <c r="I251">
        <f ca="1"/>
        <v>4.3536069688191363E-3</v>
      </c>
      <c r="J251">
        <f ca="1"/>
        <v>-4.712260541316628E-3</v>
      </c>
      <c r="K251">
        <f ca="1"/>
        <v>0</v>
      </c>
      <c r="L251">
        <f ca="1"/>
        <v>-0.36562649168645817</v>
      </c>
      <c r="M251">
        <f ca="1"/>
        <v>-10.805850103590158</v>
      </c>
      <c r="N251">
        <f ca="1"/>
        <v>-1.9196162516655018</v>
      </c>
      <c r="O251">
        <f ca="1"/>
        <v>0</v>
      </c>
      <c r="P251">
        <f ca="1"/>
        <v>-13.091092846942118</v>
      </c>
      <c r="Q251">
        <f ca="1"/>
        <v>868.42722756466901</v>
      </c>
    </row>
    <row r="252" spans="1:17">
      <c r="A252" s="2">
        <f ca="1"/>
        <v>251</v>
      </c>
      <c r="B252" s="4">
        <f ca="1"/>
        <v>0.69491525423728828</v>
      </c>
      <c r="C252" s="4">
        <f ca="1"/>
        <v>6.25E-2</v>
      </c>
      <c r="D252" s="4">
        <f ca="1"/>
        <v>2.8429330652111462</v>
      </c>
      <c r="E252" s="4">
        <f ca="1"/>
        <v>27.923010629129546</v>
      </c>
      <c r="F252" s="4">
        <f ca="1"/>
        <v>-2482.0453892559613</v>
      </c>
      <c r="G252">
        <f ca="1"/>
        <v>0</v>
      </c>
      <c r="H252">
        <f ca="1"/>
        <v>2.8429330652111462</v>
      </c>
      <c r="I252">
        <f ca="1"/>
        <v>4.3207253129924992E-3</v>
      </c>
      <c r="J252">
        <f ca="1"/>
        <v>-4.6042934931575892E-3</v>
      </c>
      <c r="K252">
        <f ca="1"/>
        <v>0</v>
      </c>
      <c r="L252">
        <f ca="1"/>
        <v>-0.35984056127033376</v>
      </c>
      <c r="M252">
        <f ca="1"/>
        <v>-10.724236341354553</v>
      </c>
      <c r="N252">
        <f ca="1"/>
        <v>-1.7949712085161924</v>
      </c>
      <c r="O252">
        <f ca="1"/>
        <v>0</v>
      </c>
      <c r="P252">
        <f ca="1"/>
        <v>-12.87904811114108</v>
      </c>
      <c r="Q252">
        <f ca="1"/>
        <v>828.24995284317924</v>
      </c>
    </row>
    <row r="253" spans="1:17">
      <c r="A253" s="2">
        <f ca="1"/>
        <v>252</v>
      </c>
      <c r="B253" s="4">
        <f ca="1"/>
        <v>0.70169491525423733</v>
      </c>
      <c r="C253" s="4">
        <f ca="1"/>
        <v>6.275E-2</v>
      </c>
      <c r="D253" s="4">
        <f ca="1"/>
        <v>2.8498362539500146</v>
      </c>
      <c r="E253" s="4">
        <f ca="1"/>
        <v>27.302499281815567</v>
      </c>
      <c r="F253" s="4">
        <f ca="1"/>
        <v>-2482.0453892559613</v>
      </c>
      <c r="G253">
        <f ca="1"/>
        <v>0</v>
      </c>
      <c r="H253">
        <f ca="1"/>
        <v>2.8498362539500146</v>
      </c>
      <c r="I253">
        <f ca="1"/>
        <v>4.2893062765295507E-3</v>
      </c>
      <c r="J253">
        <f ca="1"/>
        <v>-4.4984112261630543E-3</v>
      </c>
      <c r="K253">
        <f ca="1"/>
        <v>0</v>
      </c>
      <c r="L253">
        <f ca="1"/>
        <v>-0.35409760996233247</v>
      </c>
      <c r="M253">
        <f ca="1"/>
        <v>-10.646252866766826</v>
      </c>
      <c r="N253">
        <f ca="1"/>
        <v>-1.6766173937913691</v>
      </c>
      <c r="O253">
        <f ca="1"/>
        <v>0</v>
      </c>
      <c r="P253">
        <f ca="1"/>
        <v>-12.676967870520528</v>
      </c>
      <c r="Q253">
        <f ca="1"/>
        <v>789.54926773366833</v>
      </c>
    </row>
    <row r="254" spans="1:17">
      <c r="A254" s="2">
        <f ca="1"/>
        <v>253</v>
      </c>
      <c r="B254" s="4">
        <f ca="1"/>
        <v>0.7084745762711866</v>
      </c>
      <c r="C254" s="4">
        <f ca="1"/>
        <v>6.3E-2</v>
      </c>
      <c r="D254" s="4">
        <f ca="1"/>
        <v>2.856584314852054</v>
      </c>
      <c r="E254" s="4">
        <f ca="1"/>
        <v>26.681987934501567</v>
      </c>
      <c r="F254" s="4">
        <f ca="1"/>
        <v>-2482.0453892559613</v>
      </c>
      <c r="G254">
        <f ca="1"/>
        <v>0</v>
      </c>
      <c r="H254">
        <f ca="1"/>
        <v>2.856584314852054</v>
      </c>
      <c r="I254">
        <f ca="1"/>
        <v>4.2593050827425174E-3</v>
      </c>
      <c r="J254">
        <f ca="1"/>
        <v>-4.393794450564233E-3</v>
      </c>
      <c r="K254">
        <f ca="1"/>
        <v>0</v>
      </c>
      <c r="L254">
        <f ca="1"/>
        <v>-0.34845123260665795</v>
      </c>
      <c r="M254">
        <f ca="1"/>
        <v>-10.571788542055545</v>
      </c>
      <c r="N254">
        <f ca="1"/>
        <v>-1.5640337026120419</v>
      </c>
      <c r="O254">
        <f ca="1"/>
        <v>0</v>
      </c>
      <c r="P254">
        <f ca="1"/>
        <v>-12.484273477274245</v>
      </c>
      <c r="Q254">
        <f ca="1"/>
        <v>752.11583783737558</v>
      </c>
    </row>
    <row r="255" spans="1:17">
      <c r="A255" s="2">
        <f ca="1"/>
        <v>254</v>
      </c>
      <c r="B255" s="4">
        <f ca="1"/>
        <v>0.71525423728813564</v>
      </c>
      <c r="C255" s="4">
        <f ca="1"/>
        <v>6.3250000000000001E-2</v>
      </c>
      <c r="D255" s="4">
        <f ca="1"/>
        <v>2.8631772479172652</v>
      </c>
      <c r="E255" s="4">
        <f ca="1"/>
        <v>26.061476587187588</v>
      </c>
      <c r="F255" s="4">
        <f ca="1"/>
        <v>-2482.0453892559613</v>
      </c>
      <c r="G255">
        <f ca="1"/>
        <v>0</v>
      </c>
      <c r="H255">
        <f ca="1"/>
        <v>2.8631772479172652</v>
      </c>
      <c r="I255">
        <f ca="1"/>
        <v>4.2306756565263642E-3</v>
      </c>
      <c r="J255">
        <f ca="1"/>
        <v>-4.2911022465576196E-3</v>
      </c>
      <c r="K255">
        <f ca="1"/>
        <v>0</v>
      </c>
      <c r="L255">
        <f ca="1"/>
        <v>-0.34292141635728285</v>
      </c>
      <c r="M255">
        <f ca="1"/>
        <v>-10.5007290067187</v>
      </c>
      <c r="N255">
        <f ca="1"/>
        <v>-1.4572595285258563</v>
      </c>
      <c r="O255">
        <f ca="1"/>
        <v>0</v>
      </c>
      <c r="P255">
        <f ca="1"/>
        <v>-12.30090995160184</v>
      </c>
      <c r="Q255">
        <f ca="1"/>
        <v>715.52979291779843</v>
      </c>
    </row>
    <row r="256" spans="1:17">
      <c r="A256" s="2">
        <f ca="1"/>
        <v>255</v>
      </c>
      <c r="B256" s="4">
        <f ca="1"/>
        <v>0.72203389830508491</v>
      </c>
      <c r="C256" s="4">
        <f ca="1"/>
        <v>6.3500000000000001E-2</v>
      </c>
      <c r="D256" s="4">
        <f ca="1"/>
        <v>2.8696150531456479</v>
      </c>
      <c r="E256" s="4">
        <f ca="1"/>
        <v>25.440965239873588</v>
      </c>
      <c r="F256" s="4">
        <f ca="1"/>
        <v>-2482.0453892559613</v>
      </c>
      <c r="G256">
        <f ca="1"/>
        <v>0</v>
      </c>
      <c r="H256">
        <f ca="1"/>
        <v>2.8696150531456479</v>
      </c>
      <c r="I256">
        <f ca="1"/>
        <v>4.2033712255126372E-3</v>
      </c>
      <c r="J256">
        <f ca="1"/>
        <v>-4.1904452543971606E-3</v>
      </c>
      <c r="K256">
        <f ca="1"/>
        <v>0</v>
      </c>
      <c r="L256">
        <f ca="1"/>
        <v>-0.33743283502379945</v>
      </c>
      <c r="M256">
        <f ca="1"/>
        <v>-10.432958169614821</v>
      </c>
      <c r="N256">
        <f ca="1"/>
        <v>-1.3561175761767246</v>
      </c>
      <c r="O256">
        <f ca="1"/>
        <v>0</v>
      </c>
      <c r="P256">
        <f ca="1"/>
        <v>-12.126508580815345</v>
      </c>
      <c r="Q256">
        <f ca="1"/>
        <v>680.30617733248221</v>
      </c>
    </row>
    <row r="257" spans="1:17">
      <c r="A257" s="2">
        <f ca="1"/>
        <v>256</v>
      </c>
      <c r="B257" s="4">
        <f ca="1"/>
        <v>0.72881355932203395</v>
      </c>
      <c r="C257" s="4">
        <f ca="1"/>
        <v>6.3750000000000001E-2</v>
      </c>
      <c r="D257" s="4">
        <f ca="1"/>
        <v>2.875897730537202</v>
      </c>
      <c r="E257" s="4">
        <f ca="1"/>
        <v>24.820453892559605</v>
      </c>
      <c r="F257" s="4">
        <f ca="1"/>
        <v>-2482.0453892559613</v>
      </c>
      <c r="G257">
        <f ca="1"/>
        <v>0</v>
      </c>
      <c r="H257">
        <f ca="1"/>
        <v>2.875897730537202</v>
      </c>
      <c r="I257">
        <f ca="1"/>
        <v>4.1773554154322023E-3</v>
      </c>
      <c r="J257">
        <f ca="1"/>
        <v>-4.0915007471349117E-3</v>
      </c>
      <c r="K257">
        <f ca="1"/>
        <v>0</v>
      </c>
      <c r="L257">
        <f ca="1"/>
        <v>-0.33207650866220728</v>
      </c>
      <c r="M257">
        <f ca="1"/>
        <v>-10.368385748156918</v>
      </c>
      <c r="N257">
        <f ca="1"/>
        <v>-1.2602946061164728</v>
      </c>
      <c r="O257">
        <f ca="1"/>
        <v>0</v>
      </c>
      <c r="P257">
        <f ca="1"/>
        <v>-11.960756862935598</v>
      </c>
      <c r="Q257">
        <f ca="1"/>
        <v>646.13974130302711</v>
      </c>
    </row>
    <row r="258" spans="1:17">
      <c r="A258" s="2">
        <f ca="1"/>
        <v>257</v>
      </c>
      <c r="B258" s="4">
        <f ca="1"/>
        <v>0.73559322033898322</v>
      </c>
      <c r="C258" s="4">
        <f ca="1"/>
        <v>6.4000000000000001E-2</v>
      </c>
      <c r="D258" s="4">
        <f ca="1"/>
        <v>2.8820252800919279</v>
      </c>
      <c r="E258" s="4">
        <f ca="1"/>
        <v>24.199942545245605</v>
      </c>
      <c r="F258" s="4">
        <f ca="1"/>
        <v>-2482.0453892559613</v>
      </c>
      <c r="G258">
        <f ca="1"/>
        <v>0</v>
      </c>
      <c r="H258">
        <f ca="1"/>
        <v>2.8820252800919279</v>
      </c>
      <c r="I258">
        <f ca="1"/>
        <v>4.152581264116907E-3</v>
      </c>
      <c r="J258">
        <f ca="1"/>
        <v>-3.9947041020723401E-3</v>
      </c>
      <c r="K258">
        <f ca="1"/>
        <v>0</v>
      </c>
      <c r="L258">
        <f ca="1"/>
        <v>-0.32681982913313845</v>
      </c>
      <c r="M258">
        <f ca="1"/>
        <v>-10.306895180112059</v>
      </c>
      <c r="N258">
        <f ca="1"/>
        <v>-1.1697237009186339</v>
      </c>
      <c r="O258">
        <f ca="1"/>
        <v>0</v>
      </c>
      <c r="P258">
        <f ca="1"/>
        <v>-11.803438710163832</v>
      </c>
      <c r="Q258">
        <f ca="1"/>
        <v>613.2193731678542</v>
      </c>
    </row>
    <row r="259" spans="1:17">
      <c r="A259" s="2">
        <f ca="1"/>
        <v>258</v>
      </c>
      <c r="B259" s="4">
        <f ca="1"/>
        <v>0.74237288135593227</v>
      </c>
      <c r="C259" s="4">
        <f ca="1"/>
        <v>6.4250000000000002E-2</v>
      </c>
      <c r="D259" s="4">
        <f ca="1"/>
        <v>2.8879977018098248</v>
      </c>
      <c r="E259" s="4">
        <f ca="1"/>
        <v>23.579431197931623</v>
      </c>
      <c r="F259" s="4">
        <f ca="1"/>
        <v>-2482.0453892559613</v>
      </c>
      <c r="G259">
        <f ca="1"/>
        <v>0</v>
      </c>
      <c r="H259">
        <f ca="1"/>
        <v>2.8879977018098248</v>
      </c>
      <c r="I259">
        <f ca="1"/>
        <v>4.129006564673513E-3</v>
      </c>
      <c r="J259">
        <f ca="1"/>
        <v>-3.8998022910906151E-3</v>
      </c>
      <c r="K259">
        <f ca="1"/>
        <v>0</v>
      </c>
      <c r="L259">
        <f ca="1"/>
        <v>-0.32164075988741153</v>
      </c>
      <c r="M259">
        <f ca="1"/>
        <v>-10.248381706055488</v>
      </c>
      <c r="N259">
        <f ca="1"/>
        <v>-1.0841247104087703</v>
      </c>
      <c r="O259">
        <f ca="1"/>
        <v>0</v>
      </c>
      <c r="P259">
        <f ca="1"/>
        <v>-11.654147176351671</v>
      </c>
      <c r="Q259">
        <f ca="1"/>
        <v>581.4293266561665</v>
      </c>
    </row>
    <row r="260" spans="1:17">
      <c r="A260" s="2">
        <f ca="1"/>
        <v>259</v>
      </c>
      <c r="B260" s="4">
        <f ca="1"/>
        <v>0.74915254237288154</v>
      </c>
      <c r="C260" s="4">
        <f ca="1"/>
        <v>6.4500000000000002E-2</v>
      </c>
      <c r="D260" s="4">
        <f ca="1"/>
        <v>2.8938149956908936</v>
      </c>
      <c r="E260" s="4">
        <f ca="1"/>
        <v>22.958919850617622</v>
      </c>
      <c r="F260" s="4">
        <f ca="1"/>
        <v>-2482.0453892559613</v>
      </c>
      <c r="G260">
        <f ca="1"/>
        <v>0</v>
      </c>
      <c r="H260">
        <f ca="1"/>
        <v>2.8938149956908936</v>
      </c>
      <c r="I260">
        <f ca="1"/>
        <v>4.1065850239580138E-3</v>
      </c>
      <c r="J260">
        <f ca="1"/>
        <v>-3.8071506976369248E-3</v>
      </c>
      <c r="K260">
        <f ca="1"/>
        <v>0</v>
      </c>
      <c r="L260">
        <f ca="1"/>
        <v>-0.31659621192079412</v>
      </c>
      <c r="M260">
        <f ca="1"/>
        <v>-10.192730424302569</v>
      </c>
      <c r="N260">
        <f ca="1"/>
        <v>-1.0033974106123849</v>
      </c>
      <c r="O260">
        <f ca="1"/>
        <v>0</v>
      </c>
      <c r="P260">
        <f ca="1"/>
        <v>-11.512724046835748</v>
      </c>
      <c r="Q260">
        <f ca="1"/>
        <v>550.69591329214825</v>
      </c>
    </row>
    <row r="261" spans="1:17">
      <c r="A261" s="2">
        <f ca="1"/>
        <v>260</v>
      </c>
      <c r="B261" s="4">
        <f ca="1"/>
        <v>0.75593220338983058</v>
      </c>
      <c r="C261" s="4">
        <f ca="1"/>
        <v>6.4750000000000002E-2</v>
      </c>
      <c r="D261" s="4">
        <f ca="1"/>
        <v>2.8994771617351338</v>
      </c>
      <c r="E261" s="4">
        <f ca="1"/>
        <v>22.338408503303643</v>
      </c>
      <c r="F261" s="4">
        <f ca="1"/>
        <v>-2482.0453892559613</v>
      </c>
      <c r="G261">
        <f ca="1"/>
        <v>0</v>
      </c>
      <c r="H261">
        <f ca="1"/>
        <v>2.8994771617351338</v>
      </c>
      <c r="I261">
        <f ca="1"/>
        <v>4.0852888415931089E-3</v>
      </c>
      <c r="J261">
        <f ca="1"/>
        <v>-3.7164818946587579E-3</v>
      </c>
      <c r="K261">
        <f ca="1"/>
        <v>0</v>
      </c>
      <c r="L261">
        <f ca="1"/>
        <v>-0.3116563021427543</v>
      </c>
      <c r="M261">
        <f ca="1"/>
        <v>-10.139872333055003</v>
      </c>
      <c r="N261">
        <f ca="1"/>
        <v>-0.92727058450783895</v>
      </c>
      <c r="O261">
        <f ca="1"/>
        <v>0</v>
      </c>
      <c r="P261">
        <f ca="1"/>
        <v>-11.378799219705597</v>
      </c>
      <c r="Q261">
        <f ca="1"/>
        <v>521.21971040169819</v>
      </c>
    </row>
    <row r="262" spans="1:17">
      <c r="A262" s="2">
        <f ca="1"/>
        <v>261</v>
      </c>
      <c r="B262" s="4">
        <f ca="1"/>
        <v>0.76271186440677985</v>
      </c>
      <c r="C262" s="4">
        <f ca="1"/>
        <v>6.5000000000000002E-2</v>
      </c>
      <c r="D262" s="4">
        <f ca="1"/>
        <v>2.9049841999425454</v>
      </c>
      <c r="E262" s="4">
        <f ca="1"/>
        <v>21.717897155989643</v>
      </c>
      <c r="F262" s="4">
        <f ca="1"/>
        <v>-2482.0453892559613</v>
      </c>
      <c r="G262">
        <f ca="1"/>
        <v>0</v>
      </c>
      <c r="H262">
        <f ca="1"/>
        <v>2.9049841999425454</v>
      </c>
      <c r="I262">
        <f ca="1"/>
        <v>4.0650661159040225E-3</v>
      </c>
      <c r="J262">
        <f ca="1"/>
        <v>-3.6281039748885008E-3</v>
      </c>
      <c r="K262">
        <f ca="1"/>
        <v>0</v>
      </c>
      <c r="L262">
        <f ca="1"/>
        <v>-0.30680701969290408</v>
      </c>
      <c r="M262">
        <f ca="1"/>
        <v>-10.089678610000218</v>
      </c>
      <c r="N262">
        <f ca="1"/>
        <v>-0.85562856194177572</v>
      </c>
      <c r="O262">
        <f ca="1"/>
        <v>0</v>
      </c>
      <c r="P262">
        <f ca="1"/>
        <v>-11.252114191634899</v>
      </c>
      <c r="Q262">
        <f ca="1"/>
        <v>492.76944039171468</v>
      </c>
    </row>
    <row r="263" spans="1:17">
      <c r="A263" s="2">
        <f ca="1"/>
        <v>262</v>
      </c>
      <c r="B263" s="4">
        <f ca="1"/>
        <v>0.76949152542372889</v>
      </c>
      <c r="C263" s="4">
        <f ca="1"/>
        <v>6.5250000000000002E-2</v>
      </c>
      <c r="D263" s="4">
        <f ca="1"/>
        <v>2.9103361103131284</v>
      </c>
      <c r="E263" s="4">
        <f ca="1"/>
        <v>21.097385808675661</v>
      </c>
      <c r="F263" s="4">
        <f ca="1"/>
        <v>-2482.0453892559613</v>
      </c>
      <c r="G263">
        <f ca="1"/>
        <v>0</v>
      </c>
      <c r="H263">
        <f ca="1"/>
        <v>2.9103361103131284</v>
      </c>
      <c r="I263">
        <f ca="1"/>
        <v>4.0458793595965943E-3</v>
      </c>
      <c r="J263">
        <f ca="1"/>
        <v>-3.5419658746609285E-3</v>
      </c>
      <c r="K263">
        <f ca="1"/>
        <v>0</v>
      </c>
      <c r="L263">
        <f ca="1"/>
        <v>-0.30209433674868358</v>
      </c>
      <c r="M263">
        <f ca="1"/>
        <v>-10.042056209972587</v>
      </c>
      <c r="N263">
        <f ca="1"/>
        <v>-0.78826395278846728</v>
      </c>
      <c r="O263">
        <f ca="1"/>
        <v>0</v>
      </c>
      <c r="P263">
        <f ca="1"/>
        <v>-11.132414499509739</v>
      </c>
      <c r="Q263">
        <f ca="1"/>
        <v>465.41687884785034</v>
      </c>
    </row>
    <row r="264" spans="1:17">
      <c r="A264" s="2">
        <f ca="1"/>
        <v>263</v>
      </c>
      <c r="B264" s="4">
        <f ca="1"/>
        <v>0.77627118644067816</v>
      </c>
      <c r="C264" s="4">
        <f ca="1"/>
        <v>6.5500000000000003E-2</v>
      </c>
      <c r="D264" s="4">
        <f ca="1"/>
        <v>2.9155328928468833</v>
      </c>
      <c r="E264" s="4">
        <f ca="1"/>
        <v>20.47687446136166</v>
      </c>
      <c r="F264" s="4">
        <f ca="1"/>
        <v>-2482.0453892559613</v>
      </c>
      <c r="G264">
        <f ca="1"/>
        <v>0</v>
      </c>
      <c r="H264">
        <f ca="1"/>
        <v>2.9155328928468833</v>
      </c>
      <c r="I264">
        <f ca="1"/>
        <v>4.0276904298071356E-3</v>
      </c>
      <c r="J264">
        <f ca="1"/>
        <v>-3.4580637050458328E-3</v>
      </c>
      <c r="K264">
        <f ca="1"/>
        <v>0</v>
      </c>
      <c r="L264">
        <f ca="1"/>
        <v>-0.29750810737459255</v>
      </c>
      <c r="M264">
        <f ca="1"/>
        <v>-9.9969104606531616</v>
      </c>
      <c r="N264">
        <f ca="1"/>
        <v>-0.72498718418321906</v>
      </c>
      <c r="O264">
        <f ca="1"/>
        <v>0</v>
      </c>
      <c r="P264">
        <f ca="1"/>
        <v>-11.019405752210973</v>
      </c>
      <c r="Q264">
        <f ca="1"/>
        <v>439.2702161262992</v>
      </c>
    </row>
    <row r="265" spans="1:17">
      <c r="A265" s="2">
        <f ca="1"/>
        <v>264</v>
      </c>
      <c r="B265" s="4">
        <f ca="1"/>
        <v>0.78305084745762721</v>
      </c>
      <c r="C265" s="4">
        <f ca="1"/>
        <v>6.5750000000000003E-2</v>
      </c>
      <c r="D265" s="4">
        <f ca="1"/>
        <v>2.9205745475438092</v>
      </c>
      <c r="E265" s="4">
        <f ca="1"/>
        <v>19.856363114047678</v>
      </c>
      <c r="F265" s="4">
        <f ca="1"/>
        <v>-2482.0453892559613</v>
      </c>
      <c r="G265">
        <f ca="1"/>
        <v>0</v>
      </c>
      <c r="H265">
        <f ca="1"/>
        <v>2.9205745475438092</v>
      </c>
      <c r="I265">
        <f ca="1"/>
        <v>4.0104613530729215E-3</v>
      </c>
      <c r="J265">
        <f ca="1"/>
        <v>-3.3764494248451631E-3</v>
      </c>
      <c r="K265">
        <f ca="1"/>
        <v>0</v>
      </c>
      <c r="L265">
        <f ca="1"/>
        <v>-0.29300721921187689</v>
      </c>
      <c r="M265">
        <f ca="1"/>
        <v>-9.9541471101838681</v>
      </c>
      <c r="N265">
        <f ca="1"/>
        <v>-0.66562506205084426</v>
      </c>
      <c r="O265">
        <f ca="1"/>
        <v>0</v>
      </c>
      <c r="P265">
        <f ca="1"/>
        <v>-10.912779391446589</v>
      </c>
      <c r="Q265">
        <f ca="1"/>
        <v>414.16466412576688</v>
      </c>
    </row>
    <row r="266" spans="1:17">
      <c r="A266" s="2">
        <f ca="1"/>
        <v>265</v>
      </c>
      <c r="B266" s="4">
        <f ca="1"/>
        <v>0.78983050847457648</v>
      </c>
      <c r="C266" s="4">
        <f ca="1"/>
        <v>6.6000000000000003E-2</v>
      </c>
      <c r="D266" s="4">
        <f ca="1"/>
        <v>2.9254610744039069</v>
      </c>
      <c r="E266" s="4">
        <f ca="1"/>
        <v>19.235851766733681</v>
      </c>
      <c r="F266" s="4">
        <f ca="1"/>
        <v>-2482.0453892559613</v>
      </c>
      <c r="G266">
        <f ca="1"/>
        <v>0</v>
      </c>
      <c r="H266">
        <f ca="1"/>
        <v>2.9254610744039069</v>
      </c>
      <c r="I266">
        <f ca="1"/>
        <v>3.9941534861699718E-3</v>
      </c>
      <c r="J266">
        <f ca="1"/>
        <v>-3.2971821215594874E-3</v>
      </c>
      <c r="K266">
        <f ca="1"/>
        <v>0</v>
      </c>
      <c r="L266">
        <f ca="1"/>
        <v>-0.28864481991570606</v>
      </c>
      <c r="M266">
        <f ca="1"/>
        <v>-9.9136702443288023</v>
      </c>
      <c r="N266">
        <f ca="1"/>
        <v>-0.61000835590358116</v>
      </c>
      <c r="O266">
        <f ca="1"/>
        <v>0</v>
      </c>
      <c r="P266">
        <f ca="1"/>
        <v>-10.81232342014809</v>
      </c>
      <c r="Q266">
        <f ca="1"/>
        <v>389.99602433629798</v>
      </c>
    </row>
    <row r="267" spans="1:17">
      <c r="A267" s="2">
        <f ca="1"/>
        <v>266</v>
      </c>
      <c r="B267" s="4">
        <f ca="1"/>
        <v>0.79661016949152552</v>
      </c>
      <c r="C267" s="4">
        <f ca="1"/>
        <v>6.6250000000000003E-2</v>
      </c>
      <c r="D267" s="4">
        <f ca="1"/>
        <v>2.930192473427176</v>
      </c>
      <c r="E267" s="4">
        <f ca="1"/>
        <v>18.615340419419699</v>
      </c>
      <c r="F267" s="4">
        <f ca="1"/>
        <v>-2482.0453892559613</v>
      </c>
      <c r="G267">
        <f ca="1"/>
        <v>0</v>
      </c>
      <c r="H267">
        <f ca="1"/>
        <v>2.930192473427176</v>
      </c>
      <c r="I267">
        <f ca="1"/>
        <v>3.9787343233495956E-3</v>
      </c>
      <c r="J267">
        <f ca="1"/>
        <v>-3.2202686061732723E-3</v>
      </c>
      <c r="K267">
        <f ca="1"/>
        <v>0</v>
      </c>
      <c r="L267">
        <f ca="1"/>
        <v>-0.28442090948608045</v>
      </c>
      <c r="M267">
        <f ca="1"/>
        <v>-9.8753991823443013</v>
      </c>
      <c r="N267">
        <f ca="1"/>
        <v>-0.55796128744805928</v>
      </c>
      <c r="O267">
        <f ca="1"/>
        <v>0</v>
      </c>
      <c r="P267">
        <f ca="1"/>
        <v>-10.71778137927844</v>
      </c>
      <c r="Q267">
        <f ca="1"/>
        <v>366.89295891118303</v>
      </c>
    </row>
    <row r="268" spans="1:17">
      <c r="A268" s="2">
        <f ca="1"/>
        <v>267</v>
      </c>
      <c r="B268" s="4">
        <f ca="1"/>
        <v>0.80338983050847479</v>
      </c>
      <c r="C268" s="4">
        <f ca="1"/>
        <v>6.6500000000000004E-2</v>
      </c>
      <c r="D268" s="4">
        <f ca="1"/>
        <v>2.934768744613617</v>
      </c>
      <c r="E268" s="4">
        <f ca="1"/>
        <v>17.994829072105698</v>
      </c>
      <c r="F268" s="4">
        <f ca="1"/>
        <v>-2482.0453892559613</v>
      </c>
      <c r="G268">
        <f ca="1"/>
        <v>0</v>
      </c>
      <c r="H268">
        <f ca="1"/>
        <v>2.934768744613617</v>
      </c>
      <c r="I268">
        <f ca="1"/>
        <v>3.9641714960783536E-3</v>
      </c>
      <c r="J268">
        <f ca="1"/>
        <v>-3.1457363391317527E-3</v>
      </c>
      <c r="K268">
        <f ca="1"/>
        <v>0</v>
      </c>
      <c r="L268">
        <f ca="1"/>
        <v>-0.28030682239995652</v>
      </c>
      <c r="M268">
        <f ca="1"/>
        <v>-9.8392535840611828</v>
      </c>
      <c r="N268">
        <f ca="1"/>
        <v>-0.50931653423135759</v>
      </c>
      <c r="O268">
        <f ca="1"/>
        <v>0</v>
      </c>
      <c r="P268">
        <f ca="1"/>
        <v>-10.628876940692498</v>
      </c>
      <c r="Q268">
        <f ca="1"/>
        <v>344.88523566422174</v>
      </c>
    </row>
    <row r="269" spans="1:17">
      <c r="A269" s="2">
        <f ca="1"/>
        <v>268</v>
      </c>
      <c r="B269" s="4">
        <f ca="1"/>
        <v>0.81016949152542383</v>
      </c>
      <c r="C269" s="4">
        <f ca="1"/>
        <v>6.6750000000000004E-2</v>
      </c>
      <c r="D269" s="4">
        <f ca="1"/>
        <v>2.939189887963229</v>
      </c>
      <c r="E269" s="4">
        <f ca="1"/>
        <v>17.37431772479172</v>
      </c>
      <c r="F269" s="4">
        <f ca="1"/>
        <v>-2482.0453892559613</v>
      </c>
      <c r="G269">
        <f ca="1"/>
        <v>0</v>
      </c>
      <c r="H269">
        <f ca="1"/>
        <v>2.939189887963229</v>
      </c>
      <c r="I269">
        <f ca="1"/>
        <v>3.9504176728683265E-3</v>
      </c>
      <c r="J269">
        <f ca="1"/>
        <v>-3.0736150880395358E-3</v>
      </c>
      <c r="K269">
        <f ca="1"/>
        <v>0</v>
      </c>
      <c r="L269">
        <f ca="1"/>
        <v>-0.27631143645163908</v>
      </c>
      <c r="M269">
        <f ca="1"/>
        <v>-9.8051159705780933</v>
      </c>
      <c r="N269">
        <f ca="1"/>
        <v>-0.4639113544165962</v>
      </c>
      <c r="O269">
        <f ca="1"/>
        <v>0</v>
      </c>
      <c r="P269">
        <f ca="1"/>
        <v>-10.545338761446329</v>
      </c>
      <c r="Q269">
        <f ca="1"/>
        <v>323.75884485990593</v>
      </c>
    </row>
    <row r="270" spans="1:17">
      <c r="A270" s="2">
        <f ca="1"/>
        <v>269</v>
      </c>
      <c r="B270" s="4">
        <f ca="1"/>
        <v>0.8169491525423731</v>
      </c>
      <c r="C270" s="4">
        <f ca="1"/>
        <v>6.7000000000000004E-2</v>
      </c>
      <c r="D270" s="4">
        <f ca="1"/>
        <v>2.9434559034760128</v>
      </c>
      <c r="E270" s="4">
        <f ca="1"/>
        <v>16.753806377477716</v>
      </c>
      <c r="F270" s="4">
        <f ca="1"/>
        <v>-2482.0453892559613</v>
      </c>
      <c r="G270">
        <f ca="1"/>
        <v>0</v>
      </c>
      <c r="H270">
        <f ca="1"/>
        <v>2.9434559034760128</v>
      </c>
      <c r="I270">
        <f ca="1"/>
        <v>3.9374595767367451E-3</v>
      </c>
      <c r="J270">
        <f ca="1"/>
        <v>-3.003939211948998E-3</v>
      </c>
      <c r="K270">
        <f ca="1"/>
        <v>0</v>
      </c>
      <c r="L270">
        <f ca="1"/>
        <v>-0.27245623948396402</v>
      </c>
      <c r="M270">
        <f ca="1"/>
        <v>-9.7729533878211665</v>
      </c>
      <c r="N270">
        <f ca="1"/>
        <v>-0.42158789095741456</v>
      </c>
      <c r="O270">
        <f ca="1"/>
        <v>0</v>
      </c>
      <c r="P270">
        <f ca="1"/>
        <v>-10.466997518262545</v>
      </c>
      <c r="Q270">
        <f ca="1"/>
        <v>303.54701905897457</v>
      </c>
    </row>
    <row r="271" spans="1:17">
      <c r="A271" s="2">
        <f ca="1"/>
        <v>270</v>
      </c>
      <c r="B271" s="4">
        <f ca="1"/>
        <v>0.82372881355932215</v>
      </c>
      <c r="C271" s="4">
        <f ca="1"/>
        <v>6.7250000000000004E-2</v>
      </c>
      <c r="D271" s="4">
        <f ca="1"/>
        <v>2.9475667911519681</v>
      </c>
      <c r="E271" s="4">
        <f ca="1"/>
        <v>16.133295030163737</v>
      </c>
      <c r="F271" s="4">
        <f ca="1"/>
        <v>-2482.0453892559613</v>
      </c>
      <c r="G271">
        <f ca="1"/>
        <v>0</v>
      </c>
      <c r="H271">
        <f ca="1"/>
        <v>2.9475667911519681</v>
      </c>
      <c r="I271">
        <f ca="1"/>
        <v>3.9252462581428425E-3</v>
      </c>
      <c r="J271">
        <f ca="1"/>
        <v>-2.9366830527429396E-3</v>
      </c>
      <c r="K271">
        <f ca="1"/>
        <v>0</v>
      </c>
      <c r="L271">
        <f ca="1"/>
        <v>-0.26874123149693174</v>
      </c>
      <c r="M271">
        <f ca="1"/>
        <v>-9.7426393767176567</v>
      </c>
      <c r="N271">
        <f ca="1"/>
        <v>-0.38218464370225302</v>
      </c>
      <c r="O271">
        <f ca="1"/>
        <v>0</v>
      </c>
      <c r="P271">
        <f ca="1"/>
        <v>-10.393565251916842</v>
      </c>
      <c r="Q271">
        <f ca="1"/>
        <v>284.34483562924106</v>
      </c>
    </row>
    <row r="272" spans="1:17">
      <c r="A272" s="2">
        <f ca="1"/>
        <v>271</v>
      </c>
      <c r="B272" s="4">
        <f ca="1"/>
        <v>0.83050847457627142</v>
      </c>
      <c r="C272" s="4">
        <f ca="1"/>
        <v>6.7500000000000004E-2</v>
      </c>
      <c r="D272" s="4">
        <f ca="1"/>
        <v>2.9515225509910947</v>
      </c>
      <c r="E272" s="4">
        <f ca="1"/>
        <v>15.512783682849737</v>
      </c>
      <c r="F272" s="4">
        <f ca="1"/>
        <v>-2482.0453892559613</v>
      </c>
      <c r="G272">
        <f ca="1"/>
        <v>0</v>
      </c>
      <c r="H272">
        <f ca="1"/>
        <v>2.9515225509910947</v>
      </c>
      <c r="I272">
        <f ca="1"/>
        <v>3.9137561533552426E-3</v>
      </c>
      <c r="J272">
        <f ca="1"/>
        <v>-2.871905437474375E-3</v>
      </c>
      <c r="K272">
        <f ca="1"/>
        <v>0</v>
      </c>
      <c r="L272">
        <f ca="1"/>
        <v>-0.26514775030828641</v>
      </c>
      <c r="M272">
        <f ca="1"/>
        <v>-9.7141204151075264</v>
      </c>
      <c r="N272">
        <f ca="1"/>
        <v>-0.34555693503211043</v>
      </c>
      <c r="O272">
        <f ca="1"/>
        <v>0</v>
      </c>
      <c r="P272">
        <f ca="1"/>
        <v>-10.324825100447924</v>
      </c>
      <c r="Q272">
        <f ca="1"/>
        <v>266.00596915321591</v>
      </c>
    </row>
    <row r="273" spans="1:17">
      <c r="A273" s="2">
        <f ca="1"/>
        <v>272</v>
      </c>
      <c r="B273" s="4">
        <f ca="1"/>
        <v>0.83728813559322046</v>
      </c>
      <c r="C273" s="4">
        <f ca="1"/>
        <v>6.7750000000000005E-2</v>
      </c>
      <c r="D273" s="4">
        <f ca="1"/>
        <v>2.9553231829933928</v>
      </c>
      <c r="E273" s="4">
        <f ca="1"/>
        <v>14.892272335535754</v>
      </c>
      <c r="F273" s="4">
        <f ca="1"/>
        <v>-2482.0453892559613</v>
      </c>
      <c r="G273">
        <f ca="1"/>
        <v>0</v>
      </c>
      <c r="H273">
        <f ca="1"/>
        <v>2.9553231829933928</v>
      </c>
      <c r="I273">
        <f ca="1"/>
        <v>3.9029622917437301E-3</v>
      </c>
      <c r="J273">
        <f ca="1"/>
        <v>-2.809603378506562E-3</v>
      </c>
      <c r="K273">
        <f ca="1"/>
        <v>0</v>
      </c>
      <c r="L273">
        <f ca="1"/>
        <v>-0.26167610367202976</v>
      </c>
      <c r="M273">
        <f ca="1"/>
        <v>-9.6873295606624055</v>
      </c>
      <c r="N273">
        <f ca="1"/>
        <v>-0.31155660300579774</v>
      </c>
      <c r="O273">
        <f ca="1"/>
        <v>0</v>
      </c>
      <c r="P273">
        <f ca="1"/>
        <v>-10.260562267340234</v>
      </c>
      <c r="Q273">
        <f ca="1"/>
        <v>248.51811472920792</v>
      </c>
    </row>
    <row r="274" spans="1:17">
      <c r="A274" s="2">
        <f ca="1"/>
        <v>273</v>
      </c>
      <c r="B274" s="4">
        <f ca="1"/>
        <v>0.84406779661016973</v>
      </c>
      <c r="C274" s="4">
        <f ca="1"/>
        <v>6.8000000000000005E-2</v>
      </c>
      <c r="D274" s="4">
        <f ca="1"/>
        <v>2.9589686871588627</v>
      </c>
      <c r="E274" s="4">
        <f ca="1"/>
        <v>14.271760988221754</v>
      </c>
      <c r="F274" s="4">
        <f ca="1"/>
        <v>-2482.0453892559613</v>
      </c>
      <c r="G274">
        <f ca="1"/>
        <v>0</v>
      </c>
      <c r="H274">
        <f ca="1"/>
        <v>2.9589686871588627</v>
      </c>
      <c r="I274">
        <f ca="1"/>
        <v>3.8928297529718199E-3</v>
      </c>
      <c r="J274">
        <f ca="1"/>
        <v>-2.7497584416762101E-3</v>
      </c>
      <c r="K274">
        <f ca="1"/>
        <v>0</v>
      </c>
      <c r="L274">
        <f ca="1"/>
        <v>-0.25834615689847712</v>
      </c>
      <c r="M274">
        <f ca="1"/>
        <v>-9.6621801395221283</v>
      </c>
      <c r="N274">
        <f ca="1"/>
        <v>-0.2800397466627137</v>
      </c>
      <c r="O274">
        <f ca="1"/>
        <v>0</v>
      </c>
      <c r="P274">
        <f ca="1"/>
        <v>-10.20056604308332</v>
      </c>
      <c r="Q274">
        <f ca="1"/>
        <v>231.83280265981645</v>
      </c>
    </row>
    <row r="275" spans="1:17">
      <c r="A275" s="2">
        <f ca="1"/>
        <v>274</v>
      </c>
      <c r="B275" s="4">
        <f ca="1"/>
        <v>0.85084745762711878</v>
      </c>
      <c r="C275" s="4">
        <f ca="1"/>
        <v>6.8250000000000005E-2</v>
      </c>
      <c r="D275" s="4">
        <f ca="1"/>
        <v>2.9624590634875037</v>
      </c>
      <c r="E275" s="4">
        <f ca="1"/>
        <v>13.651249640907773</v>
      </c>
      <c r="F275" s="4">
        <f ca="1"/>
        <v>-2482.0453892559613</v>
      </c>
      <c r="G275">
        <f ca="1"/>
        <v>0</v>
      </c>
      <c r="H275">
        <f ca="1"/>
        <v>2.9624590634875037</v>
      </c>
      <c r="I275">
        <f ca="1"/>
        <v>3.8833319430795045E-3</v>
      </c>
      <c r="J275">
        <f ca="1"/>
        <v>-2.6924915907557342E-3</v>
      </c>
      <c r="K275">
        <f ca="1"/>
        <v>0</v>
      </c>
      <c r="L275">
        <f ca="1"/>
        <v>-0.25515790998762933</v>
      </c>
      <c r="M275">
        <f ca="1"/>
        <v>-9.6386061442708773</v>
      </c>
      <c r="N275">
        <f ca="1"/>
        <v>-0.25088181175181984</v>
      </c>
      <c r="O275">
        <f ca="1"/>
        <v>0</v>
      </c>
      <c r="P275">
        <f ca="1"/>
        <v>-10.144645866010325</v>
      </c>
      <c r="Q275">
        <f ca="1"/>
        <v>215.95255012717354</v>
      </c>
    </row>
    <row r="276" spans="1:17">
      <c r="A276" s="2">
        <f ca="1"/>
        <v>275</v>
      </c>
      <c r="B276" s="4">
        <f ca="1"/>
        <v>0.85762711864406804</v>
      </c>
      <c r="C276" s="4">
        <f ca="1"/>
        <v>6.8500000000000005E-2</v>
      </c>
      <c r="D276" s="4">
        <f ca="1"/>
        <v>2.9657943119793164</v>
      </c>
      <c r="E276" s="4">
        <f ca="1"/>
        <v>13.030738293593773</v>
      </c>
      <c r="F276" s="4">
        <f ca="1"/>
        <v>-2482.0453892559613</v>
      </c>
      <c r="G276">
        <f ca="1"/>
        <v>0</v>
      </c>
      <c r="H276">
        <f ca="1"/>
        <v>2.9657943119793164</v>
      </c>
      <c r="I276">
        <f ca="1"/>
        <v>3.8744424984514096E-3</v>
      </c>
      <c r="J276">
        <f ca="1"/>
        <v>-2.637645236731215E-3</v>
      </c>
      <c r="K276">
        <f ca="1"/>
        <v>0</v>
      </c>
      <c r="L276">
        <f ca="1"/>
        <v>-0.25211136293948561</v>
      </c>
      <c r="M276">
        <f ca="1"/>
        <v>-9.6165421392186676</v>
      </c>
      <c r="N276">
        <f ca="1"/>
        <v>-0.22393626586157928</v>
      </c>
      <c r="O276">
        <f ca="1"/>
        <v>0</v>
      </c>
      <c r="P276">
        <f ca="1"/>
        <v>-10.092589768019733</v>
      </c>
      <c r="Q276">
        <f ca="1"/>
        <v>200.88667995328873</v>
      </c>
    </row>
    <row r="277" spans="1:17">
      <c r="A277" s="2">
        <f ca="1"/>
        <v>276</v>
      </c>
      <c r="B277" s="4">
        <f ca="1"/>
        <v>0.86440677966101709</v>
      </c>
      <c r="C277" s="4">
        <f ca="1"/>
        <v>6.8750000000000006E-2</v>
      </c>
      <c r="D277" s="4">
        <f ca="1"/>
        <v>2.9689744326343006</v>
      </c>
      <c r="E277" s="4">
        <f ca="1"/>
        <v>12.410226946279794</v>
      </c>
      <c r="F277" s="4">
        <f ca="1"/>
        <v>-2482.0453892559613</v>
      </c>
      <c r="G277">
        <f ca="1"/>
        <v>0</v>
      </c>
      <c r="H277">
        <f ca="1"/>
        <v>2.9689744326343006</v>
      </c>
      <c r="I277">
        <f ca="1"/>
        <v>3.8661347171253767E-3</v>
      </c>
      <c r="J277">
        <f ca="1"/>
        <v>-2.5853600903393168E-3</v>
      </c>
      <c r="K277">
        <f ca="1"/>
        <v>0</v>
      </c>
      <c r="L277">
        <f ca="1"/>
        <v>-0.24919019800239608</v>
      </c>
      <c r="M277">
        <f ca="1"/>
        <v>-9.5959218488834406</v>
      </c>
      <c r="N277">
        <f ca="1"/>
        <v>-0.19909047914784575</v>
      </c>
      <c r="O277">
        <f ca="1"/>
        <v>0</v>
      </c>
      <c r="P277">
        <f ca="1"/>
        <v>-10.044202526033681</v>
      </c>
      <c r="Q277">
        <f ca="1"/>
        <v>186.53330316607236</v>
      </c>
    </row>
    <row r="278" spans="1:17">
      <c r="A278" s="2">
        <f ca="1"/>
        <v>277</v>
      </c>
      <c r="B278" s="4">
        <f ca="1"/>
        <v>0.87118644067796636</v>
      </c>
      <c r="C278" s="4">
        <f ca="1"/>
        <v>6.9000000000000006E-2</v>
      </c>
      <c r="D278" s="4">
        <f ca="1"/>
        <v>2.9719994254524562</v>
      </c>
      <c r="E278" s="4">
        <f ca="1"/>
        <v>11.789715598965792</v>
      </c>
      <c r="F278" s="4">
        <f ca="1"/>
        <v>-2482.0453892559613</v>
      </c>
      <c r="G278">
        <f ca="1"/>
        <v>0</v>
      </c>
      <c r="H278">
        <f ca="1"/>
        <v>2.9719994254524562</v>
      </c>
      <c r="I278">
        <f ca="1"/>
        <v>3.858390716714029E-3</v>
      </c>
      <c r="J278">
        <f ca="1"/>
        <v>-2.5356008834707031E-3</v>
      </c>
      <c r="K278">
        <f ca="1"/>
        <v>0</v>
      </c>
      <c r="L278">
        <f ca="1"/>
        <v>-0.24640127067645368</v>
      </c>
      <c r="M278">
        <f ca="1"/>
        <v>-9.5767008883680589</v>
      </c>
      <c r="N278">
        <f ca="1"/>
        <v>-0.17622095739218438</v>
      </c>
      <c r="O278">
        <f ca="1"/>
        <v>0</v>
      </c>
      <c r="P278">
        <f ca="1"/>
        <v>-9.9993231164366971</v>
      </c>
      <c r="Q278">
        <f ca="1"/>
        <v>172.83416198135257</v>
      </c>
    </row>
    <row r="279" spans="1:17">
      <c r="A279" s="2">
        <f ca="1"/>
        <v>278</v>
      </c>
      <c r="B279" s="4">
        <f ca="1"/>
        <v>0.87796610169491562</v>
      </c>
      <c r="C279" s="4">
        <f ca="1"/>
        <v>6.9250000000000006E-2</v>
      </c>
      <c r="D279" s="4">
        <f ca="1"/>
        <v>2.9748692904337837</v>
      </c>
      <c r="E279" s="4">
        <f ca="1"/>
        <v>11.16920425165179</v>
      </c>
      <c r="F279" s="4">
        <f ca="1"/>
        <v>-2482.0453892559613</v>
      </c>
      <c r="G279">
        <f ca="1"/>
        <v>0</v>
      </c>
      <c r="H279">
        <f ca="1"/>
        <v>2.9748692904337837</v>
      </c>
      <c r="I279">
        <f ca="1"/>
        <v>3.8511842295024341E-3</v>
      </c>
      <c r="J279">
        <f ca="1"/>
        <v>-2.4884107696765919E-3</v>
      </c>
      <c r="K279">
        <f ca="1"/>
        <v>0</v>
      </c>
      <c r="L279">
        <f ca="1"/>
        <v>-0.24375536526466182</v>
      </c>
      <c r="M279">
        <f ca="1"/>
        <v>-9.5588140600117875</v>
      </c>
      <c r="N279">
        <f ca="1"/>
        <v>-0.15521601976655575</v>
      </c>
      <c r="O279">
        <f ca="1"/>
        <v>0</v>
      </c>
      <c r="P279">
        <f ca="1"/>
        <v>-9.9577854450430046</v>
      </c>
      <c r="Q279">
        <f ca="1"/>
        <v>159.85796737588117</v>
      </c>
    </row>
    <row r="280" spans="1:17">
      <c r="A280" s="2">
        <f ca="1"/>
        <v>279</v>
      </c>
      <c r="B280" s="4">
        <f ca="1"/>
        <v>0.88474576271186467</v>
      </c>
      <c r="C280" s="4">
        <f ca="1"/>
        <v>6.9500000000000006E-2</v>
      </c>
      <c r="D280" s="4">
        <f ca="1"/>
        <v>2.9775840275782821</v>
      </c>
      <c r="E280" s="4">
        <f ca="1"/>
        <v>10.548692904337811</v>
      </c>
      <c r="F280" s="4">
        <f ca="1"/>
        <v>-2482.0453892559613</v>
      </c>
      <c r="G280">
        <f ca="1"/>
        <v>0</v>
      </c>
      <c r="H280">
        <f ca="1"/>
        <v>2.9775840275782821</v>
      </c>
      <c r="I280">
        <f ca="1"/>
        <v>3.8444840947636574E-3</v>
      </c>
      <c r="J280">
        <f ca="1"/>
        <v>-2.4436346855925785E-3</v>
      </c>
      <c r="K280">
        <f ca="1"/>
        <v>0</v>
      </c>
      <c r="L280">
        <f ca="1"/>
        <v>-0.24125248176702138</v>
      </c>
      <c r="M280">
        <f ca="1"/>
        <v>-9.5421840214760145</v>
      </c>
      <c r="N280">
        <f ca="1"/>
        <v>-0.13595762950571902</v>
      </c>
      <c r="O280">
        <f ca="1"/>
        <v>0</v>
      </c>
      <c r="P280">
        <f ca="1"/>
        <v>-9.9193941327487565</v>
      </c>
      <c r="Q280">
        <f ca="1"/>
        <v>147.45893369822113</v>
      </c>
    </row>
    <row r="281" spans="1:17">
      <c r="A281" s="2">
        <f ca="1"/>
        <v>280</v>
      </c>
      <c r="B281" s="4">
        <f ca="1"/>
        <v>0.89152542372881394</v>
      </c>
      <c r="C281" s="4">
        <f ca="1"/>
        <v>6.9750000000000006E-2</v>
      </c>
      <c r="D281" s="4">
        <f ca="1"/>
        <v>2.9801436368859524</v>
      </c>
      <c r="E281" s="4">
        <f ca="1"/>
        <v>9.9281815570238088</v>
      </c>
      <c r="F281" s="4">
        <f ca="1"/>
        <v>-2482.0453892559613</v>
      </c>
      <c r="G281">
        <f ca="1"/>
        <v>0</v>
      </c>
      <c r="H281">
        <f ca="1"/>
        <v>2.9801436368859524</v>
      </c>
      <c r="I281">
        <f ca="1"/>
        <v>3.8382888135053751E-3</v>
      </c>
      <c r="J281">
        <f ca="1"/>
        <v>-2.4014965991216307E-3</v>
      </c>
      <c r="K281">
        <f ca="1"/>
        <v>0</v>
      </c>
      <c r="L281">
        <f ca="1"/>
        <v>-0.23889262018353147</v>
      </c>
      <c r="M281">
        <f ca="1"/>
        <v>-9.5268070521937496</v>
      </c>
      <c r="N281">
        <f ca="1"/>
        <v>-0.11835630581661391</v>
      </c>
      <c r="O281">
        <f ca="1"/>
        <v>0</v>
      </c>
      <c r="P281">
        <f ca="1"/>
        <v>-9.8840559781938939</v>
      </c>
      <c r="Q281">
        <f ca="1"/>
        <v>135.65141297379657</v>
      </c>
    </row>
    <row r="282" spans="1:17">
      <c r="A282" s="2">
        <f ca="1"/>
        <v>281</v>
      </c>
      <c r="B282" s="4">
        <f ca="1"/>
        <v>0.89830508474576298</v>
      </c>
      <c r="C282" s="4">
        <f ca="1"/>
        <v>7.0000000000000007E-2</v>
      </c>
      <c r="D282" s="4">
        <f ca="1"/>
        <v>2.9825481183567941</v>
      </c>
      <c r="E282" s="4">
        <f ca="1"/>
        <v>9.3076702097098298</v>
      </c>
      <c r="F282" s="4">
        <f ca="1"/>
        <v>-2482.0453892559613</v>
      </c>
      <c r="G282">
        <f ca="1"/>
        <v>0</v>
      </c>
      <c r="H282">
        <f ca="1"/>
        <v>2.9825481183567941</v>
      </c>
      <c r="I282">
        <f ca="1"/>
        <v>3.8325585600343165E-3</v>
      </c>
      <c r="J282">
        <f ca="1"/>
        <v>-2.3618867599205251E-3</v>
      </c>
      <c r="K282">
        <f ca="1"/>
        <v>0</v>
      </c>
      <c r="L282">
        <f ca="1"/>
        <v>-0.23667578051419255</v>
      </c>
      <c r="M282">
        <f ca="1"/>
        <v>-9.5125843029866406</v>
      </c>
      <c r="N282">
        <f ca="1"/>
        <v>-0.10230834276102518</v>
      </c>
      <c r="O282">
        <f ca="1"/>
        <v>0</v>
      </c>
      <c r="P282">
        <f ca="1"/>
        <v>-9.8515684262618581</v>
      </c>
      <c r="Q282">
        <f ca="1"/>
        <v>124.45513853426593</v>
      </c>
    </row>
    <row r="283" spans="1:17">
      <c r="A283" s="2">
        <f ca="1"/>
        <v>282</v>
      </c>
      <c r="B283" s="4">
        <f ca="1"/>
        <v>0.90508474576271225</v>
      </c>
      <c r="C283" s="4">
        <f ca="1"/>
        <v>7.0250000000000007E-2</v>
      </c>
      <c r="D283" s="4">
        <f ca="1"/>
        <v>2.9847974719908072</v>
      </c>
      <c r="E283" s="4">
        <f ca="1"/>
        <v>8.6871588623958296</v>
      </c>
      <c r="F283" s="4">
        <f ca="1"/>
        <v>-2482.0453892559613</v>
      </c>
      <c r="G283">
        <f ca="1"/>
        <v>0</v>
      </c>
      <c r="H283">
        <f ca="1"/>
        <v>2.9847974719908072</v>
      </c>
      <c r="I283">
        <f ca="1"/>
        <v>3.8272881521778605E-3</v>
      </c>
      <c r="J283">
        <f ca="1"/>
        <v>-2.3248818415260741E-3</v>
      </c>
      <c r="K283">
        <f ca="1"/>
        <v>0</v>
      </c>
      <c r="L283">
        <f ca="1"/>
        <v>-0.23459988339717111</v>
      </c>
      <c r="M283">
        <f ca="1"/>
        <v>-9.499502911467026</v>
      </c>
      <c r="N283">
        <f ca="1"/>
        <v>-8.7725614062562698E-2</v>
      </c>
      <c r="O283">
        <f ca="1"/>
        <v>0</v>
      </c>
      <c r="P283">
        <f ca="1"/>
        <v>-9.8218284089267609</v>
      </c>
      <c r="Q283">
        <f ca="1"/>
        <v>113.76355892802782</v>
      </c>
    </row>
    <row r="284" spans="1:17">
      <c r="A284" s="2">
        <f ca="1"/>
        <v>283</v>
      </c>
      <c r="B284" s="4">
        <f ca="1"/>
        <v>0.9118644067796613</v>
      </c>
      <c r="C284" s="4">
        <f ca="1"/>
        <v>7.0500000000000007E-2</v>
      </c>
      <c r="D284" s="4">
        <f ca="1"/>
        <v>2.9868916977879922</v>
      </c>
      <c r="E284" s="4">
        <f ca="1"/>
        <v>8.0666475150818471</v>
      </c>
      <c r="F284" s="4">
        <f ca="1"/>
        <v>-2482.0453892559613</v>
      </c>
      <c r="G284">
        <f ca="1"/>
        <v>0</v>
      </c>
      <c r="H284">
        <f ca="1"/>
        <v>2.9868916977879922</v>
      </c>
      <c r="I284">
        <f ca="1"/>
        <v>3.8224577486401265E-3</v>
      </c>
      <c r="J284">
        <f ca="1"/>
        <v>-2.2904047631812164E-3</v>
      </c>
      <c r="K284">
        <f ca="1"/>
        <v>0</v>
      </c>
      <c r="L284">
        <f ca="1"/>
        <v>-0.23265377858565736</v>
      </c>
      <c r="M284">
        <f ca="1"/>
        <v>-9.4875136306379488</v>
      </c>
      <c r="N284">
        <f ca="1"/>
        <v>-7.451923757423741E-2</v>
      </c>
      <c r="O284">
        <f ca="1"/>
        <v>0</v>
      </c>
      <c r="P284">
        <f ca="1"/>
        <v>-9.7946866467978442</v>
      </c>
      <c r="Q284">
        <f ca="1"/>
        <v>103.60058624117121</v>
      </c>
    </row>
    <row r="285" spans="1:17">
      <c r="A285" s="2">
        <f ca="1"/>
        <v>284</v>
      </c>
      <c r="B285" s="4">
        <f ca="1"/>
        <v>0.91864406779661056</v>
      </c>
      <c r="C285" s="4">
        <f ca="1"/>
        <v>7.0750000000000007E-2</v>
      </c>
      <c r="D285" s="4">
        <f ca="1"/>
        <v>2.9888307957483482</v>
      </c>
      <c r="E285" s="4">
        <f ca="1"/>
        <v>7.4461361677678468</v>
      </c>
      <c r="F285" s="4">
        <f ca="1"/>
        <v>-2482.0453892559613</v>
      </c>
      <c r="G285">
        <f ca="1"/>
        <v>0</v>
      </c>
      <c r="H285">
        <f ca="1"/>
        <v>2.9888307957483482</v>
      </c>
      <c r="I285">
        <f ca="1"/>
        <v>3.818047904863267E-3</v>
      </c>
      <c r="J285">
        <f ca="1"/>
        <v>-2.2583876390594579E-3</v>
      </c>
      <c r="K285">
        <f ca="1"/>
        <v>0</v>
      </c>
      <c r="L285">
        <f ca="1"/>
        <v>-0.23085182968610807</v>
      </c>
      <c r="M285">
        <f ca="1"/>
        <v>-9.4765681982242551</v>
      </c>
      <c r="N285">
        <f ca="1"/>
        <v>-6.2608087895812528E-2</v>
      </c>
      <c r="O285">
        <f ca="1"/>
        <v>0</v>
      </c>
      <c r="P285">
        <f ca="1"/>
        <v>-9.7700281158061753</v>
      </c>
      <c r="Q285">
        <f ca="1"/>
        <v>93.872784264210111</v>
      </c>
    </row>
    <row r="286" spans="1:17">
      <c r="A286" s="2">
        <f ca="1"/>
        <v>285</v>
      </c>
      <c r="B286" s="4">
        <f ca="1"/>
        <v>0.92542372881355961</v>
      </c>
      <c r="C286" s="4">
        <f ca="1"/>
        <v>7.1000000000000008E-2</v>
      </c>
      <c r="D286" s="4">
        <f ca="1"/>
        <v>2.990614765871876</v>
      </c>
      <c r="E286" s="4">
        <f ca="1"/>
        <v>6.825624820453867</v>
      </c>
      <c r="F286" s="4">
        <f ca="1"/>
        <v>-2482.0453892559613</v>
      </c>
      <c r="G286">
        <f ca="1"/>
        <v>0</v>
      </c>
      <c r="H286">
        <f ca="1"/>
        <v>2.990614765871876</v>
      </c>
      <c r="I286">
        <f ca="1"/>
        <v>3.8140453133737678E-3</v>
      </c>
      <c r="J286">
        <f ca="1"/>
        <v>-2.2289579795008738E-3</v>
      </c>
      <c r="K286">
        <f ca="1"/>
        <v>0</v>
      </c>
      <c r="L286">
        <f ca="1"/>
        <v>-0.2291940366985224</v>
      </c>
      <c r="M286">
        <f ca="1"/>
        <v>-9.4666335844726675</v>
      </c>
      <c r="N286">
        <f ca="1"/>
        <v>-5.1922633494548155E-2</v>
      </c>
      <c r="O286">
        <f ca="1"/>
        <v>0</v>
      </c>
      <c r="P286">
        <f ca="1"/>
        <v>-9.7477502546657391</v>
      </c>
      <c r="Q286">
        <f ca="1"/>
        <v>84.553120288099066</v>
      </c>
    </row>
    <row r="287" spans="1:17">
      <c r="A287" s="2">
        <f ca="1"/>
        <v>286</v>
      </c>
      <c r="B287" s="4">
        <f ca="1"/>
        <v>0.93220338983050888</v>
      </c>
      <c r="C287" s="4">
        <f ca="1"/>
        <v>7.1250000000000008E-2</v>
      </c>
      <c r="D287" s="4">
        <f ca="1"/>
        <v>2.9922436081585753</v>
      </c>
      <c r="E287" s="4">
        <f ca="1"/>
        <v>6.2051134731398658</v>
      </c>
      <c r="F287" s="4">
        <f ca="1"/>
        <v>-2482.0453892559613</v>
      </c>
      <c r="G287">
        <f ca="1"/>
        <v>0</v>
      </c>
      <c r="H287">
        <f ca="1"/>
        <v>2.9922436081585753</v>
      </c>
      <c r="I287">
        <f ca="1"/>
        <v>3.8104364213755845E-3</v>
      </c>
      <c r="J287">
        <f ca="1"/>
        <v>-2.2021415635715019E-3</v>
      </c>
      <c r="K287">
        <f ca="1"/>
        <v>0</v>
      </c>
      <c r="L287">
        <f ca="1"/>
        <v>-0.22768039962290079</v>
      </c>
      <c r="M287">
        <f ca="1"/>
        <v>-9.4576761507282541</v>
      </c>
      <c r="N287">
        <f ca="1"/>
        <v>-4.2395005310971082E-2</v>
      </c>
      <c r="O287">
        <f ca="1"/>
        <v>0</v>
      </c>
      <c r="P287">
        <f ca="1"/>
        <v>-9.7277515556621257</v>
      </c>
      <c r="Q287">
        <f ca="1"/>
        <v>75.629782900765647</v>
      </c>
    </row>
    <row r="288" spans="1:17">
      <c r="A288" s="2">
        <f ca="1"/>
        <v>287</v>
      </c>
      <c r="B288" s="4">
        <f ca="1"/>
        <v>0.93898305084745792</v>
      </c>
      <c r="C288" s="4">
        <f ca="1"/>
        <v>7.1500000000000008E-2</v>
      </c>
      <c r="D288" s="4">
        <f ca="1"/>
        <v>2.9937173226084459</v>
      </c>
      <c r="E288" s="4">
        <f ca="1"/>
        <v>5.5846021258258851</v>
      </c>
      <c r="F288" s="4">
        <f ca="1"/>
        <v>-2482.0453892559613</v>
      </c>
      <c r="G288">
        <f ca="1"/>
        <v>0</v>
      </c>
      <c r="H288">
        <f ca="1"/>
        <v>2.9937173226084459</v>
      </c>
      <c r="I288">
        <f ca="1"/>
        <v>3.8072078045207603E-3</v>
      </c>
      <c r="J288">
        <f ca="1"/>
        <v>-2.1778957413372195E-3</v>
      </c>
      <c r="K288">
        <f ca="1"/>
        <v>0</v>
      </c>
      <c r="L288">
        <f ca="1"/>
        <v>-0.2263109184592432</v>
      </c>
      <c r="M288">
        <f ca="1"/>
        <v>-9.4496625771500646</v>
      </c>
      <c r="N288">
        <f ca="1"/>
        <v>-3.3961867606049266E-2</v>
      </c>
      <c r="O288">
        <f ca="1"/>
        <v>0</v>
      </c>
      <c r="P288">
        <f ca="1"/>
        <v>-9.7099353632153562</v>
      </c>
      <c r="Q288">
        <f ca="1"/>
        <v>67.079065396473624</v>
      </c>
    </row>
    <row r="289" spans="1:17">
      <c r="A289" s="2">
        <f ca="1"/>
        <v>288</v>
      </c>
      <c r="B289" s="4">
        <f ca="1"/>
        <v>0.94576271186440719</v>
      </c>
      <c r="C289" s="4">
        <f ca="1"/>
        <v>7.1750000000000008E-2</v>
      </c>
      <c r="D289" s="4">
        <f ca="1"/>
        <v>2.995035909221488</v>
      </c>
      <c r="E289" s="4">
        <f ca="1"/>
        <v>4.9640907785118848</v>
      </c>
      <c r="F289" s="4">
        <f ca="1"/>
        <v>-2482.0453892559613</v>
      </c>
      <c r="G289">
        <f ca="1"/>
        <v>0</v>
      </c>
      <c r="H289">
        <f ca="1"/>
        <v>2.995035909221488</v>
      </c>
      <c r="I289">
        <f ca="1"/>
        <v>3.8043460834084712E-3</v>
      </c>
      <c r="J289">
        <f ca="1"/>
        <v>-2.1562017397205439E-3</v>
      </c>
      <c r="K289">
        <f ca="1"/>
        <v>0</v>
      </c>
      <c r="L289">
        <f ca="1"/>
        <v>-0.22508559320754967</v>
      </c>
      <c r="M289">
        <f ca="1"/>
        <v>-9.4425596554579698</v>
      </c>
      <c r="N289">
        <f ca="1"/>
        <v>-2.6566774298370795E-2</v>
      </c>
      <c r="O289">
        <f ca="1"/>
        <v>0</v>
      </c>
      <c r="P289">
        <f ca="1"/>
        <v>-9.6942120229638888</v>
      </c>
      <c r="Q289">
        <f ca="1"/>
        <v>58.79862706892775</v>
      </c>
    </row>
    <row r="290" spans="1:17">
      <c r="A290" s="2">
        <f ca="1"/>
        <v>289</v>
      </c>
      <c r="B290" s="4">
        <f ca="1"/>
        <v>0.95254237288135624</v>
      </c>
      <c r="C290" s="4">
        <f ca="1"/>
        <v>7.2000000000000008E-2</v>
      </c>
      <c r="D290" s="4">
        <f ca="1"/>
        <v>2.9961993679977019</v>
      </c>
      <c r="E290" s="4">
        <f ca="1"/>
        <v>4.3435794311979041</v>
      </c>
      <c r="F290" s="4">
        <f ca="1"/>
        <v>-2482.0453892559613</v>
      </c>
      <c r="G290">
        <f ca="1"/>
        <v>0</v>
      </c>
      <c r="H290">
        <f ca="1"/>
        <v>2.9961993679977019</v>
      </c>
      <c r="I290">
        <f ca="1"/>
        <v>3.8018531679197285E-3</v>
      </c>
      <c r="J290">
        <f ca="1"/>
        <v>-2.13704767544836E-3</v>
      </c>
      <c r="K290">
        <f ca="1"/>
        <v>0</v>
      </c>
      <c r="L290">
        <f ca="1"/>
        <v>-0.22400442386781977</v>
      </c>
      <c r="M290">
        <f ca="1"/>
        <v>-9.4363721260633326</v>
      </c>
      <c r="N290">
        <f ca="1"/>
        <v>-2.0159499749739872E-2</v>
      </c>
      <c r="O290">
        <f ca="1"/>
        <v>0</v>
      </c>
      <c r="P290">
        <f ca="1"/>
        <v>-9.6805360496808923</v>
      </c>
      <c r="Q290">
        <f ca="1"/>
        <v>50.80993346551702</v>
      </c>
    </row>
    <row r="291" spans="1:17">
      <c r="A291" s="2">
        <f ca="1"/>
        <v>290</v>
      </c>
      <c r="B291" s="4">
        <f ca="1"/>
        <v>0.95932203389830506</v>
      </c>
      <c r="C291" s="4">
        <f ca="1"/>
        <v>7.2249999999999995E-2</v>
      </c>
      <c r="D291" s="4">
        <f ca="1"/>
        <v>2.9972076989370868</v>
      </c>
      <c r="E291" s="4">
        <f ca="1"/>
        <v>3.7230680838839438</v>
      </c>
      <c r="F291" s="4">
        <f ca="1"/>
        <v>-2482.0453892559613</v>
      </c>
      <c r="G291">
        <f ca="1"/>
        <v>0</v>
      </c>
      <c r="H291">
        <f ca="1"/>
        <v>2.9972076989370868</v>
      </c>
      <c r="I291">
        <f ca="1"/>
        <v>3.7997063606327467E-3</v>
      </c>
      <c r="J291">
        <f ca="1"/>
        <v>-2.1204448003568572E-3</v>
      </c>
      <c r="K291">
        <f ca="1"/>
        <v>0</v>
      </c>
      <c r="L291">
        <f ca="1"/>
        <v>-0.22306741044005429</v>
      </c>
      <c r="M291">
        <f ca="1"/>
        <v>-9.4310436529350579</v>
      </c>
      <c r="N291">
        <f ca="1"/>
        <v>-1.4695992856019507E-2</v>
      </c>
      <c r="O291">
        <f ca="1"/>
        <v>0</v>
      </c>
      <c r="P291">
        <f ca="1"/>
        <v>-9.668807056231131</v>
      </c>
      <c r="Q291">
        <f ca="1"/>
        <v>43.113160958765654</v>
      </c>
    </row>
    <row r="292" spans="1:17">
      <c r="A292" s="2">
        <f ca="1"/>
        <v>291</v>
      </c>
      <c r="B292" s="4">
        <f ca="1"/>
        <v>0.96610169491525411</v>
      </c>
      <c r="C292" s="4">
        <f ca="1"/>
        <v>7.2499999999999995E-2</v>
      </c>
      <c r="D292" s="4">
        <f ca="1"/>
        <v>2.9980609020396436</v>
      </c>
      <c r="E292" s="4">
        <f ca="1"/>
        <v>3.1025567365699636</v>
      </c>
      <c r="F292" s="4">
        <f ca="1"/>
        <v>-2482.0453892559613</v>
      </c>
      <c r="G292">
        <f ca="1"/>
        <v>0</v>
      </c>
      <c r="H292">
        <f ca="1"/>
        <v>2.9980609020396436</v>
      </c>
      <c r="I292">
        <f ca="1"/>
        <v>3.7979027432400946E-3</v>
      </c>
      <c r="J292">
        <f ca="1"/>
        <v>-2.1063936858045432E-3</v>
      </c>
      <c r="K292">
        <f ca="1"/>
        <v>0</v>
      </c>
      <c r="L292">
        <f ca="1"/>
        <v>-0.22227455292425247</v>
      </c>
      <c r="M292">
        <f ca="1"/>
        <v>-9.4265669927016429</v>
      </c>
      <c r="N292">
        <f ca="1"/>
        <v>-1.0137923575613694E-2</v>
      </c>
      <c r="O292">
        <f ca="1"/>
        <v>0</v>
      </c>
      <c r="P292">
        <f ca="1"/>
        <v>-9.6589794692015101</v>
      </c>
      <c r="Q292">
        <f ca="1"/>
        <v>35.607828362191867</v>
      </c>
    </row>
    <row r="293" spans="1:17">
      <c r="A293" s="2">
        <f ca="1"/>
        <v>292</v>
      </c>
      <c r="B293" s="4">
        <f ca="1"/>
        <v>0.97288135593220337</v>
      </c>
      <c r="C293" s="4">
        <f ca="1"/>
        <v>7.2749999999999995E-2</v>
      </c>
      <c r="D293" s="4">
        <f ca="1"/>
        <v>2.9987589773053722</v>
      </c>
      <c r="E293" s="4">
        <f ca="1"/>
        <v>2.4820453892559624</v>
      </c>
      <c r="F293" s="4">
        <f ca="1"/>
        <v>-2482.0453892559613</v>
      </c>
      <c r="G293">
        <f ca="1"/>
        <v>0</v>
      </c>
      <c r="H293">
        <f ca="1"/>
        <v>2.9987589773053722</v>
      </c>
      <c r="I293">
        <f ca="1"/>
        <v>3.796435200944422E-3</v>
      </c>
      <c r="J293">
        <f ca="1"/>
        <v>-2.0948796242836187E-3</v>
      </c>
      <c r="K293">
        <f ca="1"/>
        <v>0</v>
      </c>
      <c r="L293">
        <f ca="1"/>
        <v>-0.22162585132041429</v>
      </c>
      <c r="M293">
        <f ca="1"/>
        <v>-9.422924486113132</v>
      </c>
      <c r="N293">
        <f ca="1"/>
        <v>-6.452804616488797E-3</v>
      </c>
      <c r="O293">
        <f ca="1"/>
        <v>0</v>
      </c>
      <c r="P293">
        <f ca="1"/>
        <v>-9.6510031420500351</v>
      </c>
      <c r="Q293">
        <f ca="1"/>
        <v>28.259140263390467</v>
      </c>
    </row>
    <row r="294" spans="1:17">
      <c r="A294" s="2">
        <f ca="1"/>
        <v>293</v>
      </c>
      <c r="B294" s="4">
        <f ca="1"/>
        <v>0.97966101694915242</v>
      </c>
      <c r="C294" s="4">
        <f ca="1"/>
        <v>7.2999999999999995E-2</v>
      </c>
      <c r="D294" s="4">
        <f ca="1"/>
        <v>2.9993019247342718</v>
      </c>
      <c r="E294" s="4">
        <f ca="1"/>
        <v>1.8615340419419821</v>
      </c>
      <c r="F294" s="4">
        <f ca="1"/>
        <v>-2482.0453892559613</v>
      </c>
      <c r="G294">
        <f ca="1"/>
        <v>0</v>
      </c>
      <c r="H294">
        <f ca="1"/>
        <v>2.9993019247342718</v>
      </c>
      <c r="I294">
        <f ca="1"/>
        <v>3.7953030525191473E-3</v>
      </c>
      <c r="J294">
        <f ca="1"/>
        <v>-2.0859040958250068E-3</v>
      </c>
      <c r="K294">
        <f ca="1"/>
        <v>0</v>
      </c>
      <c r="L294">
        <f ca="1"/>
        <v>-0.22112130562854054</v>
      </c>
      <c r="M294">
        <f ca="1"/>
        <v>-9.4201144423342242</v>
      </c>
      <c r="N294">
        <f ca="1"/>
        <v>-3.614151107049276E-3</v>
      </c>
      <c r="O294">
        <f ca="1"/>
        <v>0</v>
      </c>
      <c r="P294">
        <f ca="1"/>
        <v>-9.6448498990698148</v>
      </c>
      <c r="Q294">
        <f ca="1"/>
        <v>21.067211189844652</v>
      </c>
    </row>
    <row r="295" spans="1:17">
      <c r="A295" s="2">
        <f ca="1"/>
        <v>294</v>
      </c>
      <c r="B295" s="4">
        <f ca="1"/>
        <v>0.98644067796610169</v>
      </c>
      <c r="C295" s="4">
        <f ca="1"/>
        <v>7.3249999999999996E-2</v>
      </c>
      <c r="D295" s="4">
        <f ca="1"/>
        <v>2.9996897443263428</v>
      </c>
      <c r="E295" s="4">
        <f ca="1"/>
        <v>1.2410226946279812</v>
      </c>
      <c r="F295" s="4">
        <f ca="1"/>
        <v>-2482.0453892559613</v>
      </c>
      <c r="G295">
        <f ca="1"/>
        <v>0</v>
      </c>
      <c r="H295">
        <f ca="1"/>
        <v>2.9996897443263428</v>
      </c>
      <c r="I295">
        <f ca="1"/>
        <v>3.7944943750725228E-3</v>
      </c>
      <c r="J295">
        <f ca="1"/>
        <v>-2.0794930040688576E-3</v>
      </c>
      <c r="K295">
        <f ca="1"/>
        <v>0</v>
      </c>
      <c r="L295">
        <f ca="1"/>
        <v>-0.22076091584863086</v>
      </c>
      <c r="M295">
        <f ca="1"/>
        <v>-9.4181072682064357</v>
      </c>
      <c r="N295">
        <f ca="1"/>
        <v>-1.6013524000454676E-3</v>
      </c>
      <c r="O295">
        <f ca="1"/>
        <v>0</v>
      </c>
      <c r="P295">
        <f ca="1"/>
        <v>-9.6404695364551127</v>
      </c>
      <c r="Q295">
        <f ca="1"/>
        <v>14.005311612976344</v>
      </c>
    </row>
    <row r="296" spans="1:17">
      <c r="A296" s="2">
        <f ca="1"/>
        <v>295</v>
      </c>
      <c r="B296" s="4">
        <f ca="1"/>
        <v>0.99322033898305073</v>
      </c>
      <c r="C296" s="4">
        <f ca="1"/>
        <v>7.3499999999999996E-2</v>
      </c>
      <c r="D296" s="4">
        <f ca="1"/>
        <v>2.9999224360815857</v>
      </c>
      <c r="E296" s="4">
        <f ca="1"/>
        <v>0.62051134731400082</v>
      </c>
      <c r="F296" s="4">
        <f ca="1"/>
        <v>-2482.0453892559613</v>
      </c>
      <c r="G296">
        <f ca="1"/>
        <v>0</v>
      </c>
      <c r="H296">
        <f ca="1"/>
        <v>2.9999224360815857</v>
      </c>
      <c r="I296">
        <f ca="1"/>
        <v>3.7940091686045471E-3</v>
      </c>
      <c r="J296">
        <f ca="1"/>
        <v>-2.075646349015164E-3</v>
      </c>
      <c r="K296">
        <f ca="1"/>
        <v>0</v>
      </c>
      <c r="L296">
        <f ca="1"/>
        <v>-0.2205446819806848</v>
      </c>
      <c r="M296">
        <f ca="1"/>
        <v>-9.4169029637297594</v>
      </c>
      <c r="N296">
        <f ca="1"/>
        <v>-3.9959755288158368E-4</v>
      </c>
      <c r="O296">
        <f ca="1"/>
        <v>0</v>
      </c>
      <c r="P296">
        <f ca="1"/>
        <v>-9.6378472432633266</v>
      </c>
      <c r="Q296">
        <f ca="1"/>
        <v>6.9908070524178294</v>
      </c>
    </row>
    <row r="297" spans="1:17">
      <c r="A297" s="2">
        <f ca="1"/>
        <v>296</v>
      </c>
      <c r="B297" s="4">
        <f ca="1"/>
        <v>1</v>
      </c>
      <c r="C297" s="4">
        <f ca="1"/>
        <v>7.3749999999999996E-2</v>
      </c>
      <c r="D297" s="4">
        <f ca="1"/>
        <v>3</v>
      </c>
      <c r="E297" s="4">
        <f ca="1"/>
        <v>0</v>
      </c>
      <c r="F297" s="4">
        <f ca="1"/>
        <v>-2482.0453892559613</v>
      </c>
      <c r="G297">
        <f ca="1"/>
        <v>0</v>
      </c>
      <c r="H297">
        <f ca="1"/>
        <v>3</v>
      </c>
      <c r="I297">
        <f ca="1"/>
        <v>3.793847433115222E-3</v>
      </c>
      <c r="J297">
        <f ca="1"/>
        <v>-2.0743641306639323E-3</v>
      </c>
      <c r="K297">
        <f ca="1"/>
        <v>0</v>
      </c>
      <c r="L297">
        <f ca="1"/>
        <v>-0.22047260402470278</v>
      </c>
      <c r="M297">
        <f ca="1"/>
        <v>-9.4165015289042007</v>
      </c>
      <c r="N297">
        <f ca="1"/>
        <v>0</v>
      </c>
      <c r="O297">
        <f ca="1"/>
        <v>0</v>
      </c>
      <c r="P297">
        <f ca="1"/>
        <v>-9.6369741329289038</v>
      </c>
      <c r="Q297">
        <f ca="1"/>
        <v>3.492441337691329</v>
      </c>
    </row>
    <row r="298" spans="1:17">
      <c r="C298" s="4"/>
    </row>
    <row r="299" spans="1:17">
      <c r="C299" s="4"/>
    </row>
    <row r="300" spans="1:17">
      <c r="C300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088E-9032-4DDE-B03C-06F18D3B19E0}">
  <dimension ref="A1:Q297"/>
  <sheetViews>
    <sheetView zoomScaleNormal="100" workbookViewId="0">
      <selection activeCell="D1" activeCellId="1" sqref="C1:C1048576 D1:D1048576"/>
    </sheetView>
  </sheetViews>
  <sheetFormatPr defaultRowHeight="14.4"/>
  <cols>
    <col min="1" max="1" width="7" style="2" bestFit="1" customWidth="1"/>
    <col min="2" max="2" width="8.88671875" style="2"/>
    <col min="3" max="3" width="8.88671875" style="7"/>
    <col min="4" max="4" width="9.5546875" style="4" bestFit="1" customWidth="1"/>
    <col min="5" max="5" width="10.5546875" style="4" customWidth="1"/>
    <col min="6" max="6" width="12" style="4" customWidth="1"/>
    <col min="7" max="7" width="12.5546875" bestFit="1" customWidth="1"/>
    <col min="8" max="8" width="12.88671875" customWidth="1"/>
    <col min="10" max="10" width="12" bestFit="1" customWidth="1"/>
    <col min="11" max="11" width="10.5546875" customWidth="1"/>
    <col min="13" max="13" width="12.5546875" bestFit="1" customWidth="1"/>
    <col min="14" max="15" width="8.88671875" customWidth="1"/>
    <col min="21" max="21" width="8.88671875" customWidth="1"/>
  </cols>
  <sheetData>
    <row r="1" spans="1:17" s="8" customFormat="1" ht="35.1" customHeight="1">
      <c r="A1" s="9" t="s">
        <v>114</v>
      </c>
      <c r="B1" s="9" t="s">
        <v>121</v>
      </c>
      <c r="C1" s="9" t="s">
        <v>115</v>
      </c>
      <c r="D1" s="9" t="s">
        <v>122</v>
      </c>
      <c r="E1" s="9" t="s">
        <v>123</v>
      </c>
      <c r="F1" s="9" t="s">
        <v>124</v>
      </c>
      <c r="G1" s="9" t="s">
        <v>125</v>
      </c>
      <c r="H1" s="9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0" t="s">
        <v>131</v>
      </c>
      <c r="N1" s="10" t="s">
        <v>132</v>
      </c>
      <c r="O1" s="10" t="s">
        <v>133</v>
      </c>
      <c r="P1" s="10" t="s">
        <v>134</v>
      </c>
      <c r="Q1" s="10" t="s">
        <v>135</v>
      </c>
    </row>
    <row r="2" spans="1:17">
      <c r="A2" s="13" cm="1">
        <f t="array" aca="1" ref="A2:A297" ca="1">time_i</f>
        <v>1</v>
      </c>
      <c r="B2" s="12" cm="1">
        <f t="array" aca="1" ref="B2:B297" ca="1">time_x</f>
        <v>-1</v>
      </c>
      <c r="C2" s="33" cm="1">
        <f t="array" aca="1" ref="C2:C297" ca="1">time_t</f>
        <v>0</v>
      </c>
      <c r="D2" s="4" cm="1">
        <f t="array" aca="1" ref="D2:D297" ca="1">IF(isj0,pA/2 + pB/2 + time_x*((35*pB)/32 - (35*pA)/32 + time_x^2*((35*pA)/32 - (35*pB)/32 + time_x^2*(((5*pA)/32 - (5*pB)/32)*time_x^2 - (21*pA)/32 + (21*pB)/32))),pA/2 + pB/2 - time_x*((15*pA)/16 - (15*pB)/16 + time_x^2*(((3*pA)/16 - (3*pB)/16)*time_x^2 - (5*pA)/8 + (5*pB)/8)))</f>
        <v>0</v>
      </c>
      <c r="E2" s="4" cm="1">
        <f t="array" aca="1" ref="E2:E297" ca="1">IF(isj0,(35*pB)/32 - (35*pA)/32 + time_x^2*((105*pA)/32 - (105*pB)/32 + time_x^2*((105*pB)/32 - (105*pA)/32 + 7*time_x^2*((5*pA)/32 - (5*pB)/32))),((15*pB)/16 - (15*pA)/16 - time_x^2*((15*pB)/8 - (15*pA)/8 + 5*time_x^2*((3*pA)/16 - (3*pB)/16))))/(0.5*tAB)</f>
        <v>0</v>
      </c>
      <c r="F2" s="4" cm="1">
        <f t="array" aca="1" ref="F2:F297" ca="1">IF(isj0,time_x*((105*pA)/16 - (105*pB)/16 + time_x^2*((105*pB)/8 - (105*pA)/8 + 42*time_x^2*((5*pA)/32 - (5*pB)/32))),-time_x*((15*pB)/4 - (15*pA)/4 + 20*time_x^2*((3*pA)/16 - (3*pB)/16)))/(0.5*tAB)^2</f>
        <v>0</v>
      </c>
      <c r="G2" s="4" cm="1">
        <f t="array" aca="1" ref="G2:G297" ca="1">IF(isj0,(105*pA)/16 - (105*pB)/16 + time_x^2*((315*pB)/8 - (315*pA)/8 + 210*time_x^2*((5*pA)/32 - (5*pB)/32)),((45*pB)/4 - (45*pA)/4)*time_x^2 + (15*pA)/4 - (15*pB)/4)/(0.5*tAB)^3</f>
        <v>448731.36980898731</v>
      </c>
      <c r="H2" cm="1">
        <f t="array" aca="1" ref="H2:H297" ca="1">MOD(refpoly.q,2*PI())</f>
        <v>0</v>
      </c>
      <c r="I2" cm="1">
        <f t="array" aca="1" ref="I2:I297" ca="1">_xlfn.XLOOKUP(refpoly.qmod,prop.J_x,prop.J_y,,-1,2)+(refpoly.qmod-_xlfn.XLOOKUP(refpoly.qmod,prop.J_x,prop.J_x,,-1,2))*IFERROR((_xlfn.XLOOKUP(refpoly.qmod,prop.J_x,prop.J_y,,1,2)-_xlfn.XLOOKUP(refpoly.qmod,prop.J_x,prop.J_y,,-1,2))/(_xlfn.XLOOKUP(refpoly.qmod,prop.J_x,prop.J_x,,1,2)-_xlfn.XLOOKUP(refpoly.qmod,prop.J_x,prop.J_x,,-1,2)),0)</f>
        <v>3.6499468900000002E-3</v>
      </c>
      <c r="J2" cm="1">
        <f t="array" aca="1" ref="J2:J297" ca="1">_xlfn.XLOOKUP(refpoly.qmod,prop.dJ_x,prop.dJ_y,,-1,2)+(refpoly.qmod-_xlfn.XLOOKUP(refpoly.qmod,prop.dJ_x,prop.dJ_x,,-1,2))*IFERROR((_xlfn.XLOOKUP(refpoly.qmod,prop.dJ_x,prop.dJ_y,,1,2)-_xlfn.XLOOKUP(refpoly.qmod,prop.dJ_x,prop.dJ_y,,-1,2))/(_xlfn.XLOOKUP(refpoly.qmod,prop.dJ_x,prop.dJ_x,,1,2)-_xlfn.XLOOKUP(refpoly.qmod,prop.dJ_x,prop.dJ_x,,-1,2)),0)</f>
        <v>6.4224695402142974E-5</v>
      </c>
      <c r="K2" cm="1">
        <f t="array" aca="1" ref="K2:K297" ca="1">_xlfn.XLOOKUP(refpoly.qmod,prop.fw_x,prop.fw_y,,-1,2)+(refpoly.qmod-_xlfn.XLOOKUP(refpoly.qmod,prop.fw_x,prop.fw_x,,-1,2))*IFERROR((_xlfn.XLOOKUP(refpoly.qmod,prop.fw_x,prop.fw_y,,1,2)-_xlfn.XLOOKUP(refpoly.qmod,prop.fw_x,prop.fw_y,,-1,2))/(_xlfn.XLOOKUP(refpoly.qmod,prop.fw_x,prop.fw_x,,1,2)-_xlfn.XLOOKUP(refpoly.qmod,prop.fw_x,prop.fw_x,,-1,2)),0)</f>
        <v>0</v>
      </c>
      <c r="L2" cm="1">
        <f t="array" aca="1" ref="L2:L297" ca="1">_xlfn.XLOOKUP(refpoly.qmod,prop.Tl_x,prop.Tl_y,,-1,2)+(refpoly.qmod-_xlfn.XLOOKUP(refpoly.qmod,prop.Tl_x,prop.Tl_x,,-1,2))*IFERROR((_xlfn.XLOOKUP(refpoly.qmod,prop.Tl_x,prop.Tl_y,,1,2)-_xlfn.XLOOKUP(refpoly.qmod,prop.Tl_x,prop.Tl_y,,-1,2))/(_xlfn.XLOOKUP(refpoly.qmod,prop.Tl_x,prop.Tl_x,,1,2)-_xlfn.XLOOKUP(refpoly.qmod,prop.Tl_x,prop.Tl_x,,-1,2)),0)</f>
        <v>0.1025359665978</v>
      </c>
      <c r="M2" cm="1">
        <f t="array" aca="1" ref="M2:M297" ca="1">refpoly.J*refpoly.qd2</f>
        <v>0</v>
      </c>
      <c r="N2" cm="1">
        <f t="array" aca="1" ref="N2:N297" ca="1">0.5*refpoly.dJ*refpoly.qd1^2</f>
        <v>0</v>
      </c>
      <c r="O2" cm="1">
        <f t="array" aca="1" ref="O2:O297" ca="1">refpoly.fw*refpoly.qd1</f>
        <v>0</v>
      </c>
      <c r="P2" cm="1">
        <f t="array" aca="1" ref="P2:P297" ca="1">refpoly.Tl+refpoly.Tacc+refpoly.Tvar+refpoly.Tf</f>
        <v>0.1025359665978</v>
      </c>
      <c r="Q2" cm="1">
        <f t="array" aca="1" ref="Q2:Q297" ca="1">(IFERROR(INDEX(refpoly.Tm,time_i+1),INDEX(refpoly.Tm,n))-INDEX(refpoly.Tm,time_i-1))/(IFERROR(INDEX(time_t,time_i+1),INDEX(time_t,n))-INDEX(time_t,time_i-1))</f>
        <v>1621.2329764736764</v>
      </c>
    </row>
    <row r="3" spans="1:17">
      <c r="A3" s="2">
        <f ca="1"/>
        <v>2</v>
      </c>
      <c r="B3" s="2">
        <f ca="1"/>
        <v>-0.99322033898305084</v>
      </c>
      <c r="C3" s="7">
        <f ca="1"/>
        <v>2.5000000000000001E-4</v>
      </c>
      <c r="D3" s="4">
        <f ca="1"/>
        <v>1.1626374443185483E-6</v>
      </c>
      <c r="E3" s="4">
        <f ca="1"/>
        <v>1.392794623700459E-2</v>
      </c>
      <c r="F3" s="4">
        <f ca="1"/>
        <v>111.04457816169487</v>
      </c>
      <c r="G3">
        <f ca="1"/>
        <v>439635.56818482128</v>
      </c>
      <c r="H3">
        <f ca="1"/>
        <v>1.1626374443185483E-6</v>
      </c>
      <c r="I3">
        <f ca="1"/>
        <v>3.649946964670036E-3</v>
      </c>
      <c r="J3">
        <f ca="1"/>
        <v>6.4239677823894756E-5</v>
      </c>
      <c r="K3">
        <f ca="1"/>
        <v>0</v>
      </c>
      <c r="L3">
        <f ca="1"/>
        <v>0.10253738348102305</v>
      </c>
      <c r="M3">
        <f ca="1"/>
        <v>0.40530682100434279</v>
      </c>
      <c r="N3">
        <f ca="1"/>
        <v>6.2308532374555654E-9</v>
      </c>
      <c r="O3">
        <f ca="1"/>
        <v>0</v>
      </c>
      <c r="P3">
        <f ca="1"/>
        <v>0.5078442107162191</v>
      </c>
      <c r="Q3">
        <f ca="1"/>
        <v>1604.7071286783312</v>
      </c>
    </row>
    <row r="4" spans="1:17">
      <c r="A4" s="2">
        <f ca="1"/>
        <v>3</v>
      </c>
      <c r="B4" s="2">
        <f ca="1"/>
        <v>-0.98644067796610169</v>
      </c>
      <c r="C4" s="7">
        <f ca="1"/>
        <v>5.0000000000000001E-4</v>
      </c>
      <c r="D4" s="4">
        <f ca="1"/>
        <v>9.2537578164630929E-6</v>
      </c>
      <c r="E4" s="4">
        <f ca="1"/>
        <v>5.53334377574363E-2</v>
      </c>
      <c r="F4" s="4">
        <f ca="1"/>
        <v>219.822940442538</v>
      </c>
      <c r="G4">
        <f ca="1"/>
        <v>430601.64276218013</v>
      </c>
      <c r="H4">
        <f ca="1"/>
        <v>9.2537578164630929E-6</v>
      </c>
      <c r="I4">
        <f ca="1"/>
        <v>3.6499474843197772E-3</v>
      </c>
      <c r="J4">
        <f ca="1"/>
        <v>6.4343944703008519E-5</v>
      </c>
      <c r="K4">
        <f ca="1"/>
        <v>0</v>
      </c>
      <c r="L4">
        <f ca="1"/>
        <v>0.10254724396914605</v>
      </c>
      <c r="M4">
        <f ca="1"/>
        <v>0.80234218846401772</v>
      </c>
      <c r="N4">
        <f ca="1"/>
        <v>9.8503801801382754E-8</v>
      </c>
      <c r="O4">
        <f ca="1"/>
        <v>0</v>
      </c>
      <c r="P4">
        <f ca="1"/>
        <v>0.90488953093696556</v>
      </c>
      <c r="Q4">
        <f ca="1"/>
        <v>1571.7859293360327</v>
      </c>
    </row>
    <row r="5" spans="1:17">
      <c r="A5" s="2">
        <f ca="1"/>
        <v>4</v>
      </c>
      <c r="B5" s="2">
        <f ca="1"/>
        <v>-0.97966101694915253</v>
      </c>
      <c r="C5" s="7">
        <f ca="1"/>
        <v>7.5000000000000002E-4</v>
      </c>
      <c r="D5" s="4">
        <f ca="1"/>
        <v>3.1072089326400487E-5</v>
      </c>
      <c r="E5" s="4">
        <f ca="1"/>
        <v>0.12365185422240671</v>
      </c>
      <c r="F5" s="4">
        <f ca="1"/>
        <v>326.35055589291062</v>
      </c>
      <c r="G5">
        <f ca="1"/>
        <v>421629.59354106389</v>
      </c>
      <c r="H5">
        <f ca="1"/>
        <v>3.1072089326400487E-5</v>
      </c>
      <c r="I5">
        <f ca="1"/>
        <v>3.6499488855954725E-3</v>
      </c>
      <c r="J5">
        <f ca="1"/>
        <v>6.4625108402147487E-5</v>
      </c>
      <c r="K5">
        <f ca="1"/>
        <v>0</v>
      </c>
      <c r="L5">
        <f ca="1"/>
        <v>0.10257383353756452</v>
      </c>
      <c r="M5">
        <f ca="1"/>
        <v>1.191162847794792</v>
      </c>
      <c r="N5">
        <f ca="1"/>
        <v>4.9405187898595841E-7</v>
      </c>
      <c r="O5">
        <f ca="1"/>
        <v>0</v>
      </c>
      <c r="P5">
        <f ca="1"/>
        <v>1.2937371753842355</v>
      </c>
      <c r="Q5">
        <f ca="1"/>
        <v>1539.1260102682465</v>
      </c>
    </row>
    <row r="6" spans="1:17">
      <c r="A6" s="2">
        <f ca="1"/>
        <v>5</v>
      </c>
      <c r="B6" s="2">
        <f ca="1"/>
        <v>-0.97288135593220337</v>
      </c>
      <c r="C6" s="7">
        <f ca="1"/>
        <v>1E-3</v>
      </c>
      <c r="D6" s="4">
        <f ca="1"/>
        <v>7.3275688507346004E-5</v>
      </c>
      <c r="E6" s="4">
        <f ca="1"/>
        <v>0.21832244255555716</v>
      </c>
      <c r="F6" s="4">
        <f ca="1"/>
        <v>430.64289356319779</v>
      </c>
      <c r="G6">
        <f ca="1"/>
        <v>412719.42052147258</v>
      </c>
      <c r="H6">
        <f ca="1"/>
        <v>7.3275688507346004E-5</v>
      </c>
      <c r="I6">
        <f ca="1"/>
        <v>3.649951596108775E-3</v>
      </c>
      <c r="J6">
        <f ca="1"/>
        <v>6.5168968506999599E-5</v>
      </c>
      <c r="K6">
        <f ca="1"/>
        <v>0</v>
      </c>
      <c r="L6">
        <f ca="1"/>
        <v>0.1026252662278881</v>
      </c>
      <c r="M6">
        <f ca="1"/>
        <v>1.5718257167138951</v>
      </c>
      <c r="N6">
        <f ca="1"/>
        <v>1.5531293056732937E-6</v>
      </c>
      <c r="O6">
        <f ca="1"/>
        <v>0</v>
      </c>
      <c r="P6">
        <f ca="1"/>
        <v>1.6744525360710889</v>
      </c>
      <c r="Q6">
        <f ca="1"/>
        <v>1506.727945109001</v>
      </c>
    </row>
    <row r="7" spans="1:17">
      <c r="A7" s="2">
        <f ca="1"/>
        <v>6</v>
      </c>
      <c r="B7" s="2">
        <f ca="1"/>
        <v>-0.96610169491525422</v>
      </c>
      <c r="C7" s="7">
        <f ca="1"/>
        <v>1.25E-3</v>
      </c>
      <c r="D7" s="4">
        <f ca="1"/>
        <v>1.4238290703283418E-4</v>
      </c>
      <c r="E7" s="4">
        <f ca="1"/>
        <v>0.33878831694319134</v>
      </c>
      <c r="F7" s="4">
        <f ca="1"/>
        <v>532.71542250377433</v>
      </c>
      <c r="G7">
        <f ca="1"/>
        <v>403871.12370340631</v>
      </c>
      <c r="H7">
        <f ca="1"/>
        <v>1.4238290703283418E-4</v>
      </c>
      <c r="I7">
        <f ca="1"/>
        <v>3.649956034498835E-3</v>
      </c>
      <c r="J7">
        <f ca="1"/>
        <v>6.6059524285244192E-5</v>
      </c>
      <c r="K7">
        <f ca="1"/>
        <v>0</v>
      </c>
      <c r="L7">
        <f ca="1"/>
        <v>0.10270948582618128</v>
      </c>
      <c r="M7">
        <f ca="1"/>
        <v>1.9443878710382476</v>
      </c>
      <c r="N7">
        <f ca="1"/>
        <v>3.7910743070376956E-6</v>
      </c>
      <c r="O7">
        <f ca="1"/>
        <v>0</v>
      </c>
      <c r="P7">
        <f ca="1"/>
        <v>2.047101147938736</v>
      </c>
      <c r="Q7">
        <f ca="1"/>
        <v>1474.5923401770006</v>
      </c>
    </row>
    <row r="8" spans="1:17">
      <c r="A8" s="2">
        <f ca="1"/>
        <v>7</v>
      </c>
      <c r="B8" s="2">
        <f ca="1"/>
        <v>-0.95932203389830506</v>
      </c>
      <c r="C8" s="7">
        <f ca="1"/>
        <v>1.5E-3</v>
      </c>
      <c r="D8" s="4">
        <f ca="1"/>
        <v>2.4477335852846061E-4</v>
      </c>
      <c r="E8" s="4">
        <f ca="1"/>
        <v>0.48449645883417874</v>
      </c>
      <c r="F8" s="4">
        <f ca="1"/>
        <v>632.58361176502672</v>
      </c>
      <c r="G8">
        <f ca="1"/>
        <v>395084.70308686484</v>
      </c>
      <c r="H8">
        <f ca="1"/>
        <v>2.4477335852846061E-4</v>
      </c>
      <c r="I8">
        <f ca="1"/>
        <v>3.6499626104943943E-3</v>
      </c>
      <c r="J8">
        <f ca="1"/>
        <v>6.7378987145449914E-5</v>
      </c>
      <c r="K8">
        <f ca="1"/>
        <v>0</v>
      </c>
      <c r="L8">
        <f ca="1"/>
        <v>0.10283426704119773</v>
      </c>
      <c r="M8">
        <f ca="1"/>
        <v>2.3089065309538492</v>
      </c>
      <c r="N8">
        <f ca="1"/>
        <v>7.9081645422767149E-6</v>
      </c>
      <c r="O8">
        <f ca="1"/>
        <v>0</v>
      </c>
      <c r="P8">
        <f ca="1"/>
        <v>2.4117487061595893</v>
      </c>
      <c r="Q8">
        <f ca="1"/>
        <v>1442.7199155853189</v>
      </c>
    </row>
    <row r="9" spans="1:17">
      <c r="A9" s="2">
        <f ca="1"/>
        <v>8</v>
      </c>
      <c r="B9" s="2">
        <f ca="1"/>
        <v>-0.9525423728813559</v>
      </c>
      <c r="C9" s="7">
        <f ca="1"/>
        <v>1.75E-3</v>
      </c>
      <c r="D9" s="4">
        <f ca="1"/>
        <v>3.8668888539206137E-4</v>
      </c>
      <c r="E9" s="4">
        <f ca="1"/>
        <v>0.65489771693996701</v>
      </c>
      <c r="F9" s="4">
        <f ca="1"/>
        <v>730.26293039733343</v>
      </c>
      <c r="G9">
        <f ca="1"/>
        <v>386360.15867184848</v>
      </c>
      <c r="H9">
        <f ca="1"/>
        <v>3.8668888539206137E-4</v>
      </c>
      <c r="I9">
        <f ca="1"/>
        <v>3.6499717249758798E-3</v>
      </c>
      <c r="J9">
        <f ca="1"/>
        <v>6.920779309608142E-5</v>
      </c>
      <c r="K9">
        <f ca="1"/>
        <v>0</v>
      </c>
      <c r="L9">
        <f ca="1"/>
        <v>0.10300721668262497</v>
      </c>
      <c r="M9">
        <f ca="1"/>
        <v>2.6654390477482961</v>
      </c>
      <c r="N9">
        <f ca="1"/>
        <v>1.4841300474462376E-5</v>
      </c>
      <c r="O9">
        <f ca="1"/>
        <v>0</v>
      </c>
      <c r="P9">
        <f ca="1"/>
        <v>2.7684611057313955</v>
      </c>
      <c r="Q9">
        <f ca="1"/>
        <v>1411.1116008061106</v>
      </c>
    </row>
    <row r="10" spans="1:17">
      <c r="A10" s="2">
        <f ca="1"/>
        <v>9</v>
      </c>
      <c r="B10" s="2">
        <f ca="1"/>
        <v>-0.94576271186440675</v>
      </c>
      <c r="C10" s="7">
        <f ca="1"/>
        <v>2E-3</v>
      </c>
      <c r="D10" s="4">
        <f ca="1"/>
        <v>5.7423452560545485E-4</v>
      </c>
      <c r="E10" s="4">
        <f ca="1"/>
        <v>0.84944680723461763</v>
      </c>
      <c r="F10" s="4">
        <f ca="1"/>
        <v>825.76884745107964</v>
      </c>
      <c r="G10">
        <f ca="1"/>
        <v>377697.49045835692</v>
      </c>
      <c r="H10">
        <f ca="1"/>
        <v>5.7423452560545485E-4</v>
      </c>
      <c r="I10">
        <f ca="1"/>
        <v>3.6499837700374967E-3</v>
      </c>
      <c r="J10">
        <f ca="1"/>
        <v>7.162461520439733E-5</v>
      </c>
      <c r="K10">
        <f ca="1"/>
        <v>0</v>
      </c>
      <c r="L10">
        <f ca="1"/>
        <v>0.10323577483931858</v>
      </c>
      <c r="M10">
        <f ca="1"/>
        <v>3.01404289099901</v>
      </c>
      <c r="N10">
        <f ca="1"/>
        <v>2.5840724315839759E-5</v>
      </c>
      <c r="O10">
        <f ca="1"/>
        <v>0</v>
      </c>
      <c r="P10">
        <f ca="1"/>
        <v>3.1173045065626446</v>
      </c>
      <c r="Q10">
        <f ca="1"/>
        <v>1379.7686415081671</v>
      </c>
    </row>
    <row r="11" spans="1:17">
      <c r="A11" s="2">
        <f ca="1"/>
        <v>10</v>
      </c>
      <c r="B11" s="2">
        <f ca="1"/>
        <v>-0.93898305084745759</v>
      </c>
      <c r="C11" s="7">
        <f ca="1"/>
        <v>2.2500000000000003E-3</v>
      </c>
      <c r="D11" s="4">
        <f ca="1"/>
        <v>8.1337947955217871E-4</v>
      </c>
      <c r="E11" s="4">
        <f ca="1"/>
        <v>1.0676023129548184</v>
      </c>
      <c r="F11" s="4">
        <f ca="1"/>
        <v>919.11683197664036</v>
      </c>
      <c r="G11">
        <f ca="1"/>
        <v>369096.69844639028</v>
      </c>
      <c r="H11">
        <f ca="1"/>
        <v>8.1337947955217871E-4</v>
      </c>
      <c r="I11">
        <f ca="1"/>
        <v>3.6499991290493208E-3</v>
      </c>
      <c r="J11">
        <f ca="1"/>
        <v>7.4706376055425406E-5</v>
      </c>
      <c r="K11">
        <f ca="1"/>
        <v>0</v>
      </c>
      <c r="L11">
        <f ca="1"/>
        <v>0.10352721605754389</v>
      </c>
      <c r="M11">
        <f ca="1"/>
        <v>3.3547756362093084</v>
      </c>
      <c r="N11">
        <f ca="1"/>
        <v>4.2574218627024412E-5</v>
      </c>
      <c r="O11">
        <f ca="1"/>
        <v>0</v>
      </c>
      <c r="P11">
        <f ca="1"/>
        <v>3.4583454264854794</v>
      </c>
      <c r="Q11">
        <f ca="1"/>
        <v>1348.6927147358854</v>
      </c>
    </row>
    <row r="12" spans="1:17">
      <c r="A12" s="2">
        <f ca="1"/>
        <v>11</v>
      </c>
      <c r="B12" s="2">
        <f ca="1"/>
        <v>-0.93220338983050843</v>
      </c>
      <c r="C12" s="7">
        <f ca="1"/>
        <v>2.5000000000000001E-3</v>
      </c>
      <c r="D12" s="4">
        <f ca="1"/>
        <v>1.1099580768341166E-3</v>
      </c>
      <c r="E12" s="4">
        <f ca="1"/>
        <v>1.3088266845997991</v>
      </c>
      <c r="F12" s="4">
        <f ca="1"/>
        <v>1010.3223530244003</v>
      </c>
      <c r="G12">
        <f ca="1"/>
        <v>360557.78263594874</v>
      </c>
      <c r="H12">
        <f ca="1"/>
        <v>1.1099580768341166E-3</v>
      </c>
      <c r="I12">
        <f ca="1"/>
        <v>3.650018176719394E-3</v>
      </c>
      <c r="J12">
        <f ca="1"/>
        <v>7.8528260210923464E-5</v>
      </c>
      <c r="K12">
        <f ca="1"/>
        <v>0</v>
      </c>
      <c r="L12">
        <f ca="1"/>
        <v>0.10388865051921631</v>
      </c>
      <c r="M12">
        <f ca="1"/>
        <v>3.6876949528849696</v>
      </c>
      <c r="N12">
        <f ca="1"/>
        <v>6.7260526401350762E-5</v>
      </c>
      <c r="O12">
        <f ca="1"/>
        <v>0</v>
      </c>
      <c r="P12">
        <f ca="1"/>
        <v>3.7916508639305873</v>
      </c>
      <c r="Q12">
        <f ca="1"/>
        <v>1317.8860497379142</v>
      </c>
    </row>
    <row r="13" spans="1:17">
      <c r="A13" s="2">
        <f ca="1"/>
        <v>12</v>
      </c>
      <c r="B13" s="2">
        <f ca="1"/>
        <v>-0.92542372881355928</v>
      </c>
      <c r="C13" s="7">
        <f ca="1"/>
        <v>2.7499999999999998E-3</v>
      </c>
      <c r="D13" s="4">
        <f ca="1"/>
        <v>1.4696707430839062E-3</v>
      </c>
      <c r="E13" s="4">
        <f ca="1"/>
        <v>1.5725862399314035</v>
      </c>
      <c r="F13" s="4">
        <f ca="1"/>
        <v>1099.4008796447411</v>
      </c>
      <c r="G13">
        <f ca="1"/>
        <v>352080.74302703206</v>
      </c>
      <c r="H13">
        <f ca="1"/>
        <v>1.4696707430839062E-3</v>
      </c>
      <c r="I13">
        <f ca="1"/>
        <v>3.6500412791558162E-3</v>
      </c>
      <c r="J13">
        <f ca="1"/>
        <v>8.3163726668285918E-5</v>
      </c>
      <c r="K13">
        <f ca="1"/>
        <v>0</v>
      </c>
      <c r="L13">
        <f ca="1"/>
        <v>0.1043270252201363</v>
      </c>
      <c r="M13">
        <f ca="1"/>
        <v>4.0128585930435205</v>
      </c>
      <c r="N13">
        <f ca="1"/>
        <v>1.0283309077900143E-4</v>
      </c>
      <c r="O13">
        <f ca="1"/>
        <v>0</v>
      </c>
      <c r="P13">
        <f ca="1"/>
        <v>4.1172884513544359</v>
      </c>
      <c r="Q13">
        <f ca="1"/>
        <v>1287.3746475277255</v>
      </c>
    </row>
    <row r="14" spans="1:17">
      <c r="A14" s="2">
        <f ca="1"/>
        <v>13</v>
      </c>
      <c r="B14" s="2">
        <f ca="1"/>
        <v>-0.91864406779661012</v>
      </c>
      <c r="C14" s="7">
        <f ca="1"/>
        <v>3.0000000000000001E-3</v>
      </c>
      <c r="D14" s="4">
        <f ca="1"/>
        <v>1.8980849667833422E-3</v>
      </c>
      <c r="E14" s="4">
        <f ca="1"/>
        <v>1.8583511639740649</v>
      </c>
      <c r="F14" s="4">
        <f ca="1"/>
        <v>1186.3678808880447</v>
      </c>
      <c r="G14">
        <f ca="1"/>
        <v>343665.57961964025</v>
      </c>
      <c r="H14">
        <f ca="1"/>
        <v>1.8980849667833422E-3</v>
      </c>
      <c r="I14">
        <f ca="1"/>
        <v>3.6500756652863057E-3</v>
      </c>
      <c r="J14">
        <f ca="1"/>
        <v>9.0651132110087487E-5</v>
      </c>
      <c r="K14">
        <f ca="1"/>
        <v>0</v>
      </c>
      <c r="L14">
        <f ca="1"/>
        <v>0.10484912514823194</v>
      </c>
      <c r="M14">
        <f ca="1"/>
        <v>4.330332532106735</v>
      </c>
      <c r="N14">
        <f ca="1"/>
        <v>1.5653043948335189E-4</v>
      </c>
      <c r="O14">
        <f ca="1"/>
        <v>0</v>
      </c>
      <c r="P14">
        <f ca="1"/>
        <v>4.43533818769445</v>
      </c>
      <c r="Q14">
        <f ca="1"/>
        <v>1257.2074397164906</v>
      </c>
    </row>
    <row r="15" spans="1:17">
      <c r="A15" s="2">
        <f ca="1"/>
        <v>14</v>
      </c>
      <c r="B15" s="2">
        <f ca="1"/>
        <v>-0.91186440677966096</v>
      </c>
      <c r="C15" s="7">
        <f ca="1"/>
        <v>3.2500000000000003E-3</v>
      </c>
      <c r="D15" s="4">
        <f ca="1"/>
        <v>2.4006362660782266E-3</v>
      </c>
      <c r="E15" s="4">
        <f ca="1"/>
        <v>2.1655955090148673</v>
      </c>
      <c r="F15" s="4">
        <f ca="1"/>
        <v>1271.2388258046892</v>
      </c>
      <c r="G15">
        <f ca="1"/>
        <v>335312.29241377348</v>
      </c>
      <c r="H15">
        <f ca="1"/>
        <v>2.4006362660782266E-3</v>
      </c>
      <c r="I15">
        <f ca="1"/>
        <v>3.650130547581646E-3</v>
      </c>
      <c r="J15">
        <f ca="1"/>
        <v>1.0359725655801705E-4</v>
      </c>
      <c r="K15">
        <f ca="1"/>
        <v>0</v>
      </c>
      <c r="L15">
        <f ca="1"/>
        <v>0.10546157446179702</v>
      </c>
      <c r="M15">
        <f ca="1"/>
        <v>4.6401876713415184</v>
      </c>
      <c r="N15">
        <f ca="1"/>
        <v>2.4292540936639835E-4</v>
      </c>
      <c r="O15">
        <f ca="1"/>
        <v>0</v>
      </c>
      <c r="P15">
        <f ca="1"/>
        <v>4.7458921712126818</v>
      </c>
      <c r="Q15">
        <f ca="1"/>
        <v>1227.34150131045</v>
      </c>
    </row>
    <row r="16" spans="1:17">
      <c r="A16" s="2">
        <f ca="1"/>
        <v>15</v>
      </c>
      <c r="B16" s="2">
        <f ca="1"/>
        <v>-0.90508474576271181</v>
      </c>
      <c r="C16" s="7">
        <f ca="1"/>
        <v>3.5000000000000001E-3</v>
      </c>
      <c r="D16" s="4">
        <f ca="1"/>
        <v>2.9826291555941076E-3</v>
      </c>
      <c r="E16" s="4">
        <f ca="1"/>
        <v>2.4937971946034008</v>
      </c>
      <c r="F16" s="4">
        <f ca="1"/>
        <v>1354.0291834450593</v>
      </c>
      <c r="G16">
        <f ca="1"/>
        <v>327020.88140943152</v>
      </c>
      <c r="H16">
        <f ca="1"/>
        <v>2.9826291555941076E-3</v>
      </c>
      <c r="I16">
        <f ca="1"/>
        <v>3.6501941054824876E-3</v>
      </c>
      <c r="J16">
        <f ca="1"/>
        <v>1.1858986007143792E-4</v>
      </c>
      <c r="K16">
        <f ca="1"/>
        <v>0</v>
      </c>
      <c r="L16">
        <f ca="1"/>
        <v>0.10617083766773017</v>
      </c>
      <c r="M16">
        <f ca="1"/>
        <v>4.9424693440624212</v>
      </c>
      <c r="N16">
        <f ca="1"/>
        <v>3.6875661952342597E-4</v>
      </c>
      <c r="O16">
        <f ca="1"/>
        <v>0</v>
      </c>
      <c r="P16">
        <f ca="1"/>
        <v>5.049008938349675</v>
      </c>
      <c r="Q16">
        <f ca="1"/>
        <v>1197.7725726454153</v>
      </c>
    </row>
    <row r="17" spans="1:17">
      <c r="A17" s="2">
        <f ca="1"/>
        <v>16</v>
      </c>
      <c r="B17" s="2">
        <f ca="1"/>
        <v>-0.89830508474576276</v>
      </c>
      <c r="C17" s="7">
        <f ca="1"/>
        <v>3.7499999999999999E-3</v>
      </c>
      <c r="D17" s="4">
        <f ca="1"/>
        <v>3.6492381132509077E-3</v>
      </c>
      <c r="E17" s="4">
        <f ca="1"/>
        <v>2.8424380075518934</v>
      </c>
      <c r="F17" s="4">
        <f ca="1"/>
        <v>1434.7544228595314</v>
      </c>
      <c r="G17">
        <f ca="1"/>
        <v>318791.34660661477</v>
      </c>
      <c r="H17">
        <f ca="1"/>
        <v>3.6492381132509077E-3</v>
      </c>
      <c r="I17">
        <f ca="1"/>
        <v>3.6502740305694812E-3</v>
      </c>
      <c r="J17">
        <f ca="1"/>
        <v>1.3575836647466825E-4</v>
      </c>
      <c r="K17">
        <f ca="1"/>
        <v>0</v>
      </c>
      <c r="L17">
        <f ca="1"/>
        <v>0.10698322079977272</v>
      </c>
      <c r="M17">
        <f ca="1"/>
        <v>5.237246810008851</v>
      </c>
      <c r="N17">
        <f ca="1"/>
        <v>5.4842672676527976E-4</v>
      </c>
      <c r="O17">
        <f ca="1"/>
        <v>0</v>
      </c>
      <c r="P17">
        <f ca="1"/>
        <v>5.3447784575353889</v>
      </c>
      <c r="Q17">
        <f ca="1"/>
        <v>1168.613701162009</v>
      </c>
    </row>
    <row r="18" spans="1:17">
      <c r="A18" s="2">
        <f ca="1"/>
        <v>17</v>
      </c>
      <c r="B18" s="2">
        <f ca="1"/>
        <v>-0.89152542372881349</v>
      </c>
      <c r="C18" s="7">
        <f ca="1"/>
        <v>4.0000000000000001E-3</v>
      </c>
      <c r="D18" s="4">
        <f ca="1"/>
        <v>4.405508547080661E-3</v>
      </c>
      <c r="E18" s="4">
        <f ca="1"/>
        <v>3.21100360193521</v>
      </c>
      <c r="F18" s="4">
        <f ca="1"/>
        <v>1513.4300130984923</v>
      </c>
      <c r="G18">
        <f ca="1"/>
        <v>310623.68800532265</v>
      </c>
      <c r="H18">
        <f ca="1"/>
        <v>4.405508547080661E-3</v>
      </c>
      <c r="I18">
        <f ca="1"/>
        <v>3.6503906072802763E-3</v>
      </c>
      <c r="J18">
        <f ca="1"/>
        <v>1.5522201988782983E-4</v>
      </c>
      <c r="K18">
        <f ca="1"/>
        <v>0</v>
      </c>
      <c r="L18">
        <f ca="1"/>
        <v>0.1079048725967504</v>
      </c>
      <c r="M18">
        <f ca="1"/>
        <v>5.5246107045908017</v>
      </c>
      <c r="N18">
        <f ca="1"/>
        <v>8.0021174312795479E-4</v>
      </c>
      <c r="O18">
        <f ca="1"/>
        <v>0</v>
      </c>
      <c r="P18">
        <f ca="1"/>
        <v>5.6333157889306795</v>
      </c>
      <c r="Q18">
        <f ca="1"/>
        <v>1139.8044048970694</v>
      </c>
    </row>
    <row r="19" spans="1:17">
      <c r="A19" s="2">
        <f ca="1"/>
        <v>18</v>
      </c>
      <c r="B19" s="2">
        <f ca="1"/>
        <v>-0.88474576271186445</v>
      </c>
      <c r="C19" s="7">
        <f ca="1"/>
        <v>4.2500000000000003E-3</v>
      </c>
      <c r="D19" s="4">
        <f ca="1"/>
        <v>5.2563577620403645E-3</v>
      </c>
      <c r="E19" s="4">
        <f ca="1"/>
        <v>3.5989834990907235</v>
      </c>
      <c r="F19" s="4">
        <f ca="1"/>
        <v>1590.0714232123194</v>
      </c>
      <c r="G19">
        <f ca="1"/>
        <v>302517.90560555569</v>
      </c>
      <c r="H19">
        <f ca="1"/>
        <v>5.2563577620403645E-3</v>
      </c>
      <c r="I19">
        <f ca="1"/>
        <v>3.6505226775724671E-3</v>
      </c>
      <c r="J19">
        <f ca="1"/>
        <v>1.7711928487650064E-4</v>
      </c>
      <c r="K19">
        <f ca="1"/>
        <v>0</v>
      </c>
      <c r="L19">
        <f ca="1"/>
        <v>0.10894178568080888</v>
      </c>
      <c r="M19">
        <f ca="1"/>
        <v>5.8045917893964996</v>
      </c>
      <c r="N19">
        <f ca="1"/>
        <v>1.1470849066152504E-3</v>
      </c>
      <c r="O19">
        <f ca="1"/>
        <v>0</v>
      </c>
      <c r="P19">
        <f ca="1"/>
        <v>5.9146806599839241</v>
      </c>
      <c r="Q19">
        <f ca="1"/>
        <v>1111.4393014441475</v>
      </c>
    </row>
    <row r="20" spans="1:17">
      <c r="A20" s="2">
        <f ca="1"/>
        <v>19</v>
      </c>
      <c r="B20" s="2">
        <f ca="1"/>
        <v>-0.87796610169491518</v>
      </c>
      <c r="C20" s="7">
        <f ca="1"/>
        <v>4.5000000000000005E-3</v>
      </c>
      <c r="D20" s="4">
        <f ca="1"/>
        <v>6.2065759268310483E-3</v>
      </c>
      <c r="E20" s="4">
        <f ca="1"/>
        <v>4.0058710876184671</v>
      </c>
      <c r="F20" s="4">
        <f ca="1"/>
        <v>1664.6941222513972</v>
      </c>
      <c r="G20">
        <f ca="1"/>
        <v>294473.99940731341</v>
      </c>
      <c r="H20">
        <f ca="1"/>
        <v>6.2065759268310483E-3</v>
      </c>
      <c r="I20">
        <f ca="1"/>
        <v>3.6507118130036623E-3</v>
      </c>
      <c r="J20">
        <f ca="1"/>
        <v>2.0155100101424501E-4</v>
      </c>
      <c r="K20">
        <f ca="1"/>
        <v>0</v>
      </c>
      <c r="L20">
        <f ca="1"/>
        <v>0.11009979773565712</v>
      </c>
      <c r="M20">
        <f ca="1"/>
        <v>6.0773184971409382</v>
      </c>
      <c r="N20">
        <f ca="1"/>
        <v>1.6171447761583666E-3</v>
      </c>
      <c r="O20">
        <f ca="1"/>
        <v>0</v>
      </c>
      <c r="P20">
        <f ca="1"/>
        <v>6.1890354396527538</v>
      </c>
      <c r="Q20">
        <f ca="1"/>
        <v>1083.5325645312616</v>
      </c>
    </row>
    <row r="21" spans="1:17">
      <c r="A21" s="2">
        <f ca="1"/>
        <v>20</v>
      </c>
      <c r="B21" s="2">
        <f ca="1"/>
        <v>-0.87118644067796613</v>
      </c>
      <c r="C21" s="7">
        <f ca="1"/>
        <v>4.7499999999999999E-3</v>
      </c>
      <c r="D21" s="4">
        <f ca="1"/>
        <v>7.2608270407101827E-3</v>
      </c>
      <c r="E21" s="4">
        <f ca="1"/>
        <v>4.4311636233810416</v>
      </c>
      <c r="F21" s="4">
        <f ca="1"/>
        <v>1737.3135792661042</v>
      </c>
      <c r="G21">
        <f ca="1"/>
        <v>286491.96941059636</v>
      </c>
      <c r="H21">
        <f ca="1"/>
        <v>7.2608270407101827E-3</v>
      </c>
      <c r="I21">
        <f ca="1"/>
        <v>3.6509341925597999E-3</v>
      </c>
      <c r="J21">
        <f ca="1"/>
        <v>2.286504399820921E-4</v>
      </c>
      <c r="K21">
        <f ca="1"/>
        <v>0</v>
      </c>
      <c r="L21">
        <f ca="1"/>
        <v>0.11138459268480244</v>
      </c>
      <c r="M21">
        <f ca="1"/>
        <v>6.3428175497410697</v>
      </c>
      <c r="N21">
        <f ca="1"/>
        <v>2.2447998236821975E-3</v>
      </c>
      <c r="O21">
        <f ca="1"/>
        <v>0</v>
      </c>
      <c r="P21">
        <f ca="1"/>
        <v>6.4564469422495545</v>
      </c>
      <c r="Q21">
        <f ca="1"/>
        <v>1056.0786414727402</v>
      </c>
    </row>
    <row r="22" spans="1:17">
      <c r="A22" s="2">
        <f ca="1"/>
        <v>21</v>
      </c>
      <c r="B22" s="2">
        <f ca="1"/>
        <v>-0.86440677966101698</v>
      </c>
      <c r="C22" s="7">
        <f ca="1"/>
        <v>5.0000000000000001E-3</v>
      </c>
      <c r="D22" s="4">
        <f ca="1"/>
        <v>8.4236499003091936E-3</v>
      </c>
      <c r="E22" s="4">
        <f ca="1"/>
        <v>4.874362229503685</v>
      </c>
      <c r="F22" s="4">
        <f ca="1"/>
        <v>1807.9452633068224</v>
      </c>
      <c r="G22">
        <f ca="1"/>
        <v>278571.81561540416</v>
      </c>
      <c r="H22">
        <f ca="1"/>
        <v>8.4236499003091936E-3</v>
      </c>
      <c r="I22">
        <f ca="1"/>
        <v>3.6512178022545406E-3</v>
      </c>
      <c r="J22">
        <f ca="1"/>
        <v>2.5851887743005359E-4</v>
      </c>
      <c r="K22">
        <f ca="1"/>
        <v>0</v>
      </c>
      <c r="L22">
        <f ca="1"/>
        <v>0.11280170186979195</v>
      </c>
      <c r="M22">
        <f ca="1"/>
        <v>6.6012019308876431</v>
      </c>
      <c r="N22">
        <f ca="1"/>
        <v>3.07112763168851E-3</v>
      </c>
      <c r="O22">
        <f ca="1"/>
        <v>0</v>
      </c>
      <c r="P22">
        <f ca="1"/>
        <v>6.7170747603891234</v>
      </c>
      <c r="Q22">
        <f ca="1"/>
        <v>1029.2251262300053</v>
      </c>
    </row>
    <row r="23" spans="1:17">
      <c r="A23" s="2">
        <f ca="1"/>
        <v>22</v>
      </c>
      <c r="B23" s="2">
        <f ca="1"/>
        <v>-0.85762711864406782</v>
      </c>
      <c r="C23" s="7">
        <f ca="1"/>
        <v>5.2500000000000003E-3</v>
      </c>
      <c r="D23" s="4">
        <f ca="1"/>
        <v>9.6994590664485347E-3</v>
      </c>
      <c r="E23" s="4">
        <f ca="1"/>
        <v>5.3349718963741637</v>
      </c>
      <c r="F23" s="4">
        <f ca="1"/>
        <v>1876.6046434239336</v>
      </c>
      <c r="G23">
        <f ca="1"/>
        <v>270713.53802173678</v>
      </c>
      <c r="H23">
        <f ca="1"/>
        <v>9.6994590664485347E-3</v>
      </c>
      <c r="I23">
        <f ca="1"/>
        <v>3.6515725590176673E-3</v>
      </c>
      <c r="J23">
        <f ca="1"/>
        <v>2.9126491370215138E-4</v>
      </c>
      <c r="K23">
        <f ca="1"/>
        <v>0</v>
      </c>
      <c r="L23">
        <f ca="1"/>
        <v>0.11435650522845084</v>
      </c>
      <c r="M23">
        <f ca="1"/>
        <v>6.85255802005197</v>
      </c>
      <c r="N23">
        <f ca="1"/>
        <v>4.1449800841363094E-3</v>
      </c>
      <c r="O23">
        <f ca="1"/>
        <v>0</v>
      </c>
      <c r="P23">
        <f ca="1"/>
        <v>6.9710595053645577</v>
      </c>
      <c r="Q23">
        <f ca="1"/>
        <v>1002.9321092375243</v>
      </c>
    </row>
    <row r="24" spans="1:17">
      <c r="A24" s="2">
        <f ca="1"/>
        <v>23</v>
      </c>
      <c r="B24" s="2">
        <f ca="1"/>
        <v>-0.85084745762711866</v>
      </c>
      <c r="C24" s="7">
        <f ca="1"/>
        <v>5.4999999999999997E-3</v>
      </c>
      <c r="D24" s="4">
        <f ca="1"/>
        <v>1.1092545830953648E-2</v>
      </c>
      <c r="E24" s="4">
        <f ca="1"/>
        <v>5.8125014816428857</v>
      </c>
      <c r="F24" s="4">
        <f ca="1"/>
        <v>1943.3071886678179</v>
      </c>
      <c r="G24">
        <f ca="1"/>
        <v>262917.13662959443</v>
      </c>
      <c r="H24">
        <f ca="1"/>
        <v>1.1092545830953648E-2</v>
      </c>
      <c r="I24">
        <f ca="1"/>
        <v>3.6520025311501895E-3</v>
      </c>
      <c r="J24">
        <f ca="1"/>
        <v>3.2699614354611626E-4</v>
      </c>
      <c r="K24">
        <f ca="1"/>
        <v>0</v>
      </c>
      <c r="L24">
        <f ca="1"/>
        <v>0.11605423247312187</v>
      </c>
      <c r="M24">
        <f ca="1"/>
        <v>7.0969627718172292</v>
      </c>
      <c r="N24">
        <f ca="1"/>
        <v>5.523810717533743E-3</v>
      </c>
      <c r="O24">
        <f ca="1"/>
        <v>0</v>
      </c>
      <c r="P24">
        <f ca="1"/>
        <v>7.2185408150078851</v>
      </c>
      <c r="Q24">
        <f ca="1"/>
        <v>977.2695650069893</v>
      </c>
    </row>
    <row r="25" spans="1:17">
      <c r="A25" s="2">
        <f ca="1"/>
        <v>24</v>
      </c>
      <c r="B25" s="2">
        <f ca="1"/>
        <v>-0.84406779661016951</v>
      </c>
      <c r="C25" s="7">
        <f ca="1"/>
        <v>5.7499999999999999E-3</v>
      </c>
      <c r="D25" s="4">
        <f ca="1"/>
        <v>1.260707918347026E-2</v>
      </c>
      <c r="E25" s="4">
        <f ca="1"/>
        <v>6.3064637102228343</v>
      </c>
      <c r="F25" s="4">
        <f ca="1"/>
        <v>2008.0683680888565</v>
      </c>
      <c r="G25">
        <f ca="1"/>
        <v>255182.61143897707</v>
      </c>
      <c r="H25">
        <f ca="1"/>
        <v>1.260707918347026E-2</v>
      </c>
      <c r="I25">
        <f ca="1"/>
        <v>3.6525250127161569E-3</v>
      </c>
      <c r="J25">
        <f ca="1"/>
        <v>3.6580892047405827E-4</v>
      </c>
      <c r="K25">
        <f ca="1"/>
        <v>0</v>
      </c>
      <c r="L25">
        <f ca="1"/>
        <v>0.11789996426890403</v>
      </c>
      <c r="M25">
        <f ca="1"/>
        <v>7.3345199416886633</v>
      </c>
      <c r="N25">
        <f ca="1"/>
        <v>7.2743819104845939E-3</v>
      </c>
      <c r="O25">
        <f ca="1"/>
        <v>0</v>
      </c>
      <c r="P25">
        <f ca="1"/>
        <v>7.4596942878680519</v>
      </c>
      <c r="Q25">
        <f ca="1"/>
        <v>952.33933769680152</v>
      </c>
    </row>
    <row r="26" spans="1:17">
      <c r="A26" s="2">
        <f ca="1"/>
        <v>25</v>
      </c>
      <c r="B26" s="2">
        <f ca="1"/>
        <v>-0.83728813559322035</v>
      </c>
      <c r="C26" s="7">
        <f ca="1"/>
        <v>6.0000000000000001E-3</v>
      </c>
      <c r="D26" s="4">
        <f ca="1"/>
        <v>1.4247106778279894E-2</v>
      </c>
      <c r="E26" s="4">
        <f ca="1"/>
        <v>6.8163751742896075</v>
      </c>
      <c r="F26" s="4">
        <f ca="1"/>
        <v>2070.9036507374331</v>
      </c>
      <c r="G26">
        <f ca="1"/>
        <v>247509.96244988451</v>
      </c>
      <c r="H26">
        <f ca="1"/>
        <v>1.4247106778279894E-2</v>
      </c>
      <c r="I26">
        <f ca="1"/>
        <v>3.6531579543550323E-3</v>
      </c>
      <c r="J26">
        <f ca="1"/>
        <v>4.0779596933719089E-4</v>
      </c>
      <c r="K26">
        <f ca="1"/>
        <v>0</v>
      </c>
      <c r="L26">
        <f ca="1"/>
        <v>0.1198986334118915</v>
      </c>
      <c r="M26">
        <f ca="1"/>
        <v>7.5653381443943291</v>
      </c>
      <c r="N26">
        <f ca="1"/>
        <v>9.4737060500657225E-3</v>
      </c>
      <c r="O26">
        <f ca="1"/>
        <v>0</v>
      </c>
      <c r="P26">
        <f ca="1"/>
        <v>7.6947104838562863</v>
      </c>
      <c r="Q26">
        <f ca="1"/>
        <v>928.20287516407438</v>
      </c>
    </row>
    <row r="27" spans="1:17">
      <c r="A27" s="2">
        <f ca="1"/>
        <v>26</v>
      </c>
      <c r="B27" s="2">
        <f ca="1"/>
        <v>-0.83050847457627119</v>
      </c>
      <c r="C27" s="7">
        <f ca="1"/>
        <v>6.2500000000000003E-3</v>
      </c>
      <c r="D27" s="4">
        <f ca="1"/>
        <v>1.6016555901116503E-2</v>
      </c>
      <c r="E27" s="4">
        <f ca="1"/>
        <v>7.3417563332813822</v>
      </c>
      <c r="F27" s="4">
        <f ca="1"/>
        <v>2131.828505663927</v>
      </c>
      <c r="G27">
        <f ca="1"/>
        <v>239899.18966231699</v>
      </c>
      <c r="H27">
        <f ca="1"/>
        <v>1.6016555901116503E-2</v>
      </c>
      <c r="I27">
        <f ca="1"/>
        <v>3.6539199410523587E-3</v>
      </c>
      <c r="J27">
        <f ca="1"/>
        <v>4.5305000804349689E-4</v>
      </c>
      <c r="K27">
        <f ca="1"/>
        <v>0</v>
      </c>
      <c r="L27">
        <f ca="1"/>
        <v>0.12205502600741382</v>
      </c>
      <c r="M27">
        <f ca="1"/>
        <v>7.7895306877492736</v>
      </c>
      <c r="N27">
        <f ca="1"/>
        <v>1.2210011693402552E-2</v>
      </c>
      <c r="O27">
        <f ca="1"/>
        <v>0</v>
      </c>
      <c r="P27">
        <f ca="1"/>
        <v>7.9237957254500895</v>
      </c>
      <c r="Q27">
        <f ca="1"/>
        <v>904.91752953410401</v>
      </c>
    </row>
    <row r="28" spans="1:17">
      <c r="A28" s="2">
        <f ca="1"/>
        <v>27</v>
      </c>
      <c r="B28" s="2">
        <f ca="1"/>
        <v>-0.82372881355932204</v>
      </c>
      <c r="C28" s="7">
        <f ca="1"/>
        <v>6.5000000000000006E-3</v>
      </c>
      <c r="D28" s="4">
        <f ca="1"/>
        <v>1.7919234435980425E-2</v>
      </c>
      <c r="E28" s="4">
        <f ca="1"/>
        <v>7.8821315138989361</v>
      </c>
      <c r="F28" s="4">
        <f ca="1"/>
        <v>2190.8584019187183</v>
      </c>
      <c r="G28">
        <f ca="1"/>
        <v>232350.29307627439</v>
      </c>
      <c r="H28">
        <f ca="1"/>
        <v>1.7919234435980425E-2</v>
      </c>
      <c r="I28">
        <f ca="1"/>
        <v>3.6548301674515123E-3</v>
      </c>
      <c r="J28">
        <f ca="1"/>
        <v>5.0165724441396939E-4</v>
      </c>
      <c r="K28">
        <f ca="1"/>
        <v>0</v>
      </c>
      <c r="L28">
        <f ca="1"/>
        <v>0.12437038873744023</v>
      </c>
      <c r="M28">
        <f ca="1"/>
        <v>8.0072153799471426</v>
      </c>
      <c r="N28">
        <f ca="1"/>
        <v>1.5583479938757073E-2</v>
      </c>
      <c r="O28">
        <f ca="1"/>
        <v>0</v>
      </c>
      <c r="P28">
        <f ca="1"/>
        <v>8.1471692486233387</v>
      </c>
      <c r="Q28">
        <f ca="1"/>
        <v>882.53335947991548</v>
      </c>
    </row>
    <row r="29" spans="1:17">
      <c r="A29" s="2">
        <f ca="1"/>
        <v>28</v>
      </c>
      <c r="B29" s="2">
        <f ca="1"/>
        <v>-0.81694915254237288</v>
      </c>
      <c r="C29" s="7">
        <f ca="1"/>
        <v>6.7499999999999999E-3</v>
      </c>
      <c r="D29" s="4">
        <f ca="1"/>
        <v>1.9958831831956125E-2</v>
      </c>
      <c r="E29" s="4">
        <f ca="1"/>
        <v>8.4370289101056244</v>
      </c>
      <c r="F29" s="4">
        <f ca="1"/>
        <v>2248.0088085521907</v>
      </c>
      <c r="G29">
        <f ca="1"/>
        <v>224863.27269175675</v>
      </c>
      <c r="H29">
        <f ca="1"/>
        <v>1.9958831831956125E-2</v>
      </c>
      <c r="I29">
        <f ca="1"/>
        <v>3.6559083942870256E-3</v>
      </c>
      <c r="J29">
        <f ca="1"/>
        <v>5.5369556780962689E-4</v>
      </c>
      <c r="K29">
        <f ca="1"/>
        <v>0</v>
      </c>
      <c r="L29">
        <f ca="1"/>
        <v>0.12684114929885995</v>
      </c>
      <c r="M29">
        <f ca="1"/>
        <v>8.2185142736171297</v>
      </c>
      <c r="N29">
        <f ca="1"/>
        <v>1.9706982274057858E-2</v>
      </c>
      <c r="O29">
        <f ca="1"/>
        <v>0</v>
      </c>
      <c r="P29">
        <f ca="1"/>
        <v>8.3650624051900468</v>
      </c>
      <c r="Q29">
        <f ca="1"/>
        <v>861.14647511008332</v>
      </c>
    </row>
    <row r="30" spans="1:17">
      <c r="A30" s="2">
        <f ca="1"/>
        <v>29</v>
      </c>
      <c r="B30" s="2">
        <f ca="1"/>
        <v>-0.81016949152542372</v>
      </c>
      <c r="C30" s="7">
        <f ca="1"/>
        <v>7.0000000000000001E-3</v>
      </c>
      <c r="D30" s="4">
        <f ca="1"/>
        <v>2.2138920070025492E-2</v>
      </c>
      <c r="E30" s="4">
        <f ca="1"/>
        <v>9.0059805831274424</v>
      </c>
      <c r="F30" s="4">
        <f ca="1"/>
        <v>2303.2951946147241</v>
      </c>
      <c r="G30">
        <f ca="1"/>
        <v>217438.12850876394</v>
      </c>
      <c r="H30">
        <f ca="1"/>
        <v>2.2138920070025492E-2</v>
      </c>
      <c r="I30">
        <f ca="1"/>
        <v>3.6571749219962944E-3</v>
      </c>
      <c r="J30">
        <f ca="1"/>
        <v>6.0923849964534692E-4</v>
      </c>
      <c r="K30">
        <f ca="1"/>
        <v>0</v>
      </c>
      <c r="L30">
        <f ca="1"/>
        <v>0.12948209993434553</v>
      </c>
      <c r="M30">
        <f ca="1"/>
        <v>8.4235534236995431</v>
      </c>
      <c r="N30">
        <f ca="1"/>
        <v>2.4706962544491458E-2</v>
      </c>
      <c r="O30">
        <f ca="1"/>
        <v>0</v>
      </c>
      <c r="P30">
        <f ca="1"/>
        <v>8.57774248617838</v>
      </c>
      <c r="Q30">
        <f ca="1"/>
        <v>840.85011619261172</v>
      </c>
    </row>
    <row r="31" spans="1:17">
      <c r="A31" s="2">
        <f ca="1"/>
        <v>30</v>
      </c>
      <c r="B31" s="2">
        <f ca="1"/>
        <v>-0.80338983050847457</v>
      </c>
      <c r="C31" s="7">
        <f ca="1"/>
        <v>7.2500000000000004E-3</v>
      </c>
      <c r="D31" s="4">
        <f ca="1"/>
        <v>2.4462954629886013E-2</v>
      </c>
      <c r="E31" s="4">
        <f ca="1"/>
        <v>9.5885224614529516</v>
      </c>
      <c r="F31" s="4">
        <f ca="1"/>
        <v>2356.7330291566996</v>
      </c>
      <c r="G31">
        <f ca="1"/>
        <v>210074.8605272962</v>
      </c>
      <c r="H31">
        <f ca="1"/>
        <v>2.4462954629886013E-2</v>
      </c>
      <c r="I31">
        <f ca="1"/>
        <v>3.6586517991283193E-3</v>
      </c>
      <c r="J31">
        <f ca="1"/>
        <v>6.6836151187861102E-4</v>
      </c>
      <c r="K31">
        <f ca="1"/>
        <v>0</v>
      </c>
      <c r="L31">
        <f ca="1"/>
        <v>0.13229742659891647</v>
      </c>
      <c r="M31">
        <f ca="1"/>
        <v>8.6224655371892922</v>
      </c>
      <c r="N31">
        <f ca="1"/>
        <v>3.0724499498144583E-2</v>
      </c>
      <c r="O31">
        <f ca="1"/>
        <v>0</v>
      </c>
      <c r="P31">
        <f ca="1"/>
        <v>8.7854874632863531</v>
      </c>
      <c r="Q31">
        <f ca="1"/>
        <v>821.83902739144514</v>
      </c>
    </row>
    <row r="32" spans="1:17">
      <c r="A32" s="2">
        <f ca="1"/>
        <v>31</v>
      </c>
      <c r="B32" s="2">
        <f ca="1"/>
        <v>-0.79661016949152541</v>
      </c>
      <c r="C32" s="7">
        <f ca="1"/>
        <v>7.4999999999999997E-3</v>
      </c>
      <c r="D32" s="4">
        <f ca="1"/>
        <v>2.6934275456764301E-2</v>
      </c>
      <c r="E32" s="4">
        <f ca="1"/>
        <v>10.184194340833276</v>
      </c>
      <c r="F32" s="4">
        <f ca="1"/>
        <v>2408.3377812284998</v>
      </c>
      <c r="G32">
        <f ca="1"/>
        <v>202773.46874735336</v>
      </c>
      <c r="H32">
        <f ca="1"/>
        <v>2.6934275456764301E-2</v>
      </c>
      <c r="I32">
        <f ca="1"/>
        <v>3.6603900192520625E-3</v>
      </c>
      <c r="J32">
        <f ca="1"/>
        <v>7.3112314249382639E-4</v>
      </c>
      <c r="K32">
        <f ca="1"/>
        <v>0</v>
      </c>
      <c r="L32">
        <f ca="1"/>
        <v>0.13529117528957169</v>
      </c>
      <c r="M32">
        <f ca="1"/>
        <v>8.8154555773964578</v>
      </c>
      <c r="N32">
        <f ca="1"/>
        <v>3.7915247188073008E-2</v>
      </c>
      <c r="O32">
        <f ca="1"/>
        <v>0</v>
      </c>
      <c r="P32">
        <f ca="1"/>
        <v>8.9886619998741022</v>
      </c>
      <c r="Q32">
        <f ca="1"/>
        <v>804.07052277958326</v>
      </c>
    </row>
    <row r="33" spans="1:17">
      <c r="A33" s="2">
        <f ca="1"/>
        <v>32</v>
      </c>
      <c r="B33" s="2">
        <f ca="1"/>
        <v>-0.78983050847457625</v>
      </c>
      <c r="C33" s="7">
        <f ca="1"/>
        <v>7.7499999999999999E-3</v>
      </c>
      <c r="D33" s="4">
        <f ca="1"/>
        <v>2.9556107928232489E-2</v>
      </c>
      <c r="E33" s="4">
        <f ca="1"/>
        <v>10.792539884282217</v>
      </c>
      <c r="F33" s="4">
        <f ca="1"/>
        <v>2458.1249198805044</v>
      </c>
      <c r="G33">
        <f ca="1"/>
        <v>195533.9531689354</v>
      </c>
      <c r="H33">
        <f ca="1"/>
        <v>2.9556107928232489E-2</v>
      </c>
      <c r="I33">
        <f ca="1"/>
        <v>3.6623869549502622E-3</v>
      </c>
      <c r="J33">
        <f ca="1"/>
        <v>7.9758350070848469E-4</v>
      </c>
      <c r="K33">
        <f ca="1"/>
        <v>0</v>
      </c>
      <c r="L33">
        <f ca="1"/>
        <v>0.1384672532164874</v>
      </c>
      <c r="M33">
        <f ca="1"/>
        <v>9.0026046402085171</v>
      </c>
      <c r="N33">
        <f ca="1"/>
        <v>4.6450831251139621E-2</v>
      </c>
      <c r="O33">
        <f ca="1"/>
        <v>0</v>
      </c>
      <c r="P33">
        <f ca="1"/>
        <v>9.1875227246761444</v>
      </c>
      <c r="Q33">
        <f ca="1"/>
        <v>787.68400102034445</v>
      </c>
    </row>
    <row r="34" spans="1:17">
      <c r="A34" s="2">
        <f ca="1"/>
        <v>33</v>
      </c>
      <c r="B34" s="2">
        <f ca="1"/>
        <v>-0.7830508474576271</v>
      </c>
      <c r="C34" s="7">
        <f ca="1"/>
        <v>8.0000000000000002E-3</v>
      </c>
      <c r="D34" s="4">
        <f ca="1"/>
        <v>3.2331563821024867E-2</v>
      </c>
      <c r="E34" s="4">
        <f ca="1"/>
        <v>11.41310662207608</v>
      </c>
      <c r="F34" s="4">
        <f ca="1"/>
        <v>2506.1099141630943</v>
      </c>
      <c r="G34">
        <f ca="1"/>
        <v>188356.31379204249</v>
      </c>
      <c r="H34">
        <f ca="1"/>
        <v>3.2331563821024867E-2</v>
      </c>
      <c r="I34">
        <f ca="1"/>
        <v>3.6647054080637714E-3</v>
      </c>
      <c r="J34">
        <f ca="1"/>
        <v>8.6780972637242302E-4</v>
      </c>
      <c r="K34">
        <f ca="1"/>
        <v>0</v>
      </c>
      <c r="L34">
        <f ca="1"/>
        <v>0.14182942997421505</v>
      </c>
      <c r="M34">
        <f ca="1"/>
        <v>9.1841545556357254</v>
      </c>
      <c r="N34">
        <f ca="1"/>
        <v>5.6520014774334056E-2</v>
      </c>
      <c r="O34">
        <f ca="1"/>
        <v>0</v>
      </c>
      <c r="P34">
        <f ca="1"/>
        <v>9.3825040003842748</v>
      </c>
      <c r="Q34">
        <f ca="1"/>
        <v>772.8035078451569</v>
      </c>
    </row>
    <row r="35" spans="1:17">
      <c r="A35" s="2">
        <f ca="1"/>
        <v>34</v>
      </c>
      <c r="B35" s="2">
        <f ca="1"/>
        <v>-0.77627118644067794</v>
      </c>
      <c r="C35" s="7">
        <f ca="1"/>
        <v>8.2500000000000004E-3</v>
      </c>
      <c r="D35" s="4">
        <f ca="1"/>
        <v>3.5263642277851837E-2</v>
      </c>
      <c r="E35" s="4">
        <f ca="1"/>
        <v>12.045445951753836</v>
      </c>
      <c r="F35" s="4">
        <f ca="1"/>
        <v>2552.3082331266519</v>
      </c>
      <c r="G35">
        <f ca="1"/>
        <v>181240.55061667447</v>
      </c>
      <c r="H35">
        <f ca="1"/>
        <v>3.5263642277851837E-2</v>
      </c>
      <c r="I35">
        <f ca="1"/>
        <v>3.6673551049307695E-3</v>
      </c>
      <c r="J35">
        <f ca="1"/>
        <v>9.4182205815462557E-4</v>
      </c>
      <c r="K35">
        <f ca="1"/>
        <v>0</v>
      </c>
      <c r="L35">
        <f ca="1"/>
        <v>0.14537806571113349</v>
      </c>
      <c r="M35">
        <f ca="1"/>
        <v>9.3602206281138596</v>
      </c>
      <c r="N35">
        <f ca="1"/>
        <v>6.8325784773729456E-2</v>
      </c>
      <c r="O35">
        <f ca="1"/>
        <v>0</v>
      </c>
      <c r="P35">
        <f ca="1"/>
        <v>9.5739244785987232</v>
      </c>
      <c r="Q35">
        <f ca="1"/>
        <v>759.38788509367259</v>
      </c>
    </row>
    <row r="36" spans="1:17">
      <c r="A36" s="2">
        <f ca="1"/>
        <v>35</v>
      </c>
      <c r="B36" s="2">
        <f ca="1"/>
        <v>-0.76949152542372878</v>
      </c>
      <c r="C36" s="7">
        <f ca="1"/>
        <v>8.5000000000000006E-3</v>
      </c>
      <c r="D36" s="4">
        <f ca="1"/>
        <v>3.8355230774216542E-2</v>
      </c>
      <c r="E36" s="4">
        <f ca="1"/>
        <v>12.689113138117028</v>
      </c>
      <c r="F36" s="4">
        <f ca="1"/>
        <v>2596.7353458215584</v>
      </c>
      <c r="G36">
        <f ca="1"/>
        <v>174186.66364283138</v>
      </c>
      <c r="H36">
        <f ca="1"/>
        <v>3.8355230774216542E-2</v>
      </c>
      <c r="I36">
        <f ca="1"/>
        <v>3.6703820230596239E-3</v>
      </c>
      <c r="J36">
        <f ca="1"/>
        <v>1.019694609643634E-3</v>
      </c>
      <c r="K36">
        <f ca="1"/>
        <v>0</v>
      </c>
      <c r="L36">
        <f ca="1"/>
        <v>0.14909486494501623</v>
      </c>
      <c r="M36">
        <f ca="1"/>
        <v>9.5310107319469637</v>
      </c>
      <c r="N36">
        <f ca="1"/>
        <v>8.2092346039130681E-2</v>
      </c>
      <c r="O36">
        <f ca="1"/>
        <v>0</v>
      </c>
      <c r="P36">
        <f ca="1"/>
        <v>9.7621979429311114</v>
      </c>
      <c r="Q36">
        <f ca="1"/>
        <v>747.78455927267657</v>
      </c>
    </row>
    <row r="37" spans="1:17">
      <c r="A37" s="2">
        <f ca="1"/>
        <v>36</v>
      </c>
      <c r="B37" s="2">
        <f ca="1"/>
        <v>-0.76271186440677963</v>
      </c>
      <c r="C37" s="7">
        <f ca="1"/>
        <v>8.7500000000000008E-3</v>
      </c>
      <c r="D37" s="4">
        <f ca="1"/>
        <v>4.1609106085230385E-2</v>
      </c>
      <c r="E37" s="4">
        <f ca="1"/>
        <v>13.34366731322976</v>
      </c>
      <c r="F37" s="4">
        <f ca="1"/>
        <v>2639.4067212981945</v>
      </c>
      <c r="G37">
        <f ca="1"/>
        <v>167194.65287051318</v>
      </c>
      <c r="H37">
        <f ca="1"/>
        <v>4.1609106085230385E-2</v>
      </c>
      <c r="I37">
        <f ca="1"/>
        <v>3.6738372546476464E-3</v>
      </c>
      <c r="J37">
        <f ca="1"/>
        <v>1.1014584790436056E-3</v>
      </c>
      <c r="K37">
        <f ca="1"/>
        <v>0</v>
      </c>
      <c r="L37">
        <f ca="1"/>
        <v>0.15300677019286765</v>
      </c>
      <c r="M37">
        <f ca="1"/>
        <v>9.6967507428727036</v>
      </c>
      <c r="N37">
        <f ca="1"/>
        <v>9.8059245169491008E-2</v>
      </c>
      <c r="O37">
        <f ca="1"/>
        <v>0</v>
      </c>
      <c r="P37">
        <f ca="1"/>
        <v>9.9478167582350618</v>
      </c>
      <c r="Q37">
        <f ca="1"/>
        <v>738.0156032234446</v>
      </c>
    </row>
    <row r="38" spans="1:17">
      <c r="A38" s="2">
        <f ca="1"/>
        <v>37</v>
      </c>
      <c r="B38" s="2">
        <f ca="1"/>
        <v>-0.75593220338983047</v>
      </c>
      <c r="C38" s="7">
        <f ca="1"/>
        <v>9.0000000000000011E-3</v>
      </c>
      <c r="D38" s="4">
        <f ca="1"/>
        <v>4.5027935252428763E-2</v>
      </c>
      <c r="E38" s="4">
        <f ca="1"/>
        <v>14.008671476418792</v>
      </c>
      <c r="F38" s="4">
        <f ca="1"/>
        <v>2680.3378286069424</v>
      </c>
      <c r="G38">
        <f ca="1"/>
        <v>160264.51829972002</v>
      </c>
      <c r="H38">
        <f ca="1"/>
        <v>4.5027935252428763E-2</v>
      </c>
      <c r="I38">
        <f ca="1"/>
        <v>3.6777504223247915E-3</v>
      </c>
      <c r="J38">
        <f ca="1"/>
        <v>1.1870512460535406E-3</v>
      </c>
      <c r="K38">
        <f ca="1"/>
        <v>0</v>
      </c>
      <c r="L38">
        <f ca="1"/>
        <v>0.15711698785099412</v>
      </c>
      <c r="M38">
        <f ca="1"/>
        <v>9.8576135811322967</v>
      </c>
      <c r="N38">
        <f ca="1"/>
        <v>0.11647517555954409</v>
      </c>
      <c r="O38">
        <f ca="1"/>
        <v>0</v>
      </c>
      <c r="P38">
        <f ca="1"/>
        <v>10.131205744542834</v>
      </c>
      <c r="Q38">
        <f ca="1"/>
        <v>730.12020400521226</v>
      </c>
    </row>
    <row r="39" spans="1:17">
      <c r="A39" s="2">
        <f ca="1"/>
        <v>38</v>
      </c>
      <c r="B39" s="2">
        <f ca="1"/>
        <v>-0.74915254237288131</v>
      </c>
      <c r="C39" s="7">
        <f ca="1"/>
        <v>9.2499999999999995E-3</v>
      </c>
      <c r="D39" s="4">
        <f ca="1"/>
        <v>4.8614276550586366E-2</v>
      </c>
      <c r="E39" s="4">
        <f ca="1"/>
        <v>14.683692494273441</v>
      </c>
      <c r="F39" s="4">
        <f ca="1"/>
        <v>2719.5441367981821</v>
      </c>
      <c r="G39">
        <f ca="1"/>
        <v>153396.25993045178</v>
      </c>
      <c r="H39">
        <f ca="1"/>
        <v>4.8614276550586366E-2</v>
      </c>
      <c r="I39">
        <f ca="1"/>
        <v>3.6821669899055835E-3</v>
      </c>
      <c r="J39">
        <f ca="1"/>
        <v>1.2766763301889307E-3</v>
      </c>
      <c r="K39">
        <f ca="1"/>
        <v>0</v>
      </c>
      <c r="L39">
        <f ca="1"/>
        <v>0.16142859355308165</v>
      </c>
      <c r="M39">
        <f ca="1"/>
        <v>10.01381564810954</v>
      </c>
      <c r="N39">
        <f ca="1"/>
        <v>0.13763261857504577</v>
      </c>
      <c r="O39">
        <f ca="1"/>
        <v>0</v>
      </c>
      <c r="P39">
        <f ca="1"/>
        <v>10.312876860237667</v>
      </c>
      <c r="Q39">
        <f ca="1"/>
        <v>724.26169376675466</v>
      </c>
    </row>
    <row r="40" spans="1:17">
      <c r="A40" s="2">
        <f ca="1"/>
        <v>39</v>
      </c>
      <c r="B40" s="2">
        <f ca="1"/>
        <v>-0.74237288135593227</v>
      </c>
      <c r="C40" s="7">
        <f ca="1"/>
        <v>9.4999999999999998E-3</v>
      </c>
      <c r="D40" s="4">
        <f ca="1"/>
        <v>5.2370580454532689E-2</v>
      </c>
      <c r="E40" s="4">
        <f ca="1"/>
        <v>15.368301100645613</v>
      </c>
      <c r="F40" s="4">
        <f ca="1"/>
        <v>2757.0411149222941</v>
      </c>
      <c r="G40">
        <f ca="1"/>
        <v>146589.87776270849</v>
      </c>
      <c r="H40">
        <f ca="1"/>
        <v>5.2370580454532689E-2</v>
      </c>
      <c r="I40">
        <f ca="1"/>
        <v>3.6871340940494205E-3</v>
      </c>
      <c r="J40">
        <f ca="1"/>
        <v>1.3702148955745653E-3</v>
      </c>
      <c r="K40">
        <f ca="1"/>
        <v>0</v>
      </c>
      <c r="L40">
        <f ca="1"/>
        <v>0.16594441545580091</v>
      </c>
      <c r="M40">
        <f ca="1"/>
        <v>10.165580293526018</v>
      </c>
      <c r="N40">
        <f ca="1"/>
        <v>0.1618118824443906</v>
      </c>
      <c r="O40">
        <f ca="1"/>
        <v>0</v>
      </c>
      <c r="P40">
        <f ca="1"/>
        <v>10.49333659142621</v>
      </c>
      <c r="Q40">
        <f ca="1"/>
        <v>720.48552610670606</v>
      </c>
    </row>
    <row r="41" spans="1:17">
      <c r="A41" s="2">
        <f ca="1"/>
        <v>40</v>
      </c>
      <c r="B41" s="2">
        <f ca="1"/>
        <v>-0.735593220338983</v>
      </c>
      <c r="C41" s="7">
        <f ca="1"/>
        <v>9.75E-3</v>
      </c>
      <c r="D41" s="4">
        <f ca="1"/>
        <v>5.6299190605969329E-2</v>
      </c>
      <c r="E41" s="4">
        <f ca="1"/>
        <v>16.062071896649854</v>
      </c>
      <c r="F41" s="4">
        <f ca="1"/>
        <v>2792.8442320296635</v>
      </c>
      <c r="G41">
        <f ca="1"/>
        <v>139845.37179648998</v>
      </c>
      <c r="H41">
        <f ca="1"/>
        <v>5.6299190605969329E-2</v>
      </c>
      <c r="I41">
        <f ca="1"/>
        <v>3.6927154480659585E-3</v>
      </c>
      <c r="J41">
        <f ca="1"/>
        <v>1.4676245737897263E-3</v>
      </c>
      <c r="K41">
        <f ca="1"/>
        <v>0</v>
      </c>
      <c r="L41">
        <f ca="1"/>
        <v>0.17062423901395257</v>
      </c>
      <c r="M41">
        <f ca="1"/>
        <v>10.313179039657847</v>
      </c>
      <c r="N41">
        <f ca="1"/>
        <v>0.18931634461922195</v>
      </c>
      <c r="O41">
        <f ca="1"/>
        <v>0</v>
      </c>
      <c r="P41">
        <f ca="1"/>
        <v>10.67311962329102</v>
      </c>
      <c r="Q41">
        <f ca="1"/>
        <v>718.96258966208688</v>
      </c>
    </row>
    <row r="42" spans="1:17">
      <c r="A42" s="2">
        <f ca="1"/>
        <v>41</v>
      </c>
      <c r="B42" s="2">
        <f ca="1"/>
        <v>-0.72881355932203395</v>
      </c>
      <c r="C42" s="7">
        <f ca="1"/>
        <v>0.01</v>
      </c>
      <c r="D42" s="4">
        <f ca="1"/>
        <v>6.0402344780282835E-2</v>
      </c>
      <c r="E42" s="4">
        <f ca="1"/>
        <v>16.764583350663251</v>
      </c>
      <c r="F42" s="4">
        <f ca="1"/>
        <v>2826.9689571706667</v>
      </c>
      <c r="G42">
        <f ca="1"/>
        <v>133162.74203179666</v>
      </c>
      <c r="H42">
        <f ca="1"/>
        <v>6.0402344780282835E-2</v>
      </c>
      <c r="I42">
        <f ca="1"/>
        <v>3.6989473833601181E-3</v>
      </c>
      <c r="J42">
        <f ca="1"/>
        <v>1.5690837397939717E-3</v>
      </c>
      <c r="K42">
        <f ca="1"/>
        <v>0</v>
      </c>
      <c r="L42">
        <f ca="1"/>
        <v>0.17551198221765502</v>
      </c>
      <c r="M42">
        <f ca="1"/>
        <v>10.45680942696672</v>
      </c>
      <c r="N42">
        <f ca="1"/>
        <v>0.220496477072879</v>
      </c>
      <c r="O42">
        <f ca="1"/>
        <v>0</v>
      </c>
      <c r="P42">
        <f ca="1"/>
        <v>10.852817886257254</v>
      </c>
      <c r="Q42">
        <f ca="1"/>
        <v>719.78060542605181</v>
      </c>
    </row>
    <row r="43" spans="1:17">
      <c r="A43" s="2">
        <f ca="1"/>
        <v>42</v>
      </c>
      <c r="B43" s="2">
        <f ca="1"/>
        <v>-0.72203389830508469</v>
      </c>
      <c r="C43" s="7">
        <f ca="1"/>
        <v>1.025E-2</v>
      </c>
      <c r="D43" s="4">
        <f ca="1"/>
        <v>6.4682175853362667E-2</v>
      </c>
      <c r="E43" s="4">
        <f ca="1"/>
        <v>17.475417798325541</v>
      </c>
      <c r="F43" s="4">
        <f ca="1"/>
        <v>2859.4307593956883</v>
      </c>
      <c r="G43">
        <f ca="1"/>
        <v>126541.98846862801</v>
      </c>
      <c r="H43">
        <f ca="1"/>
        <v>6.4682175853362667E-2</v>
      </c>
      <c r="I43">
        <f ca="1"/>
        <v>3.7058820735845583E-3</v>
      </c>
      <c r="J43">
        <f ca="1"/>
        <v>1.6744907041906774E-3</v>
      </c>
      <c r="K43">
        <f ca="1"/>
        <v>0</v>
      </c>
      <c r="L43">
        <f ca="1"/>
        <v>0.18061018578295004</v>
      </c>
      <c r="M43">
        <f ca="1"/>
        <v>10.596713191900761</v>
      </c>
      <c r="N43">
        <f ca="1"/>
        <v>0.2556865483203356</v>
      </c>
      <c r="O43">
        <f ca="1"/>
        <v>0</v>
      </c>
      <c r="P43">
        <f ca="1"/>
        <v>11.033009926004047</v>
      </c>
      <c r="Q43">
        <f ca="1"/>
        <v>723.07538502280909</v>
      </c>
    </row>
    <row r="44" spans="1:17">
      <c r="A44" s="2">
        <f ca="1"/>
        <v>43</v>
      </c>
      <c r="B44" s="2">
        <f ca="1"/>
        <v>-0.71525423728813564</v>
      </c>
      <c r="C44" s="7">
        <f ca="1"/>
        <v>1.0500000000000001E-2</v>
      </c>
      <c r="D44" s="4">
        <f ca="1"/>
        <v>6.9140712768415602E-2</v>
      </c>
      <c r="E44" s="4">
        <f ca="1"/>
        <v>18.194161442538963</v>
      </c>
      <c r="F44" s="4">
        <f ca="1"/>
        <v>2890.2451077551073</v>
      </c>
      <c r="G44">
        <f ca="1"/>
        <v>119983.11110698456</v>
      </c>
      <c r="H44">
        <f ca="1"/>
        <v>6.9140712768415602E-2</v>
      </c>
      <c r="I44">
        <f ca="1"/>
        <v>3.7135980163231917E-3</v>
      </c>
      <c r="J44">
        <f ca="1"/>
        <v>1.7836935230506885E-3</v>
      </c>
      <c r="K44">
        <f ca="1"/>
        <v>0</v>
      </c>
      <c r="L44">
        <f ca="1"/>
        <v>0.18592126661959746</v>
      </c>
      <c r="M44">
        <f ca="1"/>
        <v>10.733208498847176</v>
      </c>
      <c r="N44">
        <f ca="1"/>
        <v>0.29522581330188397</v>
      </c>
      <c r="O44">
        <f ca="1"/>
        <v>0</v>
      </c>
      <c r="P44">
        <f ca="1"/>
        <v>11.214355578768659</v>
      </c>
      <c r="Q44">
        <f ca="1"/>
        <v>728.88773931544233</v>
      </c>
    </row>
    <row r="45" spans="1:17">
      <c r="A45" s="2">
        <f ca="1"/>
        <v>44</v>
      </c>
      <c r="B45" s="2">
        <f ca="1"/>
        <v>-0.70847457627118637</v>
      </c>
      <c r="C45" s="7">
        <f ca="1"/>
        <v>1.0750000000000001E-2</v>
      </c>
      <c r="D45" s="4">
        <f ca="1"/>
        <v>7.3779881502782585E-2</v>
      </c>
      <c r="E45" s="4">
        <f ca="1"/>
        <v>18.920404353468495</v>
      </c>
      <c r="F45" s="4">
        <f ca="1"/>
        <v>2919.4274712993079</v>
      </c>
      <c r="G45">
        <f ca="1"/>
        <v>113486.10994686581</v>
      </c>
      <c r="H45">
        <f ca="1"/>
        <v>7.3779881502782585E-2</v>
      </c>
      <c r="I45">
        <f ca="1"/>
        <v>3.722134631988601E-3</v>
      </c>
      <c r="J45">
        <f ca="1"/>
        <v>1.8970524926978666E-3</v>
      </c>
      <c r="K45">
        <f ca="1"/>
        <v>0</v>
      </c>
      <c r="L45">
        <f ca="1"/>
        <v>0.19139666014460832</v>
      </c>
      <c r="M45">
        <f ca="1"/>
        <v>10.866502096502062</v>
      </c>
      <c r="N45">
        <f ca="1"/>
        <v>0.33955503901509748</v>
      </c>
      <c r="O45">
        <f ca="1"/>
        <v>0</v>
      </c>
      <c r="P45">
        <f ca="1"/>
        <v>11.397453795661768</v>
      </c>
      <c r="Q45">
        <f ca="1"/>
        <v>737.11046126914164</v>
      </c>
    </row>
    <row r="46" spans="1:17">
      <c r="A46" s="2">
        <f ca="1"/>
        <v>45</v>
      </c>
      <c r="B46" s="2">
        <f ca="1"/>
        <v>-0.70169491525423733</v>
      </c>
      <c r="C46" s="7">
        <f ca="1"/>
        <v>1.0999999999999999E-2</v>
      </c>
      <c r="D46" s="4">
        <f ca="1"/>
        <v>7.8601506034752688E-2</v>
      </c>
      <c r="E46" s="4">
        <f ca="1"/>
        <v>19.65374046854155</v>
      </c>
      <c r="F46" s="4">
        <f ca="1"/>
        <v>2946.9933190786674</v>
      </c>
      <c r="G46">
        <f ca="1"/>
        <v>107050.98498827223</v>
      </c>
      <c r="H46">
        <f ca="1"/>
        <v>7.8601506034752688E-2</v>
      </c>
      <c r="I46">
        <f ca="1"/>
        <v>3.7315572484694672E-3</v>
      </c>
      <c r="J46">
        <f ca="1"/>
        <v>2.0139207322513379E-3</v>
      </c>
      <c r="K46">
        <f ca="1"/>
        <v>0</v>
      </c>
      <c r="L46">
        <f ca="1"/>
        <v>0.19707843675590606</v>
      </c>
      <c r="M46">
        <f ca="1"/>
        <v>10.996874280999094</v>
      </c>
      <c r="N46">
        <f ca="1"/>
        <v>0.38895809164822948</v>
      </c>
      <c r="O46">
        <f ca="1"/>
        <v>0</v>
      </c>
      <c r="P46">
        <f ca="1"/>
        <v>11.582910809403229</v>
      </c>
      <c r="Q46">
        <f ca="1"/>
        <v>748.29913571822556</v>
      </c>
    </row>
    <row r="47" spans="1:17">
      <c r="A47" s="2">
        <f ca="1"/>
        <v>46</v>
      </c>
      <c r="B47" s="2">
        <f ca="1"/>
        <v>-0.69491525423728806</v>
      </c>
      <c r="C47" s="7">
        <f ca="1"/>
        <v>1.125E-2</v>
      </c>
      <c r="D47" s="4">
        <f ca="1"/>
        <v>8.3607309310380629E-2</v>
      </c>
      <c r="E47" s="4">
        <f ca="1"/>
        <v>20.393767592448285</v>
      </c>
      <c r="F47" s="4">
        <f ca="1"/>
        <v>2972.9581201435717</v>
      </c>
      <c r="G47">
        <f ca="1"/>
        <v>100677.73623120334</v>
      </c>
      <c r="H47">
        <f ca="1"/>
        <v>8.3607309310380629E-2</v>
      </c>
      <c r="I47">
        <f ca="1"/>
        <v>3.7419437137207402E-3</v>
      </c>
      <c r="J47">
        <f ca="1"/>
        <v>2.1350229421816611E-3</v>
      </c>
      <c r="K47">
        <f ca="1"/>
        <v>0</v>
      </c>
      <c r="L47">
        <f ca="1"/>
        <v>0.20297724861560912</v>
      </c>
      <c r="M47">
        <f ca="1"/>
        <v>11.124641948826268</v>
      </c>
      <c r="N47">
        <f ca="1"/>
        <v>0.44398416607900359</v>
      </c>
      <c r="O47">
        <f ca="1"/>
        <v>0</v>
      </c>
      <c r="P47">
        <f ca="1"/>
        <v>11.77160336352088</v>
      </c>
      <c r="Q47">
        <f ca="1"/>
        <v>762.17718226079194</v>
      </c>
    </row>
    <row r="48" spans="1:17">
      <c r="A48" s="2">
        <f ca="1"/>
        <v>47</v>
      </c>
      <c r="B48" s="2">
        <f ca="1"/>
        <v>-0.68813559322033901</v>
      </c>
      <c r="C48" s="7">
        <f ca="1"/>
        <v>1.15E-2</v>
      </c>
      <c r="D48" s="4">
        <f ca="1"/>
        <v>8.8798914210300062E-2</v>
      </c>
      <c r="E48" s="4">
        <f ca="1"/>
        <v>21.140087397141325</v>
      </c>
      <c r="F48" s="4">
        <f ca="1"/>
        <v>2997.3373435443968</v>
      </c>
      <c r="G48">
        <f ca="1"/>
        <v>94366.363675659639</v>
      </c>
      <c r="H48">
        <f ca="1"/>
        <v>8.8798914210300062E-2</v>
      </c>
      <c r="I48">
        <f ca="1"/>
        <v>3.7533516937813269E-3</v>
      </c>
      <c r="J48">
        <f ca="1"/>
        <v>2.2593950711384779E-3</v>
      </c>
      <c r="K48">
        <f ca="1"/>
        <v>0</v>
      </c>
      <c r="L48">
        <f ca="1"/>
        <v>0.20907265412860013</v>
      </c>
      <c r="M48">
        <f ca="1"/>
        <v>11.250061195226385</v>
      </c>
      <c r="N48">
        <f ca="1"/>
        <v>0.50486555117863863</v>
      </c>
      <c r="O48">
        <f ca="1"/>
        <v>0</v>
      </c>
      <c r="P48">
        <f ca="1"/>
        <v>11.963999400533625</v>
      </c>
      <c r="Q48">
        <f ca="1"/>
        <v>778.65799425989405</v>
      </c>
    </row>
    <row r="49" spans="1:17">
      <c r="A49" s="2">
        <f ca="1"/>
        <v>48</v>
      </c>
      <c r="B49" s="2">
        <f ca="1"/>
        <v>-0.68135593220338975</v>
      </c>
      <c r="C49" s="7">
        <f ca="1"/>
        <v>1.175E-2</v>
      </c>
      <c r="D49" s="4">
        <f ca="1"/>
        <v>9.417784451654243E-2</v>
      </c>
      <c r="E49" s="4">
        <f ca="1"/>
        <v>21.892305421836006</v>
      </c>
      <c r="F49" s="4">
        <f ca="1"/>
        <v>3020.1464583315283</v>
      </c>
      <c r="G49">
        <f ca="1"/>
        <v>88116.867321640661</v>
      </c>
      <c r="H49">
        <f ca="1"/>
        <v>9.417784451654243E-2</v>
      </c>
      <c r="I49">
        <f ca="1"/>
        <v>3.7658479793152518E-3</v>
      </c>
      <c r="J49">
        <f ca="1"/>
        <v>2.3877296884708341E-3</v>
      </c>
      <c r="K49">
        <f ca="1"/>
        <v>0</v>
      </c>
      <c r="L49">
        <f ca="1"/>
        <v>0.21533269402120123</v>
      </c>
      <c r="M49">
        <f ca="1"/>
        <v>11.3734124373439</v>
      </c>
      <c r="N49">
        <f ca="1"/>
        <v>0.57218722928572563</v>
      </c>
      <c r="O49">
        <f ca="1"/>
        <v>0</v>
      </c>
      <c r="P49">
        <f ca="1"/>
        <v>12.160932360650827</v>
      </c>
      <c r="Q49">
        <f ca="1"/>
        <v>798.39791496004079</v>
      </c>
    </row>
    <row r="50" spans="1:17">
      <c r="A50" s="2">
        <f ca="1"/>
        <v>49</v>
      </c>
      <c r="B50" s="2">
        <f ca="1"/>
        <v>-0.6745762711864407</v>
      </c>
      <c r="C50" s="7">
        <f ca="1"/>
        <v>1.2E-2</v>
      </c>
      <c r="D50" s="4">
        <f ca="1"/>
        <v>9.9745525879349151E-2</v>
      </c>
      <c r="E50" s="4">
        <f ca="1"/>
        <v>22.650031073010155</v>
      </c>
      <c r="F50" s="4">
        <f ca="1"/>
        <v>3041.4009335553442</v>
      </c>
      <c r="G50">
        <f ca="1"/>
        <v>81929.247169146809</v>
      </c>
      <c r="H50">
        <f ca="1"/>
        <v>9.9745525879349151E-2</v>
      </c>
      <c r="I50">
        <f ca="1"/>
        <v>3.7795131734194272E-3</v>
      </c>
      <c r="J50">
        <f ca="1"/>
        <v>2.5198477130595771E-3</v>
      </c>
      <c r="K50">
        <f ca="1"/>
        <v>0</v>
      </c>
      <c r="L50">
        <f ca="1"/>
        <v>0.2218124038252143</v>
      </c>
      <c r="M50">
        <f ca="1"/>
        <v>11.495014894022567</v>
      </c>
      <c r="N50">
        <f ca="1"/>
        <v>0.64637106016586343</v>
      </c>
      <c r="O50">
        <f ca="1"/>
        <v>0</v>
      </c>
      <c r="P50">
        <f ca="1"/>
        <v>12.363198358013646</v>
      </c>
      <c r="Q50">
        <f ca="1"/>
        <v>820.87027502973626</v>
      </c>
    </row>
    <row r="51" spans="1:17">
      <c r="A51" s="2">
        <f ca="1"/>
        <v>50</v>
      </c>
      <c r="B51" s="2">
        <f ca="1"/>
        <v>-0.66779661016949143</v>
      </c>
      <c r="C51" s="7">
        <f ca="1"/>
        <v>1.225E-2</v>
      </c>
      <c r="D51" s="4">
        <f ca="1"/>
        <v>0.10550328678398979</v>
      </c>
      <c r="E51" s="4">
        <f ca="1"/>
        <v>23.41287762440427</v>
      </c>
      <c r="F51" s="4">
        <f ca="1"/>
        <v>3061.1162382662287</v>
      </c>
      <c r="G51">
        <f ca="1"/>
        <v>75803.503218177706</v>
      </c>
      <c r="H51">
        <f ca="1"/>
        <v>0.10550328678398979</v>
      </c>
      <c r="I51">
        <f ca="1"/>
        <v>3.7944167426007766E-3</v>
      </c>
      <c r="J51">
        <f ca="1"/>
        <v>2.6551097200068082E-3</v>
      </c>
      <c r="K51">
        <f ca="1"/>
        <v>0</v>
      </c>
      <c r="L51">
        <f ca="1"/>
        <v>0.22850055211106352</v>
      </c>
      <c r="M51">
        <f ca="1"/>
        <v>11.615150705524487</v>
      </c>
      <c r="N51">
        <f ca="1"/>
        <v>0.72771624053014539</v>
      </c>
      <c r="O51">
        <f ca="1"/>
        <v>0</v>
      </c>
      <c r="P51">
        <f ca="1"/>
        <v>12.571367498165696</v>
      </c>
      <c r="Q51">
        <f ca="1"/>
        <v>846.09536628532487</v>
      </c>
    </row>
    <row r="52" spans="1:17">
      <c r="A52" s="2">
        <f ca="1"/>
        <v>51</v>
      </c>
      <c r="B52" s="2">
        <f ca="1"/>
        <v>-0.66101694915254239</v>
      </c>
      <c r="C52" s="7">
        <f ca="1"/>
        <v>1.2500000000000001E-2</v>
      </c>
      <c r="D52" s="4">
        <f ca="1"/>
        <v>0.11145235951757715</v>
      </c>
      <c r="E52" s="4">
        <f ca="1"/>
        <v>24.180462217021393</v>
      </c>
      <c r="F52" s="4">
        <f ca="1"/>
        <v>3079.3078415145601</v>
      </c>
      <c r="G52">
        <f ca="1"/>
        <v>69739.635468733759</v>
      </c>
      <c r="H52">
        <f ca="1"/>
        <v>0.11145235951757715</v>
      </c>
      <c r="I52">
        <f ca="1"/>
        <v>3.8106218292937939E-3</v>
      </c>
      <c r="J52">
        <f ca="1"/>
        <v>2.7940775730303353E-3</v>
      </c>
      <c r="K52">
        <f ca="1"/>
        <v>0</v>
      </c>
      <c r="L52">
        <f ca="1"/>
        <v>0.23532711291223141</v>
      </c>
      <c r="M52">
        <f ca="1"/>
        <v>11.734077679990937</v>
      </c>
      <c r="N52">
        <f ca="1"/>
        <v>0.8168412482531392</v>
      </c>
      <c r="O52">
        <f ca="1"/>
        <v>0</v>
      </c>
      <c r="P52">
        <f ca="1"/>
        <v>12.786246041156309</v>
      </c>
      <c r="Q52">
        <f ca="1"/>
        <v>874.52953735024789</v>
      </c>
    </row>
    <row r="53" spans="1:17">
      <c r="A53" s="2">
        <f ca="1"/>
        <v>52</v>
      </c>
      <c r="B53" s="2">
        <f ca="1"/>
        <v>-0.65423728813559312</v>
      </c>
      <c r="C53" s="7">
        <f ca="1"/>
        <v>1.2750000000000001E-2</v>
      </c>
      <c r="D53" s="4">
        <f ca="1"/>
        <v>0.11759388113588254</v>
      </c>
      <c r="E53" s="4">
        <f ca="1"/>
        <v>24.952405859127204</v>
      </c>
      <c r="F53" s="4">
        <f ca="1"/>
        <v>3095.9912123507224</v>
      </c>
      <c r="G53">
        <f ca="1"/>
        <v>63737.643920814538</v>
      </c>
      <c r="H53">
        <f ca="1"/>
        <v>0.11759388113588254</v>
      </c>
      <c r="I53">
        <f ca="1"/>
        <v>3.8282232062495166E-3</v>
      </c>
      <c r="J53">
        <f ca="1"/>
        <v>2.9363290507021253E-3</v>
      </c>
      <c r="K53">
        <f ca="1"/>
        <v>0</v>
      </c>
      <c r="L53">
        <f ca="1"/>
        <v>0.24237450880341713</v>
      </c>
      <c r="M53">
        <f ca="1"/>
        <v>11.85214540546561</v>
      </c>
      <c r="N53">
        <f ca="1"/>
        <v>0.91411235257179357</v>
      </c>
      <c r="O53">
        <f ca="1"/>
        <v>0</v>
      </c>
      <c r="P53">
        <f ca="1"/>
        <v>13.00863226684082</v>
      </c>
      <c r="Q53">
        <f ca="1"/>
        <v>906.23005693626192</v>
      </c>
    </row>
    <row r="54" spans="1:17">
      <c r="A54" s="2">
        <f ca="1"/>
        <v>53</v>
      </c>
      <c r="B54" s="2">
        <f ca="1"/>
        <v>-0.64745762711864407</v>
      </c>
      <c r="C54" s="7">
        <f ca="1"/>
        <v>1.3000000000000001E-2</v>
      </c>
      <c r="D54" s="4">
        <f ca="1"/>
        <v>0.12392889443014998</v>
      </c>
      <c r="E54" s="4">
        <f ca="1"/>
        <v>25.728333426249939</v>
      </c>
      <c r="F54" s="4">
        <f ca="1"/>
        <v>3111.1818198250949</v>
      </c>
      <c r="G54">
        <f ca="1"/>
        <v>57797.52857442043</v>
      </c>
      <c r="H54">
        <f ca="1"/>
        <v>0.12392889443014998</v>
      </c>
      <c r="I54">
        <f ca="1"/>
        <v>3.8472792291478456E-3</v>
      </c>
      <c r="J54">
        <f ca="1"/>
        <v>3.0823111012936721E-3</v>
      </c>
      <c r="K54">
        <f ca="1"/>
        <v>0</v>
      </c>
      <c r="L54">
        <f ca="1"/>
        <v>0.24961236568800219</v>
      </c>
      <c r="M54">
        <f ca="1"/>
        <v>11.969585193515483</v>
      </c>
      <c r="N54">
        <f ca="1"/>
        <v>1.0201635104209559</v>
      </c>
      <c r="O54">
        <f ca="1"/>
        <v>0</v>
      </c>
      <c r="P54">
        <f ca="1"/>
        <v>13.23936106962444</v>
      </c>
      <c r="Q54">
        <f ca="1"/>
        <v>940.12719650657561</v>
      </c>
    </row>
    <row r="55" spans="1:17">
      <c r="A55" s="2">
        <f ca="1"/>
        <v>54</v>
      </c>
      <c r="B55" s="2">
        <f ca="1"/>
        <v>-0.64067796610169492</v>
      </c>
      <c r="C55" s="7">
        <f ca="1"/>
        <v>1.325E-2</v>
      </c>
      <c r="D55" s="4">
        <f ca="1"/>
        <v>0.13045834889391528</v>
      </c>
      <c r="E55" s="4">
        <f ca="1"/>
        <v>26.507873661180454</v>
      </c>
      <c r="F55" s="4">
        <f ca="1"/>
        <v>3124.8951329880597</v>
      </c>
      <c r="G55">
        <f ca="1"/>
        <v>51919.289429551194</v>
      </c>
      <c r="H55">
        <f ca="1"/>
        <v>0.13045834889391528</v>
      </c>
      <c r="I55">
        <f ca="1"/>
        <v>3.8678948542216567E-3</v>
      </c>
      <c r="J55">
        <f ca="1"/>
        <v>3.2303835422042193E-3</v>
      </c>
      <c r="K55">
        <f ca="1"/>
        <v>0</v>
      </c>
      <c r="L55">
        <f ca="1"/>
        <v>0.25698751278216547</v>
      </c>
      <c r="M55">
        <f ca="1"/>
        <v>12.086765804866817</v>
      </c>
      <c r="N55">
        <f ca="1"/>
        <v>1.1349425474451251</v>
      </c>
      <c r="O55">
        <f ca="1"/>
        <v>0</v>
      </c>
      <c r="P55">
        <f ca="1"/>
        <v>13.478695865094107</v>
      </c>
      <c r="Q55">
        <f ca="1"/>
        <v>977.00960887827193</v>
      </c>
    </row>
    <row r="56" spans="1:17">
      <c r="A56" s="2">
        <f ca="1"/>
        <v>55</v>
      </c>
      <c r="B56" s="2">
        <f ca="1"/>
        <v>-0.63389830508474576</v>
      </c>
      <c r="C56" s="7">
        <f ca="1"/>
        <v>1.35E-2</v>
      </c>
      <c r="D56" s="4">
        <f ca="1"/>
        <v>0.13718310168981973</v>
      </c>
      <c r="E56" s="4">
        <f ca="1"/>
        <v>27.290659173972205</v>
      </c>
      <c r="F56" s="4">
        <f ca="1"/>
        <v>3137.1466208899974</v>
      </c>
      <c r="G56">
        <f ca="1"/>
        <v>46102.926486206932</v>
      </c>
      <c r="H56">
        <f ca="1"/>
        <v>0.13718310168981973</v>
      </c>
      <c r="I56">
        <f ca="1"/>
        <v>3.8901303830237758E-3</v>
      </c>
      <c r="J56">
        <f ca="1"/>
        <v>3.3818660619604583E-3</v>
      </c>
      <c r="K56">
        <f ca="1"/>
        <v>0</v>
      </c>
      <c r="L56">
        <f ca="1"/>
        <v>0.26458325317930137</v>
      </c>
      <c r="M56">
        <f ca="1"/>
        <v>12.203909385924549</v>
      </c>
      <c r="N56">
        <f ca="1"/>
        <v>1.2593732349597249</v>
      </c>
      <c r="O56">
        <f ca="1"/>
        <v>0</v>
      </c>
      <c r="P56">
        <f ca="1"/>
        <v>13.727865874063575</v>
      </c>
      <c r="Q56">
        <f ca="1"/>
        <v>1017.4492428579773</v>
      </c>
    </row>
    <row r="57" spans="1:17">
      <c r="A57" s="2">
        <f ca="1"/>
        <v>56</v>
      </c>
      <c r="B57" s="2">
        <f ca="1"/>
        <v>-0.6271186440677966</v>
      </c>
      <c r="C57" s="7">
        <f ca="1"/>
        <v>1.375E-2</v>
      </c>
      <c r="D57" s="4">
        <f ca="1"/>
        <v>0.14410391861642413</v>
      </c>
      <c r="E57" s="4">
        <f ca="1"/>
        <v>28.07632644194123</v>
      </c>
      <c r="F57" s="4">
        <f ca="1"/>
        <v>3147.9517525812903</v>
      </c>
      <c r="G57">
        <f ca="1"/>
        <v>40348.439744387535</v>
      </c>
      <c r="H57">
        <f ca="1"/>
        <v>0.14410391861642413</v>
      </c>
      <c r="I57">
        <f ca="1"/>
        <v>3.91407086126288E-3</v>
      </c>
      <c r="J57">
        <f ca="1"/>
        <v>3.5363104273729348E-3</v>
      </c>
      <c r="K57">
        <f ca="1"/>
        <v>0</v>
      </c>
      <c r="L57">
        <f ca="1"/>
        <v>0.27231267897513278</v>
      </c>
      <c r="M57">
        <f ca="1"/>
        <v>12.321306227439843</v>
      </c>
      <c r="N57">
        <f ca="1"/>
        <v>1.3938015801081194</v>
      </c>
      <c r="O57">
        <f ca="1"/>
        <v>0</v>
      </c>
      <c r="P57">
        <f ca="1"/>
        <v>13.987420486523096</v>
      </c>
      <c r="Q57">
        <f ca="1"/>
        <v>1060.0529598671135</v>
      </c>
    </row>
    <row r="58" spans="1:17">
      <c r="A58" s="2">
        <f ca="1"/>
        <v>57</v>
      </c>
      <c r="B58" s="2">
        <f ca="1"/>
        <v>-0.62033898305084745</v>
      </c>
      <c r="C58" s="7">
        <f ca="1"/>
        <v>1.4E-2</v>
      </c>
      <c r="D58" s="4">
        <f ca="1"/>
        <v>0.15122147507502737</v>
      </c>
      <c r="E58" s="4">
        <f ca="1"/>
        <v>28.864515809666166</v>
      </c>
      <c r="F58" s="4">
        <f ca="1"/>
        <v>3157.3259971123189</v>
      </c>
      <c r="G58">
        <f ca="1"/>
        <v>34655.829204093105</v>
      </c>
      <c r="H58">
        <f ca="1"/>
        <v>0.15122147507502737</v>
      </c>
      <c r="I58">
        <f ca="1"/>
        <v>3.9398007350059591E-3</v>
      </c>
      <c r="J58">
        <f ca="1"/>
        <v>3.6930337291055226E-3</v>
      </c>
      <c r="K58">
        <f ca="1"/>
        <v>0</v>
      </c>
      <c r="L58">
        <f ca="1"/>
        <v>0.28021257508649039</v>
      </c>
      <c r="M58">
        <f ca="1"/>
        <v>12.439235284076537</v>
      </c>
      <c r="N58">
        <f ca="1"/>
        <v>1.5384444948341045</v>
      </c>
      <c r="O58">
        <f ca="1"/>
        <v>0</v>
      </c>
      <c r="P58">
        <f ca="1"/>
        <v>14.257892353997132</v>
      </c>
      <c r="Q58">
        <f ca="1"/>
        <v>1105.5206399734086</v>
      </c>
    </row>
    <row r="59" spans="1:17">
      <c r="A59" s="2">
        <f ca="1"/>
        <v>58</v>
      </c>
      <c r="B59" s="2">
        <f ca="1"/>
        <v>-0.61355932203389829</v>
      </c>
      <c r="C59" s="7">
        <f ca="1"/>
        <v>1.4250000000000001E-2</v>
      </c>
      <c r="D59" s="4">
        <f ca="1"/>
        <v>0.15853635703648128</v>
      </c>
      <c r="E59" s="4">
        <f ca="1"/>
        <v>29.654871488988235</v>
      </c>
      <c r="F59" s="4">
        <f ca="1"/>
        <v>3165.2848235334641</v>
      </c>
      <c r="G59">
        <f ca="1"/>
        <v>29025.094865323623</v>
      </c>
      <c r="H59">
        <f ca="1"/>
        <v>0.15853635703648128</v>
      </c>
      <c r="I59">
        <f ca="1"/>
        <v>3.9673963712538252E-3</v>
      </c>
      <c r="J59">
        <f ca="1"/>
        <v>3.8524418365445305E-3</v>
      </c>
      <c r="K59">
        <f ca="1"/>
        <v>0</v>
      </c>
      <c r="L59">
        <f ca="1"/>
        <v>0.28830064335784972</v>
      </c>
      <c r="M59">
        <f ca="1"/>
        <v>12.55793952287147</v>
      </c>
      <c r="N59">
        <f ca="1"/>
        <v>1.69394064028048</v>
      </c>
      <c r="O59">
        <f ca="1"/>
        <v>0</v>
      </c>
      <c r="P59">
        <f ca="1"/>
        <v>14.540180806509801</v>
      </c>
      <c r="Q59">
        <f ca="1"/>
        <v>1154.0426855830244</v>
      </c>
    </row>
    <row r="60" spans="1:17">
      <c r="A60" s="2">
        <f ca="1"/>
        <v>59</v>
      </c>
      <c r="B60" s="2">
        <f ca="1"/>
        <v>-0.60677966101694913</v>
      </c>
      <c r="C60" s="7">
        <f ca="1"/>
        <v>1.4500000000000001E-2</v>
      </c>
      <c r="D60" s="4">
        <f ca="1"/>
        <v>0.1660490620080044</v>
      </c>
      <c r="E60" s="4">
        <f ca="1"/>
        <v>30.447041559011272</v>
      </c>
      <c r="F60" s="4">
        <f ca="1"/>
        <v>3171.8437008951073</v>
      </c>
      <c r="G60">
        <f ca="1"/>
        <v>23456.236728079075</v>
      </c>
      <c r="H60">
        <f ca="1"/>
        <v>0.1660490620080044</v>
      </c>
      <c r="I60">
        <f ca="1"/>
        <v>3.9969467209321251E-3</v>
      </c>
      <c r="J60">
        <f ca="1"/>
        <v>4.0144520365343285E-3</v>
      </c>
      <c r="K60">
        <f ca="1"/>
        <v>0</v>
      </c>
      <c r="L60">
        <f ca="1"/>
        <v>0.29648005743369715</v>
      </c>
      <c r="M60">
        <f ca="1"/>
        <v>12.677690279601915</v>
      </c>
      <c r="N60">
        <f ca="1"/>
        <v>1.8607433597530327</v>
      </c>
      <c r="O60">
        <f ca="1"/>
        <v>0</v>
      </c>
      <c r="P60">
        <f ca="1"/>
        <v>14.834913696788645</v>
      </c>
      <c r="Q60">
        <f ca="1"/>
        <v>1204.2498210740457</v>
      </c>
    </row>
    <row r="61" spans="1:17">
      <c r="A61" s="2">
        <f ca="1"/>
        <v>60</v>
      </c>
      <c r="B61" s="2">
        <f ca="1"/>
        <v>-0.6</v>
      </c>
      <c r="C61" s="7">
        <f ca="1"/>
        <v>1.4750000000000001E-2</v>
      </c>
      <c r="D61" s="4">
        <f ca="1"/>
        <v>0.17376000000000014</v>
      </c>
      <c r="E61" s="4">
        <f ca="1"/>
        <v>31.2406779661017</v>
      </c>
      <c r="F61" s="4">
        <f ca="1"/>
        <v>3177.0180982476304</v>
      </c>
      <c r="G61">
        <f ca="1"/>
        <v>17949.254792359501</v>
      </c>
      <c r="H61">
        <f ca="1"/>
        <v>0.17376000000000014</v>
      </c>
      <c r="I61">
        <f ca="1"/>
        <v>4.0285378818490734E-3</v>
      </c>
      <c r="J61">
        <f ca="1"/>
        <v>4.1777346756759611E-3</v>
      </c>
      <c r="K61">
        <f ca="1"/>
        <v>0</v>
      </c>
      <c r="L61">
        <f ca="1"/>
        <v>0.30487529656378237</v>
      </c>
      <c r="M61">
        <f ca="1"/>
        <v>12.798737760110681</v>
      </c>
      <c r="N61">
        <f ca="1"/>
        <v>2.038692660372361</v>
      </c>
      <c r="O61">
        <f ca="1"/>
        <v>0</v>
      </c>
      <c r="P61">
        <f ca="1"/>
        <v>15.142305717046824</v>
      </c>
      <c r="Q61">
        <f ca="1"/>
        <v>1256.6325952017007</v>
      </c>
    </row>
    <row r="62" spans="1:17">
      <c r="A62" s="2">
        <f ca="1"/>
        <v>61</v>
      </c>
      <c r="B62" s="2">
        <f ca="1"/>
        <v>-0.59322033898305082</v>
      </c>
      <c r="C62" s="7">
        <f ca="1"/>
        <v>1.4999999999999999E-2</v>
      </c>
      <c r="D62" s="4">
        <f ca="1"/>
        <v>0.18166949449287073</v>
      </c>
      <c r="E62" s="4">
        <f ca="1"/>
        <v>32.035436523888535</v>
      </c>
      <c r="F62" s="4">
        <f ca="1"/>
        <v>3180.8234846414143</v>
      </c>
      <c r="G62">
        <f ca="1"/>
        <v>12504.149058164794</v>
      </c>
      <c r="H62">
        <f ca="1"/>
        <v>0.18166949449287073</v>
      </c>
      <c r="I62">
        <f ca="1"/>
        <v>4.0622325570632573E-3</v>
      </c>
      <c r="J62">
        <f ca="1"/>
        <v>4.3432278653791016E-3</v>
      </c>
      <c r="K62">
        <f ca="1"/>
        <v>0</v>
      </c>
      <c r="L62">
        <f ca="1"/>
        <v>0.31332479799931479</v>
      </c>
      <c r="M62">
        <f ca="1"/>
        <v>12.921244717581754</v>
      </c>
      <c r="N62">
        <f ca="1"/>
        <v>2.2286604788084259</v>
      </c>
      <c r="O62">
        <f ca="1"/>
        <v>0</v>
      </c>
      <c r="P62">
        <f ca="1"/>
        <v>15.463229994389494</v>
      </c>
      <c r="Q62">
        <f ca="1"/>
        <v>1311.859604550225</v>
      </c>
    </row>
    <row r="63" spans="1:17">
      <c r="A63" s="2">
        <f ca="1"/>
        <v>62</v>
      </c>
      <c r="B63" s="2">
        <f ca="1"/>
        <v>-0.58644067796610166</v>
      </c>
      <c r="C63" s="7">
        <f ca="1"/>
        <v>1.525E-2</v>
      </c>
      <c r="D63" s="4">
        <f ca="1"/>
        <v>0.18977778340383433</v>
      </c>
      <c r="E63" s="4">
        <f ca="1"/>
        <v>32.830976913263378</v>
      </c>
      <c r="F63" s="4">
        <f ca="1"/>
        <v>3183.2753291268405</v>
      </c>
      <c r="G63">
        <f ca="1"/>
        <v>7120.9195254950964</v>
      </c>
      <c r="H63">
        <f ca="1"/>
        <v>0.18977778340383433</v>
      </c>
      <c r="I63">
        <f ca="1"/>
        <v>4.0981317040065367E-3</v>
      </c>
      <c r="J63">
        <f ca="1"/>
        <v>4.5103368940735411E-3</v>
      </c>
      <c r="K63">
        <f ca="1"/>
        <v>0</v>
      </c>
      <c r="L63">
        <f ca="1"/>
        <v>0.32196868927125877</v>
      </c>
      <c r="M63">
        <f ca="1"/>
        <v>13.045481548876548</v>
      </c>
      <c r="N63">
        <f ca="1"/>
        <v>2.4307852811741286</v>
      </c>
      <c r="O63">
        <f ca="1"/>
        <v>0</v>
      </c>
      <c r="P63">
        <f ca="1"/>
        <v>15.798235519321935</v>
      </c>
      <c r="Q63">
        <f ca="1"/>
        <v>1368.7779443503759</v>
      </c>
    </row>
    <row r="64" spans="1:17">
      <c r="A64" s="2">
        <f ca="1"/>
        <v>63</v>
      </c>
      <c r="B64" s="2">
        <f ca="1"/>
        <v>-0.57966101694915251</v>
      </c>
      <c r="C64" s="7">
        <f ca="1"/>
        <v>1.55E-2</v>
      </c>
      <c r="D64" s="4">
        <f ca="1"/>
        <v>0.19808502005373851</v>
      </c>
      <c r="E64" s="4">
        <f ca="1"/>
        <v>33.626962682380451</v>
      </c>
      <c r="F64" s="4">
        <f ca="1"/>
        <v>3184.3891007542884</v>
      </c>
      <c r="G64">
        <f ca="1"/>
        <v>1799.5661943503019</v>
      </c>
      <c r="H64">
        <f ca="1"/>
        <v>0.19808502005373851</v>
      </c>
      <c r="I64">
        <f ca="1"/>
        <v>4.1363037521100409E-3</v>
      </c>
      <c r="J64">
        <f ca="1"/>
        <v>4.6788203651118273E-3</v>
      </c>
      <c r="K64">
        <f ca="1"/>
        <v>0</v>
      </c>
      <c r="L64">
        <f ca="1"/>
        <v>0.3306774013257599</v>
      </c>
      <c r="M64">
        <f ca="1"/>
        <v>13.171600585628282</v>
      </c>
      <c r="N64">
        <f ca="1"/>
        <v>2.6453409796106411</v>
      </c>
      <c r="O64">
        <f ca="1"/>
        <v>0</v>
      </c>
      <c r="P64">
        <f ca="1"/>
        <v>16.147618966564682</v>
      </c>
      <c r="Q64">
        <f ca="1"/>
        <v>1427.1631806564487</v>
      </c>
    </row>
    <row r="65" spans="1:17">
      <c r="A65" s="2">
        <f ca="1"/>
        <v>64</v>
      </c>
      <c r="B65" s="2">
        <f ca="1"/>
        <v>-0.57288135593220335</v>
      </c>
      <c r="C65" s="7">
        <f ca="1"/>
        <v>1.575E-2</v>
      </c>
      <c r="D65" s="4">
        <f ca="1"/>
        <v>0.20659127413387868</v>
      </c>
      <c r="E65" s="4">
        <f ca="1"/>
        <v>34.423061246656552</v>
      </c>
      <c r="F65" s="4">
        <f ca="1"/>
        <v>3184.1802685741418</v>
      </c>
      <c r="G65">
        <f ca="1"/>
        <v>-3459.9109352695546</v>
      </c>
      <c r="H65">
        <f ca="1"/>
        <v>0.20659127413387868</v>
      </c>
      <c r="I65">
        <f ca="1"/>
        <v>4.1768294927734297E-3</v>
      </c>
      <c r="J65">
        <f ca="1"/>
        <v>4.8483156741738701E-3</v>
      </c>
      <c r="K65">
        <f ca="1"/>
        <v>0</v>
      </c>
      <c r="L65">
        <f ca="1"/>
        <v>0.33954014404408273</v>
      </c>
      <c r="M65">
        <f ca="1"/>
        <v>13.299778056087696</v>
      </c>
      <c r="N65">
        <f ca="1"/>
        <v>2.8724989095183813</v>
      </c>
      <c r="O65">
        <f ca="1"/>
        <v>0</v>
      </c>
      <c r="P65">
        <f ca="1"/>
        <v>16.51181710965016</v>
      </c>
      <c r="Q65">
        <f ca="1"/>
        <v>1487.2884316961135</v>
      </c>
    </row>
    <row r="66" spans="1:17">
      <c r="A66" s="2">
        <f ca="1"/>
        <v>65</v>
      </c>
      <c r="B66" s="2">
        <f ca="1"/>
        <v>-0.56610169491525419</v>
      </c>
      <c r="C66" s="7">
        <f ca="1"/>
        <v>1.6E-2</v>
      </c>
      <c r="D66" s="4">
        <f ca="1"/>
        <v>0.21529653267281113</v>
      </c>
      <c r="E66" s="4">
        <f ca="1"/>
        <v>35.218943888771086</v>
      </c>
      <c r="F66" s="4">
        <f ca="1"/>
        <v>3182.6643016367807</v>
      </c>
      <c r="G66">
        <f ca="1"/>
        <v>-8657.5118633644379</v>
      </c>
      <c r="H66">
        <f ca="1"/>
        <v>0.21529653267281113</v>
      </c>
      <c r="I66">
        <f ca="1"/>
        <v>4.2197807053296482E-3</v>
      </c>
      <c r="J66">
        <f ca="1"/>
        <v>5.0189010010898418E-3</v>
      </c>
      <c r="K66">
        <f ca="1"/>
        <v>0</v>
      </c>
      <c r="L66">
        <f ca="1"/>
        <v>0.34846059397881513</v>
      </c>
      <c r="M66">
        <f ca="1"/>
        <v>13.430145411588347</v>
      </c>
      <c r="N66">
        <f ca="1"/>
        <v>3.1126571768455773</v>
      </c>
      <c r="O66">
        <f ca="1"/>
        <v>0</v>
      </c>
      <c r="P66">
        <f ca="1"/>
        <v>16.891263182412739</v>
      </c>
      <c r="Q66">
        <f ca="1"/>
        <v>1548.5889488913274</v>
      </c>
    </row>
    <row r="67" spans="1:17">
      <c r="A67" s="2">
        <f ca="1"/>
        <v>66</v>
      </c>
      <c r="B67" s="2">
        <f ca="1"/>
        <v>-0.55932203389830504</v>
      </c>
      <c r="C67" s="7">
        <f ca="1"/>
        <v>1.6250000000000001E-2</v>
      </c>
      <c r="D67" s="4">
        <f ca="1"/>
        <v>0.22420070100317013</v>
      </c>
      <c r="E67" s="4">
        <f ca="1"/>
        <v>36.014285758666041</v>
      </c>
      <c r="F67" s="4">
        <f ca="1"/>
        <v>3179.8566689925865</v>
      </c>
      <c r="G67">
        <f ca="1"/>
        <v>-13793.236589934453</v>
      </c>
      <c r="H67">
        <f ca="1"/>
        <v>0.22420070100317013</v>
      </c>
      <c r="I67">
        <f ca="1"/>
        <v>4.265234683677498E-3</v>
      </c>
      <c r="J67">
        <f ca="1"/>
        <v>5.1899637778384531E-3</v>
      </c>
      <c r="K67">
        <f ca="1"/>
        <v>0</v>
      </c>
      <c r="L67">
        <f ca="1"/>
        <v>0.35751044023413425</v>
      </c>
      <c r="M67">
        <f ca="1"/>
        <v>13.562834953710377</v>
      </c>
      <c r="N67">
        <f ca="1"/>
        <v>3.3657661901513136</v>
      </c>
      <c r="O67">
        <f ca="1"/>
        <v>0</v>
      </c>
      <c r="P67">
        <f ca="1"/>
        <v>17.286111584095824</v>
      </c>
      <c r="Q67">
        <f ca="1"/>
        <v>1610.5198094963582</v>
      </c>
    </row>
    <row r="68" spans="1:17">
      <c r="A68" s="2">
        <f ca="1"/>
        <v>67</v>
      </c>
      <c r="B68" s="2">
        <f ca="1"/>
        <v>-0.55254237288135588</v>
      </c>
      <c r="C68" s="7">
        <f ca="1"/>
        <v>1.6500000000000001E-2</v>
      </c>
      <c r="D68" s="4">
        <f ca="1"/>
        <v>0.23330360372848391</v>
      </c>
      <c r="E68" s="4">
        <f ca="1"/>
        <v>36.808765873546008</v>
      </c>
      <c r="F68" s="4">
        <f ca="1"/>
        <v>3175.7728396919406</v>
      </c>
      <c r="G68">
        <f ca="1"/>
        <v>-18867.085114979458</v>
      </c>
      <c r="H68">
        <f ca="1"/>
        <v>0.23330360372848391</v>
      </c>
      <c r="I68">
        <f ca="1"/>
        <v>4.3132605191073268E-3</v>
      </c>
      <c r="J68">
        <f ca="1"/>
        <v>5.3613361124207016E-3</v>
      </c>
      <c r="K68">
        <f ca="1"/>
        <v>0</v>
      </c>
      <c r="L68">
        <f ca="1"/>
        <v>0.3665898836041383</v>
      </c>
      <c r="M68">
        <f ca="1"/>
        <v>13.697935607096609</v>
      </c>
      <c r="N68">
        <f ca="1"/>
        <v>3.6319975964601716</v>
      </c>
      <c r="O68">
        <f ca="1"/>
        <v>0</v>
      </c>
      <c r="P68">
        <f ca="1"/>
        <v>17.696523087160919</v>
      </c>
      <c r="Q68">
        <f ca="1"/>
        <v>1673.1957290005453</v>
      </c>
    </row>
    <row r="69" spans="1:17">
      <c r="A69" s="2">
        <f ca="1"/>
        <v>68</v>
      </c>
      <c r="B69" s="2">
        <f ca="1"/>
        <v>-0.54576271186440672</v>
      </c>
      <c r="C69" s="7">
        <f ca="1"/>
        <v>1.6750000000000001E-2</v>
      </c>
      <c r="D69" s="4">
        <f ca="1"/>
        <v>0.24260498568998856</v>
      </c>
      <c r="E69" s="4">
        <f ca="1"/>
        <v>37.602067117878178</v>
      </c>
      <c r="F69" s="4">
        <f ca="1"/>
        <v>3170.4282827852244</v>
      </c>
      <c r="G69">
        <f ca="1"/>
        <v>-23879.057438499563</v>
      </c>
      <c r="H69">
        <f ca="1"/>
        <v>0.24260498568998856</v>
      </c>
      <c r="I69">
        <f ca="1"/>
        <v>4.3639225213326456E-3</v>
      </c>
      <c r="J69">
        <f ca="1"/>
        <v>5.532739223002763E-3</v>
      </c>
      <c r="K69">
        <f ca="1"/>
        <v>0</v>
      </c>
      <c r="L69">
        <f ca="1"/>
        <v>0.37579332471431287</v>
      </c>
      <c r="M69">
        <f ca="1"/>
        <v>13.835503385516427</v>
      </c>
      <c r="N69">
        <f ca="1"/>
        <v>3.9114127383653599</v>
      </c>
      <c r="O69">
        <f ca="1"/>
        <v>0</v>
      </c>
      <c r="P69">
        <f ca="1"/>
        <v>18.122709448596098</v>
      </c>
      <c r="Q69">
        <f ca="1"/>
        <v>1736.1836511817598</v>
      </c>
    </row>
    <row r="70" spans="1:17">
      <c r="A70" s="2">
        <f ca="1"/>
        <v>69</v>
      </c>
      <c r="B70" s="2">
        <f ca="1"/>
        <v>-0.53898305084745757</v>
      </c>
      <c r="C70" s="7">
        <f ca="1"/>
        <v>1.7000000000000001E-2</v>
      </c>
      <c r="D70" s="4">
        <f ca="1"/>
        <v>0.2521045129334456</v>
      </c>
      <c r="E70" s="4">
        <f ca="1"/>
        <v>38.393876243392327</v>
      </c>
      <c r="F70" s="4">
        <f ca="1"/>
        <v>3163.8384673228179</v>
      </c>
      <c r="G70">
        <f ca="1"/>
        <v>-28829.153560494728</v>
      </c>
      <c r="H70">
        <f ca="1"/>
        <v>0.2521045129334456</v>
      </c>
      <c r="I70">
        <f ca="1"/>
        <v>4.41730804400215E-3</v>
      </c>
      <c r="J70">
        <f ca="1"/>
        <v>5.7038475370234524E-3</v>
      </c>
      <c r="K70">
        <f ca="1"/>
        <v>0</v>
      </c>
      <c r="L70">
        <f ca="1"/>
        <v>0.38497425468165392</v>
      </c>
      <c r="M70">
        <f ca="1"/>
        <v>13.975649111628517</v>
      </c>
      <c r="N70">
        <f ca="1"/>
        <v>4.2039915464416291</v>
      </c>
      <c r="O70">
        <f ca="1"/>
        <v>0</v>
      </c>
      <c r="P70">
        <f ca="1"/>
        <v>18.5646149127518</v>
      </c>
      <c r="Q70">
        <f ca="1"/>
        <v>1799.0616345861154</v>
      </c>
    </row>
    <row r="71" spans="1:17">
      <c r="A71" s="2">
        <f ca="1"/>
        <v>70</v>
      </c>
      <c r="B71" s="2">
        <f ca="1"/>
        <v>-0.53220338983050841</v>
      </c>
      <c r="C71" s="7">
        <f ca="1"/>
        <v>1.7250000000000001E-2</v>
      </c>
      <c r="D71" s="4">
        <f ca="1"/>
        <v>0.26180177367595681</v>
      </c>
      <c r="E71" s="4">
        <f ca="1"/>
        <v>39.183883869080809</v>
      </c>
      <c r="F71" s="4">
        <f ca="1"/>
        <v>3156.0188623551039</v>
      </c>
      <c r="G71">
        <f ca="1"/>
        <v>-33717.373480964918</v>
      </c>
      <c r="H71">
        <f ca="1"/>
        <v>0.26180177367595681</v>
      </c>
      <c r="I71">
        <f ca="1"/>
        <v>4.4734434791929021E-3</v>
      </c>
      <c r="J71">
        <f ca="1"/>
        <v>5.8743524755186178E-3</v>
      </c>
      <c r="K71">
        <f ca="1"/>
        <v>0</v>
      </c>
      <c r="L71">
        <f ca="1"/>
        <v>0.39429614489020659</v>
      </c>
      <c r="M71">
        <f ca="1"/>
        <v>14.11827200001224</v>
      </c>
      <c r="N71">
        <f ca="1"/>
        <v>4.5096721209867079</v>
      </c>
      <c r="O71">
        <f ca="1"/>
        <v>0</v>
      </c>
      <c r="P71">
        <f ca="1"/>
        <v>19.022240265889156</v>
      </c>
      <c r="Q71">
        <f ca="1"/>
        <v>1861.3450364465207</v>
      </c>
    </row>
    <row r="72" spans="1:17">
      <c r="A72" s="2">
        <f ca="1"/>
        <v>71</v>
      </c>
      <c r="B72" s="2">
        <f ca="1"/>
        <v>-0.52542372881355925</v>
      </c>
      <c r="C72" s="7">
        <f ca="1"/>
        <v>1.7500000000000002E-2</v>
      </c>
      <c r="D72" s="4">
        <f ca="1"/>
        <v>0.27169627927277951</v>
      </c>
      <c r="E72" s="4">
        <f ca="1"/>
        <v>39.971784481198625</v>
      </c>
      <c r="F72" s="4">
        <f ca="1"/>
        <v>3146.9849369324625</v>
      </c>
      <c r="G72">
        <f ca="1"/>
        <v>-38543.71719991017</v>
      </c>
      <c r="H72">
        <f ca="1"/>
        <v>0.27169627927277951</v>
      </c>
      <c r="I72">
        <f ca="1"/>
        <v>4.5324158548847313E-3</v>
      </c>
      <c r="J72">
        <f ca="1"/>
        <v>6.043931267697083E-3</v>
      </c>
      <c r="K72">
        <f ca="1"/>
        <v>0</v>
      </c>
      <c r="L72">
        <f ca="1"/>
        <v>0.40351689400030494</v>
      </c>
      <c r="M72">
        <f ca="1"/>
        <v>14.26344442323612</v>
      </c>
      <c r="N72">
        <f ca="1"/>
        <v>4.8283261137386351</v>
      </c>
      <c r="O72">
        <f ca="1"/>
        <v>0</v>
      </c>
      <c r="P72">
        <f ca="1"/>
        <v>19.495287430975061</v>
      </c>
      <c r="Q72">
        <f ca="1"/>
        <v>1922.9003620282353</v>
      </c>
    </row>
    <row r="73" spans="1:17">
      <c r="A73" s="2">
        <f ca="1"/>
        <v>72</v>
      </c>
      <c r="B73" s="2">
        <f ca="1"/>
        <v>-0.5186440677966101</v>
      </c>
      <c r="C73" s="7">
        <f ca="1"/>
        <v>1.7750000000000002E-2</v>
      </c>
      <c r="D73" s="4">
        <f ca="1"/>
        <v>0.28178746518414277</v>
      </c>
      <c r="E73" s="4">
        <f ca="1"/>
        <v>40.757276433263335</v>
      </c>
      <c r="F73" s="4">
        <f ca="1"/>
        <v>3136.7521601052767</v>
      </c>
      <c r="G73">
        <f ca="1"/>
        <v>-43308.184717330521</v>
      </c>
      <c r="H73">
        <f ca="1"/>
        <v>0.28178746518414277</v>
      </c>
      <c r="I73">
        <f ca="1"/>
        <v>4.5942606035330475E-3</v>
      </c>
      <c r="J73">
        <f ca="1"/>
        <v>6.2122899724478967E-3</v>
      </c>
      <c r="K73">
        <f ca="1"/>
        <v>0</v>
      </c>
      <c r="L73">
        <f ca="1"/>
        <v>0.41284349151753486</v>
      </c>
      <c r="M73">
        <f ca="1"/>
        <v>14.411056872218859</v>
      </c>
      <c r="N73">
        <f ca="1"/>
        <v>5.1597900831668797</v>
      </c>
      <c r="O73">
        <f ca="1"/>
        <v>0</v>
      </c>
      <c r="P73">
        <f ca="1"/>
        <v>19.983690446903275</v>
      </c>
      <c r="Q73">
        <f ca="1"/>
        <v>1983.3235184309697</v>
      </c>
    </row>
    <row r="74" spans="1:17">
      <c r="A74" s="2">
        <f ca="1"/>
        <v>73</v>
      </c>
      <c r="B74" s="2">
        <f ca="1"/>
        <v>-0.51186440677966094</v>
      </c>
      <c r="C74" s="7">
        <f ca="1"/>
        <v>1.8000000000000002E-2</v>
      </c>
      <c r="D74" s="4">
        <f ca="1"/>
        <v>0.2920746919420627</v>
      </c>
      <c r="E74" s="4">
        <f ca="1"/>
        <v>41.540061946055083</v>
      </c>
      <c r="F74" s="4">
        <f ca="1"/>
        <v>3125.3360009239245</v>
      </c>
      <c r="G74">
        <f ca="1"/>
        <v>-48010.776033225899</v>
      </c>
      <c r="H74">
        <f ca="1"/>
        <v>0.2920746919420627</v>
      </c>
      <c r="I74">
        <f ca="1"/>
        <v>4.6590296874936552E-3</v>
      </c>
      <c r="J74">
        <f ca="1"/>
        <v>6.3790846169718045E-3</v>
      </c>
      <c r="K74">
        <f ca="1"/>
        <v>0</v>
      </c>
      <c r="L74">
        <f ca="1"/>
        <v>0.42211593904919509</v>
      </c>
      <c r="M74">
        <f ca="1"/>
        <v>14.561033211697263</v>
      </c>
      <c r="N74">
        <f ca="1"/>
        <v>5.5038000394440889</v>
      </c>
      <c r="O74">
        <f ca="1"/>
        <v>0</v>
      </c>
      <c r="P74">
        <f ca="1"/>
        <v>20.486949190190547</v>
      </c>
      <c r="Q74">
        <f ca="1"/>
        <v>2041.9465747979311</v>
      </c>
    </row>
    <row r="75" spans="1:17">
      <c r="A75" s="2">
        <f ca="1"/>
        <v>74</v>
      </c>
      <c r="B75" s="2">
        <f ca="1"/>
        <v>-0.5050847457627119</v>
      </c>
      <c r="C75" s="7">
        <f ca="1"/>
        <v>1.8249999999999999E-2</v>
      </c>
      <c r="D75" s="4">
        <f ca="1"/>
        <v>0.3025572461171584</v>
      </c>
      <c r="E75" s="4">
        <f ca="1"/>
        <v>42.319847107616638</v>
      </c>
      <c r="F75" s="4">
        <f ca="1"/>
        <v>3112.7519284387904</v>
      </c>
      <c r="G75">
        <f ca="1"/>
        <v>-52651.491147596302</v>
      </c>
      <c r="H75">
        <f ca="1"/>
        <v>0.3025572461171584</v>
      </c>
      <c r="I75">
        <f ca="1"/>
        <v>4.7267678022651066E-3</v>
      </c>
      <c r="J75">
        <f ca="1"/>
        <v>6.5439740886637492E-3</v>
      </c>
      <c r="K75">
        <f ca="1"/>
        <v>0</v>
      </c>
      <c r="L75">
        <f ca="1"/>
        <v>0.43137927518325409</v>
      </c>
      <c r="M75">
        <f ca="1"/>
        <v>14.713255591783094</v>
      </c>
      <c r="N75">
        <f ca="1"/>
        <v>5.8600288673358865</v>
      </c>
      <c r="O75">
        <f ca="1"/>
        <v>0</v>
      </c>
      <c r="P75">
        <f ca="1"/>
        <v>21.004663734302234</v>
      </c>
      <c r="Q75">
        <f ca="1"/>
        <v>2098.7263929979094</v>
      </c>
    </row>
    <row r="76" spans="1:17">
      <c r="A76" s="2">
        <f ca="1"/>
        <v>75</v>
      </c>
      <c r="B76" s="2">
        <f ca="1"/>
        <v>-0.49830508474576274</v>
      </c>
      <c r="C76" s="7">
        <f ca="1"/>
        <v>1.8499999999999999E-2</v>
      </c>
      <c r="D76" s="4">
        <f ca="1"/>
        <v>0.31323434128546812</v>
      </c>
      <c r="E76" s="4">
        <f ca="1"/>
        <v>43.096341873253351</v>
      </c>
      <c r="F76" s="4">
        <f ca="1"/>
        <v>3099.0154117002539</v>
      </c>
      <c r="G76">
        <f ca="1"/>
        <v>-57230.330060441804</v>
      </c>
      <c r="H76">
        <f ca="1"/>
        <v>0.31323434128546812</v>
      </c>
      <c r="I76">
        <f ca="1"/>
        <v>4.7975122392779181E-3</v>
      </c>
      <c r="J76">
        <f ca="1"/>
        <v>6.7066177856184945E-3</v>
      </c>
      <c r="K76">
        <f ca="1"/>
        <v>0</v>
      </c>
      <c r="L76">
        <f ca="1"/>
        <v>0.44066524275716723</v>
      </c>
      <c r="M76">
        <f ca="1"/>
        <v>14.867564367342865</v>
      </c>
      <c r="N76">
        <f ca="1"/>
        <v>6.2280827765894626</v>
      </c>
      <c r="O76">
        <f ca="1"/>
        <v>0</v>
      </c>
      <c r="P76">
        <f ca="1"/>
        <v>21.536312386689495</v>
      </c>
      <c r="Q76">
        <f ca="1"/>
        <v>2152.7811298082306</v>
      </c>
    </row>
    <row r="77" spans="1:17">
      <c r="A77" s="2">
        <f ca="1"/>
        <v>76</v>
      </c>
      <c r="B77" s="2">
        <f ca="1"/>
        <v>-0.49152542372881358</v>
      </c>
      <c r="C77" s="7">
        <f ca="1"/>
        <v>1.8749999999999999E-2</v>
      </c>
      <c r="D77" s="4">
        <f ca="1"/>
        <v>0.32410511899526284</v>
      </c>
      <c r="E77" s="4">
        <f ca="1"/>
        <v>43.869260065533176</v>
      </c>
      <c r="F77" s="4">
        <f ca="1"/>
        <v>3084.1419197586965</v>
      </c>
      <c r="G77">
        <f ca="1"/>
        <v>-61747.292771762404</v>
      </c>
      <c r="H77">
        <f ca="1"/>
        <v>0.32410511899526284</v>
      </c>
      <c r="I77">
        <f ca="1"/>
        <v>4.8712928561637633E-3</v>
      </c>
      <c r="J77">
        <f ca="1"/>
        <v>6.8666770932243994E-3</v>
      </c>
      <c r="K77">
        <f ca="1"/>
        <v>0</v>
      </c>
      <c r="L77">
        <f ca="1"/>
        <v>0.44979463821197246</v>
      </c>
      <c r="M77">
        <f ca="1"/>
        <v>15.023758501115733</v>
      </c>
      <c r="N77">
        <f ca="1"/>
        <v>6.6075011598786446</v>
      </c>
      <c r="O77">
        <f ca="1"/>
        <v>0</v>
      </c>
      <c r="P77">
        <f ca="1"/>
        <v>22.08105429920635</v>
      </c>
      <c r="Q77">
        <f ca="1"/>
        <v>2203.9505762388508</v>
      </c>
    </row>
    <row r="78" spans="1:17">
      <c r="A78" s="2">
        <f ca="1"/>
        <v>77</v>
      </c>
      <c r="B78" s="2">
        <f ca="1"/>
        <v>-0.48474576271186443</v>
      </c>
      <c r="C78" s="7">
        <f ca="1"/>
        <v>1.9E-2</v>
      </c>
      <c r="D78" s="4">
        <f ca="1"/>
        <v>0.33516864973386484</v>
      </c>
      <c r="E78" s="4">
        <f ca="1"/>
        <v>44.638319374286645</v>
      </c>
      <c r="F78" s="4">
        <f ca="1"/>
        <v>3068.1469216644996</v>
      </c>
      <c r="G78">
        <f ca="1"/>
        <v>-66202.379281558024</v>
      </c>
      <c r="H78">
        <f ca="1"/>
        <v>0.33516864973386484</v>
      </c>
      <c r="I78">
        <f ca="1"/>
        <v>4.9481336501438992E-3</v>
      </c>
      <c r="J78">
        <f ca="1"/>
        <v>7.0238110527905727E-3</v>
      </c>
      <c r="K78">
        <f ca="1"/>
        <v>0</v>
      </c>
      <c r="L78">
        <f ca="1"/>
        <v>0.45893549166719932</v>
      </c>
      <c r="M78">
        <f ca="1"/>
        <v>15.181601026673528</v>
      </c>
      <c r="N78">
        <f ca="1"/>
        <v>6.997751156468194</v>
      </c>
      <c r="O78">
        <f ca="1"/>
        <v>0</v>
      </c>
      <c r="P78">
        <f ca="1"/>
        <v>22.638287674808922</v>
      </c>
      <c r="Q78">
        <f ca="1"/>
        <v>2251.9237885531829</v>
      </c>
    </row>
    <row r="79" spans="1:17">
      <c r="A79" s="2">
        <f ca="1"/>
        <v>78</v>
      </c>
      <c r="B79" s="2">
        <f ca="1"/>
        <v>-0.47796610169491527</v>
      </c>
      <c r="C79" s="7">
        <f ca="1"/>
        <v>1.925E-2</v>
      </c>
      <c r="D79" s="4">
        <f ca="1"/>
        <v>0.34642393389446124</v>
      </c>
      <c r="E79" s="4">
        <f ca="1"/>
        <v>45.403241356606905</v>
      </c>
      <c r="F79" s="4">
        <f ca="1"/>
        <v>3051.0458864680445</v>
      </c>
      <c r="G79">
        <f ca="1"/>
        <v>-70595.589589828727</v>
      </c>
      <c r="H79">
        <f ca="1"/>
        <v>0.34642393389446124</v>
      </c>
      <c r="I79">
        <f ca="1"/>
        <v>5.0280647181849695E-3</v>
      </c>
      <c r="J79">
        <f ca="1"/>
        <v>7.177633908780635E-3</v>
      </c>
      <c r="K79">
        <f ca="1"/>
        <v>0</v>
      </c>
      <c r="L79">
        <f ca="1"/>
        <v>0.46797778344533031</v>
      </c>
      <c r="M79">
        <f ca="1"/>
        <v>15.340856175313359</v>
      </c>
      <c r="N79">
        <f ca="1"/>
        <v>7.3981822347242527</v>
      </c>
      <c r="O79">
        <f ca="1"/>
        <v>0</v>
      </c>
      <c r="P79">
        <f ca="1"/>
        <v>23.207016193482943</v>
      </c>
      <c r="Q79">
        <f ca="1"/>
        <v>2295.9363655162811</v>
      </c>
    </row>
    <row r="80" spans="1:17">
      <c r="A80" s="2">
        <f ca="1"/>
        <v>79</v>
      </c>
      <c r="B80" s="2">
        <f ca="1"/>
        <v>-0.47118644067796611</v>
      </c>
      <c r="C80" s="7">
        <f ca="1"/>
        <v>1.95E-2</v>
      </c>
      <c r="D80" s="4">
        <f ca="1"/>
        <v>0.35786990274291952</v>
      </c>
      <c r="E80" s="4">
        <f ca="1"/>
        <v>46.16375143684968</v>
      </c>
      <c r="F80" s="4">
        <f ca="1"/>
        <v>3032.8542832197118</v>
      </c>
      <c r="G80">
        <f ca="1"/>
        <v>-74926.923696574479</v>
      </c>
      <c r="H80">
        <f ca="1"/>
        <v>0.35786990274291952</v>
      </c>
      <c r="I80">
        <f ca="1"/>
        <v>5.1110886406557738E-3</v>
      </c>
      <c r="J80">
        <f ca="1"/>
        <v>7.3278862939015988E-3</v>
      </c>
      <c r="K80">
        <f ca="1"/>
        <v>0</v>
      </c>
      <c r="L80">
        <f ca="1"/>
        <v>0.4768690481199313</v>
      </c>
      <c r="M80">
        <f ca="1"/>
        <v>15.501187075728478</v>
      </c>
      <c r="N80">
        <f ca="1"/>
        <v>7.8081997337186557</v>
      </c>
      <c r="O80">
        <f ca="1"/>
        <v>0</v>
      </c>
      <c r="P80">
        <f ca="1"/>
        <v>23.786255857567063</v>
      </c>
      <c r="Q80">
        <f ca="1"/>
        <v>2340.0086477610366</v>
      </c>
    </row>
    <row r="81" spans="1:17">
      <c r="A81" s="2">
        <f ca="1"/>
        <v>80</v>
      </c>
      <c r="B81" s="2">
        <f ca="1"/>
        <v>-0.46440677966101696</v>
      </c>
      <c r="C81" s="7">
        <f ca="1"/>
        <v>1.975E-2</v>
      </c>
      <c r="D81" s="4">
        <f ca="1"/>
        <v>0.36950541938460546</v>
      </c>
      <c r="E81" s="4">
        <f ca="1"/>
        <v>46.919578906633305</v>
      </c>
      <c r="F81" s="4">
        <f ca="1"/>
        <v>3013.5875809698837</v>
      </c>
      <c r="G81">
        <f ca="1"/>
        <v>-79196.381601795307</v>
      </c>
      <c r="H81">
        <f ca="1"/>
        <v>0.36950541938460546</v>
      </c>
      <c r="I81">
        <f ca="1"/>
        <v>5.1972289310752385E-3</v>
      </c>
      <c r="J81">
        <f ca="1"/>
        <v>7.4759985958502409E-3</v>
      </c>
      <c r="K81">
        <f ca="1"/>
        <v>0</v>
      </c>
      <c r="L81">
        <f ca="1"/>
        <v>0.48570904550639843</v>
      </c>
      <c r="M81">
        <f ca="1"/>
        <v>15.662304562145723</v>
      </c>
      <c r="N81">
        <f ca="1"/>
        <v>8.2290069097113427</v>
      </c>
      <c r="O81">
        <f ca="1"/>
        <v>0</v>
      </c>
      <c r="P81">
        <f ca="1"/>
        <v>24.377020517363462</v>
      </c>
      <c r="Q81">
        <f ca="1"/>
        <v>2375.5321393034287</v>
      </c>
    </row>
    <row r="82" spans="1:17">
      <c r="A82" s="2">
        <f ca="1"/>
        <v>81</v>
      </c>
      <c r="B82" s="2">
        <f ca="1"/>
        <v>-0.4576271186440678</v>
      </c>
      <c r="C82" s="7">
        <f ca="1"/>
        <v>0.02</v>
      </c>
      <c r="D82" s="4">
        <f ca="1"/>
        <v>0.38132927973119557</v>
      </c>
      <c r="E82" s="4">
        <f ca="1"/>
        <v>47.670456924838696</v>
      </c>
      <c r="F82" s="4">
        <f ca="1"/>
        <v>2993.2612487689421</v>
      </c>
      <c r="G82">
        <f ca="1"/>
        <v>-83403.963305491197</v>
      </c>
      <c r="H82">
        <f ca="1"/>
        <v>0.38132927973119557</v>
      </c>
      <c r="I82">
        <f ca="1"/>
        <v>5.2864595799626346E-3</v>
      </c>
      <c r="J82">
        <f ca="1"/>
        <v>7.6180340525530427E-3</v>
      </c>
      <c r="K82">
        <f ca="1"/>
        <v>0</v>
      </c>
      <c r="L82">
        <f ca="1"/>
        <v>0.49438101841090254</v>
      </c>
      <c r="M82">
        <f ca="1"/>
        <v>15.823754603885494</v>
      </c>
      <c r="N82">
        <f ca="1"/>
        <v>8.6558863049223813</v>
      </c>
      <c r="O82">
        <f ca="1"/>
        <v>0</v>
      </c>
      <c r="P82">
        <f ca="1"/>
        <v>24.974021927218779</v>
      </c>
      <c r="Q82">
        <f ca="1"/>
        <v>2396.7373656459877</v>
      </c>
    </row>
    <row r="83" spans="1:17">
      <c r="A83" s="2">
        <f ca="1"/>
        <v>82</v>
      </c>
      <c r="B83" s="2">
        <f ca="1"/>
        <v>-0.45084745762711864</v>
      </c>
      <c r="C83" s="7">
        <f ca="1"/>
        <v>2.0250000000000001E-2</v>
      </c>
      <c r="D83" s="4">
        <f ca="1"/>
        <v>0.39334021346749615</v>
      </c>
      <c r="E83" s="4">
        <f ca="1"/>
        <v>48.416122517609381</v>
      </c>
      <c r="F83" s="4">
        <f ca="1"/>
        <v>2971.8907556672661</v>
      </c>
      <c r="G83">
        <f ca="1"/>
        <v>-87549.668807662121</v>
      </c>
      <c r="H83">
        <f ca="1"/>
        <v>0.39334021346749615</v>
      </c>
      <c r="I83">
        <f ca="1"/>
        <v>5.3787829525035781E-3</v>
      </c>
      <c r="J83">
        <f ca="1"/>
        <v>7.7533394263871224E-3</v>
      </c>
      <c r="K83">
        <f ca="1"/>
        <v>0</v>
      </c>
      <c r="L83">
        <f ca="1"/>
        <v>0.50285129366793635</v>
      </c>
      <c r="M83">
        <f ca="1"/>
        <v>15.985155333286068</v>
      </c>
      <c r="N83">
        <f ca="1"/>
        <v>9.0873825732324534</v>
      </c>
      <c r="O83">
        <f ca="1"/>
        <v>0</v>
      </c>
      <c r="P83">
        <f ca="1"/>
        <v>25.575389200186457</v>
      </c>
      <c r="Q83">
        <f ca="1"/>
        <v>2424.6366670901389</v>
      </c>
    </row>
    <row r="84" spans="1:17">
      <c r="A84" s="2">
        <f ca="1"/>
        <v>83</v>
      </c>
      <c r="B84" s="2">
        <f ca="1"/>
        <v>-0.44406779661016949</v>
      </c>
      <c r="C84" s="7">
        <f ca="1"/>
        <v>2.0500000000000001E-2</v>
      </c>
      <c r="D84" s="4">
        <f ca="1"/>
        <v>0.40553688501825569</v>
      </c>
      <c r="E84" s="4">
        <f ca="1"/>
        <v>49.156316578351465</v>
      </c>
      <c r="F84" s="4">
        <f ca="1"/>
        <v>2949.4915707152381</v>
      </c>
      <c r="G84">
        <f ca="1"/>
        <v>-91633.498108308122</v>
      </c>
      <c r="H84">
        <f ca="1"/>
        <v>0.40553688501825569</v>
      </c>
      <c r="I84">
        <f ca="1"/>
        <v>5.4741793935684183E-3</v>
      </c>
      <c r="J84">
        <f ca="1"/>
        <v>7.8871987123801061E-3</v>
      </c>
      <c r="K84">
        <f ca="1"/>
        <v>0</v>
      </c>
      <c r="L84">
        <f ca="1"/>
        <v>0.51120377143094031</v>
      </c>
      <c r="M84">
        <f ca="1"/>
        <v>16.146045977913104</v>
      </c>
      <c r="N84">
        <f ca="1"/>
        <v>9.5290905114198079</v>
      </c>
      <c r="O84">
        <f ca="1"/>
        <v>0</v>
      </c>
      <c r="P84">
        <f ca="1"/>
        <v>26.186340260763849</v>
      </c>
      <c r="Q84">
        <f ca="1"/>
        <v>2448.8775832632023</v>
      </c>
    </row>
    <row r="85" spans="1:17">
      <c r="A85" s="2">
        <f ca="1"/>
        <v>84</v>
      </c>
      <c r="B85" s="2">
        <f ca="1"/>
        <v>-0.43728813559322033</v>
      </c>
      <c r="C85" s="7">
        <f ca="1"/>
        <v>2.0750000000000001E-2</v>
      </c>
      <c r="D85" s="4">
        <f ca="1"/>
        <v>0.41791789451498262</v>
      </c>
      <c r="E85" s="4">
        <f ca="1"/>
        <v>49.890783867733667</v>
      </c>
      <c r="F85" s="4">
        <f ca="1"/>
        <v>2926.0791629632386</v>
      </c>
      <c r="G85">
        <f ca="1"/>
        <v>-95655.4512074292</v>
      </c>
      <c r="H85">
        <f ca="1"/>
        <v>0.41791789451498262</v>
      </c>
      <c r="I85">
        <f ca="1"/>
        <v>5.5726168157170276E-3</v>
      </c>
      <c r="J85">
        <f ca="1"/>
        <v>8.0145990048290094E-3</v>
      </c>
      <c r="K85">
        <f ca="1"/>
        <v>0</v>
      </c>
      <c r="L85">
        <f ca="1"/>
        <v>0.51937966365845656</v>
      </c>
      <c r="M85">
        <f ca="1"/>
        <v>16.305917947648148</v>
      </c>
      <c r="N85">
        <f ca="1"/>
        <v>9.9745303805114567</v>
      </c>
      <c r="O85">
        <f ca="1"/>
        <v>0</v>
      </c>
      <c r="P85">
        <f ca="1"/>
        <v>26.799827991818059</v>
      </c>
      <c r="Q85">
        <f ca="1"/>
        <v>2452.8418040630959</v>
      </c>
    </row>
    <row r="86" spans="1:17">
      <c r="A86" s="2">
        <f ca="1"/>
        <v>85</v>
      </c>
      <c r="B86" s="2">
        <f ca="1"/>
        <v>-0.43050847457627117</v>
      </c>
      <c r="C86" s="7">
        <f ca="1"/>
        <v>2.1000000000000001E-2</v>
      </c>
      <c r="D86" s="4">
        <f ca="1"/>
        <v>0.43048177876276106</v>
      </c>
      <c r="E86" s="4">
        <f ca="1"/>
        <v>50.619273013687284</v>
      </c>
      <c r="F86" s="4">
        <f ca="1"/>
        <v>2901.6690014616502</v>
      </c>
      <c r="G86">
        <f ca="1"/>
        <v>-99615.528105025296</v>
      </c>
      <c r="H86">
        <f ca="1"/>
        <v>0.43048177876276106</v>
      </c>
      <c r="I86">
        <f ca="1"/>
        <v>5.6740720678482093E-3</v>
      </c>
      <c r="J86">
        <f ca="1"/>
        <v>8.134252485939051E-3</v>
      </c>
      <c r="K86">
        <f ca="1"/>
        <v>0</v>
      </c>
      <c r="L86">
        <f ca="1"/>
        <v>0.52724063237061558</v>
      </c>
      <c r="M86">
        <f ca="1"/>
        <v>16.464279031334556</v>
      </c>
      <c r="N86">
        <f ca="1"/>
        <v>10.421241499090225</v>
      </c>
      <c r="O86">
        <f ca="1"/>
        <v>0</v>
      </c>
      <c r="P86">
        <f ca="1"/>
        <v>27.412761162795398</v>
      </c>
      <c r="Q86">
        <f ca="1"/>
        <v>2453.9897102592413</v>
      </c>
    </row>
    <row r="87" spans="1:17">
      <c r="A87" s="2">
        <f ca="1"/>
        <v>86</v>
      </c>
      <c r="B87" s="2">
        <f ca="1"/>
        <v>-0.42372881355932202</v>
      </c>
      <c r="C87" s="7">
        <f ca="1"/>
        <v>2.1250000000000002E-2</v>
      </c>
      <c r="D87" s="4">
        <f ca="1"/>
        <v>0.44322701220706451</v>
      </c>
      <c r="E87" s="4">
        <f ca="1"/>
        <v>51.341536511406233</v>
      </c>
      <c r="F87" s="4">
        <f ca="1"/>
        <v>2876.276555260853</v>
      </c>
      <c r="G87">
        <f ca="1"/>
        <v>-103513.72880109648</v>
      </c>
      <c r="H87">
        <f ca="1"/>
        <v>0.44322701220706451</v>
      </c>
      <c r="I87">
        <f ca="1"/>
        <v>5.7785008210175818E-3</v>
      </c>
      <c r="J87">
        <f ca="1"/>
        <v>8.2485077803585178E-3</v>
      </c>
      <c r="K87">
        <f ca="1"/>
        <v>0</v>
      </c>
      <c r="L87">
        <f ca="1"/>
        <v>0.53491546476935936</v>
      </c>
      <c r="M87">
        <f ca="1"/>
        <v>16.62056643604846</v>
      </c>
      <c r="N87">
        <f ca="1"/>
        <v>10.871340946129862</v>
      </c>
      <c r="O87">
        <f ca="1"/>
        <v>0</v>
      </c>
      <c r="P87">
        <f ca="1"/>
        <v>28.026822846947681</v>
      </c>
      <c r="Q87">
        <f ca="1"/>
        <v>2465.4653334708364</v>
      </c>
    </row>
    <row r="88" spans="1:17">
      <c r="A88" s="2">
        <f ca="1"/>
        <v>87</v>
      </c>
      <c r="B88" s="2">
        <f ca="1"/>
        <v>-0.41694915254237286</v>
      </c>
      <c r="C88" s="7">
        <f ca="1"/>
        <v>2.1500000000000002E-2</v>
      </c>
      <c r="D88" s="4">
        <f ca="1"/>
        <v>0.45615200790057364</v>
      </c>
      <c r="E88" s="4">
        <f ca="1"/>
        <v>52.057330723346986</v>
      </c>
      <c r="F88" s="4">
        <f ca="1"/>
        <v>2849.9172934112289</v>
      </c>
      <c r="G88">
        <f ca="1"/>
        <v>-107350.05329564273</v>
      </c>
      <c r="H88">
        <f ca="1"/>
        <v>0.45615200790057364</v>
      </c>
      <c r="I88">
        <f ca="1"/>
        <v>5.8858534898981211E-3</v>
      </c>
      <c r="J88">
        <f ca="1"/>
        <v>8.3609305812912139E-3</v>
      </c>
      <c r="K88">
        <f ca="1"/>
        <v>0</v>
      </c>
      <c r="L88">
        <f ca="1"/>
        <v>0.54238070957666884</v>
      </c>
      <c r="M88">
        <f ca="1"/>
        <v>16.77419564734549</v>
      </c>
      <c r="N88">
        <f ca="1"/>
        <v>11.328917472608659</v>
      </c>
      <c r="O88">
        <f ca="1"/>
        <v>0</v>
      </c>
      <c r="P88">
        <f ca="1"/>
        <v>28.645493829530817</v>
      </c>
      <c r="Q88">
        <f ca="1"/>
        <v>2460.7912886249301</v>
      </c>
    </row>
    <row r="89" spans="1:17">
      <c r="A89" s="2">
        <f ca="1"/>
        <v>88</v>
      </c>
      <c r="B89" s="2">
        <f ca="1"/>
        <v>-0.41016949152542359</v>
      </c>
      <c r="C89" s="7">
        <f ca="1"/>
        <v>2.1750000000000002E-2</v>
      </c>
      <c r="D89" s="4">
        <f ca="1"/>
        <v>0.46925511846999091</v>
      </c>
      <c r="E89" s="4">
        <f ca="1"/>
        <v>52.766415879228653</v>
      </c>
      <c r="F89" s="4">
        <f ca="1"/>
        <v>2822.6066849631579</v>
      </c>
      <c r="G89">
        <f ca="1"/>
        <v>-111124.50158866409</v>
      </c>
      <c r="H89">
        <f ca="1"/>
        <v>0.46925511846999091</v>
      </c>
      <c r="I89">
        <f ca="1"/>
        <v>5.9960670113050141E-3</v>
      </c>
      <c r="J89">
        <f ca="1"/>
        <v>8.4640071087964848E-3</v>
      </c>
      <c r="K89">
        <f ca="1"/>
        <v>0</v>
      </c>
      <c r="L89">
        <f ca="1"/>
        <v>0.54953482863309344</v>
      </c>
      <c r="M89">
        <f ca="1"/>
        <v>16.924538829596596</v>
      </c>
      <c r="N89">
        <f ca="1"/>
        <v>11.783144833030461</v>
      </c>
      <c r="O89">
        <f ca="1"/>
        <v>0</v>
      </c>
      <c r="P89">
        <f ca="1"/>
        <v>29.257218491260147</v>
      </c>
      <c r="Q89">
        <f ca="1"/>
        <v>2431.7942200452271</v>
      </c>
    </row>
    <row r="90" spans="1:17">
      <c r="A90" s="2">
        <f ca="1"/>
        <v>89</v>
      </c>
      <c r="B90" s="2">
        <f ca="1"/>
        <v>-0.40338983050847455</v>
      </c>
      <c r="C90" s="7">
        <f ca="1"/>
        <v>2.1999999999999999E-2</v>
      </c>
      <c r="D90" s="4">
        <f ca="1"/>
        <v>0.48253463708285582</v>
      </c>
      <c r="E90" s="4">
        <f ca="1"/>
        <v>53.468556076032897</v>
      </c>
      <c r="F90" s="4">
        <f ca="1"/>
        <v>2794.3601989670242</v>
      </c>
      <c r="G90">
        <f ca="1"/>
        <v>-114837.07368016041</v>
      </c>
      <c r="H90">
        <f ca="1"/>
        <v>0.48253463708285582</v>
      </c>
      <c r="I90">
        <f ca="1"/>
        <v>6.1090836134149434E-3</v>
      </c>
      <c r="J90">
        <f ca="1"/>
        <v>8.558624378994498E-3</v>
      </c>
      <c r="K90">
        <f ca="1"/>
        <v>0</v>
      </c>
      <c r="L90">
        <f ca="1"/>
        <v>0.5563430379151213</v>
      </c>
      <c r="M90">
        <f ca="1"/>
        <v>17.070980101488367</v>
      </c>
      <c r="N90">
        <f ca="1"/>
        <v>12.234067800149935</v>
      </c>
      <c r="O90">
        <f ca="1"/>
        <v>0</v>
      </c>
      <c r="P90">
        <f ca="1"/>
        <v>29.861390939553424</v>
      </c>
      <c r="Q90">
        <f ca="1"/>
        <v>2396.9462102890025</v>
      </c>
    </row>
    <row r="91" spans="1:17">
      <c r="A91" s="2">
        <f ca="1"/>
        <v>90</v>
      </c>
      <c r="B91" s="2">
        <f ca="1"/>
        <v>-0.39661016949152539</v>
      </c>
      <c r="C91" s="7">
        <f ca="1"/>
        <v>2.2249999999999999E-2</v>
      </c>
      <c r="D91" s="4">
        <f ca="1"/>
        <v>0.49598879841436183</v>
      </c>
      <c r="E91" s="4">
        <f ca="1"/>
        <v>54.16351927800401</v>
      </c>
      <c r="F91" s="4">
        <f ca="1"/>
        <v>2765.1933044732054</v>
      </c>
      <c r="G91">
        <f ca="1"/>
        <v>-118487.76957013183</v>
      </c>
      <c r="H91">
        <f ca="1"/>
        <v>0.49598879841436183</v>
      </c>
      <c r="I91">
        <f ca="1"/>
        <v>6.224825661897174E-3</v>
      </c>
      <c r="J91">
        <f ca="1"/>
        <v>8.6443937009851052E-3</v>
      </c>
      <c r="K91">
        <f ca="1"/>
        <v>0</v>
      </c>
      <c r="L91">
        <f ca="1"/>
        <v>0.56287341837676708</v>
      </c>
      <c r="M91">
        <f ca="1"/>
        <v>17.212846241791055</v>
      </c>
      <c r="N91">
        <f ca="1"/>
        <v>12.679971936236818</v>
      </c>
      <c r="O91">
        <f ca="1"/>
        <v>0</v>
      </c>
      <c r="P91">
        <f ca="1"/>
        <v>30.455691596404641</v>
      </c>
      <c r="Q91">
        <f ca="1"/>
        <v>2364.1653779177977</v>
      </c>
    </row>
    <row r="92" spans="1:17">
      <c r="A92" s="2">
        <f ca="1"/>
        <v>91</v>
      </c>
      <c r="B92" s="2">
        <f ca="1"/>
        <v>-0.38983050847457623</v>
      </c>
      <c r="C92" s="7">
        <f ca="1"/>
        <v>2.2499999999999999E-2</v>
      </c>
      <c r="D92" s="4">
        <f ca="1"/>
        <v>0.50961577961417148</v>
      </c>
      <c r="E92" s="4">
        <f ca="1"/>
        <v>54.851077316648883</v>
      </c>
      <c r="F92" s="4">
        <f ca="1"/>
        <v>2735.1214705320849</v>
      </c>
      <c r="G92">
        <f ca="1"/>
        <v>-122076.5892585783</v>
      </c>
      <c r="H92">
        <f ca="1"/>
        <v>0.50961577961417148</v>
      </c>
      <c r="I92">
        <f ca="1"/>
        <v>6.3432083545999314E-3</v>
      </c>
      <c r="J92">
        <f ca="1"/>
        <v>8.724821101549771E-3</v>
      </c>
      <c r="K92">
        <f ca="1"/>
        <v>0</v>
      </c>
      <c r="L92">
        <f ca="1"/>
        <v>0.56910240766339071</v>
      </c>
      <c r="M92">
        <f ca="1"/>
        <v>17.349445362724772</v>
      </c>
      <c r="N92">
        <f ca="1"/>
        <v>13.124925858124161</v>
      </c>
      <c r="O92">
        <f ca="1"/>
        <v>0</v>
      </c>
      <c r="P92">
        <f ca="1"/>
        <v>31.043473628512324</v>
      </c>
      <c r="Q92">
        <f ca="1"/>
        <v>2330.6356328478705</v>
      </c>
    </row>
    <row r="93" spans="1:17">
      <c r="A93" s="2">
        <f ca="1"/>
        <v>92</v>
      </c>
      <c r="B93" s="2">
        <f ca="1"/>
        <v>-0.38305084745762707</v>
      </c>
      <c r="C93" s="7">
        <f ca="1"/>
        <v>2.2749999999999999E-2</v>
      </c>
      <c r="D93" s="4">
        <f ca="1"/>
        <v>0.52341370127323095</v>
      </c>
      <c r="E93" s="4">
        <f ca="1"/>
        <v>55.531005890736978</v>
      </c>
      <c r="F93" s="4">
        <f ca="1"/>
        <v>2704.1601661940431</v>
      </c>
      <c r="G93">
        <f ca="1"/>
        <v>-125603.53274549985</v>
      </c>
      <c r="H93">
        <f ca="1"/>
        <v>0.52341370127323095</v>
      </c>
      <c r="I93">
        <f ca="1"/>
        <v>6.4641452728561649E-3</v>
      </c>
      <c r="J93">
        <f ca="1"/>
        <v>8.7984944971319194E-3</v>
      </c>
      <c r="K93">
        <f ca="1"/>
        <v>0</v>
      </c>
      <c r="L93">
        <f ca="1"/>
        <v>0.57499900447458741</v>
      </c>
      <c r="M93">
        <f ca="1"/>
        <v>17.480084155349164</v>
      </c>
      <c r="N93">
        <f ca="1"/>
        <v>13.565926253004825</v>
      </c>
      <c r="O93">
        <f ca="1"/>
        <v>0</v>
      </c>
      <c r="P93">
        <f ca="1"/>
        <v>31.621009412828577</v>
      </c>
      <c r="Q93">
        <f ca="1"/>
        <v>2281.521342273988</v>
      </c>
    </row>
    <row r="94" spans="1:17">
      <c r="A94" s="2">
        <f ca="1"/>
        <v>93</v>
      </c>
      <c r="B94" s="2">
        <f ca="1"/>
        <v>-0.37627118644067792</v>
      </c>
      <c r="C94" s="7">
        <f ca="1"/>
        <v>2.3E-2</v>
      </c>
      <c r="D94" s="4">
        <f ca="1"/>
        <v>0.5373806283905872</v>
      </c>
      <c r="E94" s="4">
        <f ca="1"/>
        <v>56.203084566300362</v>
      </c>
      <c r="F94" s="4">
        <f ca="1"/>
        <v>2672.3248605094623</v>
      </c>
      <c r="G94">
        <f ca="1"/>
        <v>-129068.60003089644</v>
      </c>
      <c r="H94">
        <f ca="1"/>
        <v>0.5373806283905872</v>
      </c>
      <c r="I94">
        <f ca="1"/>
        <v>6.5875337623112484E-3</v>
      </c>
      <c r="J94">
        <f ca="1"/>
        <v>8.864030251331095E-3</v>
      </c>
      <c r="K94">
        <f ca="1"/>
        <v>0</v>
      </c>
      <c r="L94">
        <f ca="1"/>
        <v>0.58041355858209487</v>
      </c>
      <c r="M94">
        <f ca="1"/>
        <v>17.604030242469779</v>
      </c>
      <c r="N94">
        <f ca="1"/>
        <v>13.999790498597442</v>
      </c>
      <c r="O94">
        <f ca="1"/>
        <v>0</v>
      </c>
      <c r="P94">
        <f ca="1"/>
        <v>32.184234299649319</v>
      </c>
      <c r="Q94">
        <f ca="1"/>
        <v>2230.0878709841195</v>
      </c>
    </row>
    <row r="95" spans="1:17">
      <c r="A95" s="2">
        <f ca="1"/>
        <v>94</v>
      </c>
      <c r="B95" s="2">
        <f ca="1"/>
        <v>-0.36949152542372876</v>
      </c>
      <c r="C95" s="7">
        <f ca="1"/>
        <v>2.325E-2</v>
      </c>
      <c r="D95" s="4">
        <f ca="1"/>
        <v>0.55151457134020299</v>
      </c>
      <c r="E95" s="4">
        <f ca="1"/>
        <v>56.867096776633694</v>
      </c>
      <c r="F95" s="4">
        <f ca="1"/>
        <v>2639.6310225287225</v>
      </c>
      <c r="G95">
        <f ca="1"/>
        <v>-132471.79111476813</v>
      </c>
      <c r="H95">
        <f ca="1"/>
        <v>0.55151457134020299</v>
      </c>
      <c r="I95">
        <f ca="1"/>
        <v>6.7132667408681288E-3</v>
      </c>
      <c r="J95">
        <f ca="1"/>
        <v>8.9243283858572615E-3</v>
      </c>
      <c r="K95">
        <f ca="1"/>
        <v>0</v>
      </c>
      <c r="L95">
        <f ca="1"/>
        <v>0.58546202189817176</v>
      </c>
      <c r="M95">
        <f ca="1"/>
        <v>17.720547151705802</v>
      </c>
      <c r="N95">
        <f ca="1"/>
        <v>14.43004417471667</v>
      </c>
      <c r="O95">
        <f ca="1"/>
        <v>0</v>
      </c>
      <c r="P95">
        <f ca="1"/>
        <v>32.736053348320638</v>
      </c>
      <c r="Q95">
        <f ca="1"/>
        <v>2160.0621488045967</v>
      </c>
    </row>
    <row r="96" spans="1:17">
      <c r="A96" s="2">
        <f ca="1"/>
        <v>95</v>
      </c>
      <c r="B96" s="2">
        <f ca="1"/>
        <v>-0.3627118644067796</v>
      </c>
      <c r="C96" s="7">
        <f ca="1"/>
        <v>2.35E-2</v>
      </c>
      <c r="D96" s="4">
        <f ca="1"/>
        <v>0.56581348683777233</v>
      </c>
      <c r="E96" s="4">
        <f ca="1"/>
        <v>57.522829822294241</v>
      </c>
      <c r="F96" s="4">
        <f ca="1"/>
        <v>2606.0941213022047</v>
      </c>
      <c r="G96">
        <f ca="1"/>
        <v>-135813.10599711485</v>
      </c>
      <c r="H96">
        <f ca="1"/>
        <v>0.56581348683777233</v>
      </c>
      <c r="I96">
        <f ca="1"/>
        <v>6.8412323152631863E-3</v>
      </c>
      <c r="J96">
        <f ca="1"/>
        <v>8.9729855036645104E-3</v>
      </c>
      <c r="K96">
        <f ca="1"/>
        <v>0</v>
      </c>
      <c r="L96">
        <f ca="1"/>
        <v>0.59012208496401697</v>
      </c>
      <c r="M96">
        <f ca="1"/>
        <v>17.82889531927006</v>
      </c>
      <c r="N96">
        <f ca="1"/>
        <v>14.845247969817546</v>
      </c>
      <c r="O96">
        <f ca="1"/>
        <v>0</v>
      </c>
      <c r="P96">
        <f ca="1"/>
        <v>33.264265374051618</v>
      </c>
      <c r="Q96">
        <f ca="1"/>
        <v>2070.4903150392493</v>
      </c>
    </row>
    <row r="97" spans="1:17">
      <c r="A97" s="2">
        <f ca="1"/>
        <v>96</v>
      </c>
      <c r="B97" s="2">
        <f ca="1"/>
        <v>-0.35593220338983045</v>
      </c>
      <c r="C97" s="7">
        <f ca="1"/>
        <v>2.375E-2</v>
      </c>
      <c r="D97" s="4">
        <f ca="1"/>
        <v>0.58027527890753661</v>
      </c>
      <c r="E97" s="4">
        <f ca="1"/>
        <v>58.170074871101853</v>
      </c>
      <c r="F97" s="4">
        <f ca="1"/>
        <v>2571.7296258802921</v>
      </c>
      <c r="G97">
        <f ca="1"/>
        <v>-139092.54467793662</v>
      </c>
      <c r="H97">
        <f ca="1"/>
        <v>0.58027527890753661</v>
      </c>
      <c r="I97">
        <f ca="1"/>
        <v>6.9713058918929793E-3</v>
      </c>
      <c r="J97">
        <f ca="1"/>
        <v>9.0128280771916962E-3</v>
      </c>
      <c r="K97">
        <f ca="1"/>
        <v>0</v>
      </c>
      <c r="L97">
        <f ca="1"/>
        <v>0.5943718133792707</v>
      </c>
      <c r="M97">
        <f ca="1"/>
        <v>17.928313893255009</v>
      </c>
      <c r="N97">
        <f ca="1"/>
        <v>15.248612799205983</v>
      </c>
      <c r="O97">
        <f ca="1"/>
        <v>0</v>
      </c>
      <c r="P97">
        <f ca="1"/>
        <v>33.771298505840264</v>
      </c>
      <c r="Q97">
        <f ca="1"/>
        <v>1992.4368194556318</v>
      </c>
    </row>
    <row r="98" spans="1:17">
      <c r="A98" s="2">
        <f ca="1"/>
        <v>97</v>
      </c>
      <c r="B98" s="2">
        <f ca="1"/>
        <v>-0.34915254237288129</v>
      </c>
      <c r="C98" s="7">
        <f ca="1"/>
        <v>2.4E-2</v>
      </c>
      <c r="D98" s="4">
        <f ca="1"/>
        <v>0.59489779984909996</v>
      </c>
      <c r="E98" s="4">
        <f ca="1"/>
        <v>58.808626958138973</v>
      </c>
      <c r="F98" s="4">
        <f ca="1"/>
        <v>2536.5530053133643</v>
      </c>
      <c r="G98">
        <f ca="1"/>
        <v>-142310.10715723349</v>
      </c>
      <c r="H98">
        <f ca="1"/>
        <v>0.59489779984909996</v>
      </c>
      <c r="I98">
        <f ca="1"/>
        <v>7.1033556136969687E-3</v>
      </c>
      <c r="J98">
        <f ca="1"/>
        <v>9.0469633369785855E-3</v>
      </c>
      <c r="K98">
        <f ca="1"/>
        <v>0</v>
      </c>
      <c r="L98">
        <f ca="1"/>
        <v>0.59818974837698147</v>
      </c>
      <c r="M98">
        <f ca="1"/>
        <v>18.018038029732605</v>
      </c>
      <c r="N98">
        <f ca="1"/>
        <v>15.644256005669845</v>
      </c>
      <c r="O98">
        <f ca="1"/>
        <v>0</v>
      </c>
      <c r="P98">
        <f ca="1"/>
        <v>34.260483783779435</v>
      </c>
      <c r="Q98">
        <f ca="1"/>
        <v>1894.7827916531833</v>
      </c>
    </row>
    <row r="99" spans="1:17">
      <c r="A99" s="2">
        <f ca="1"/>
        <v>98</v>
      </c>
      <c r="B99" s="2">
        <f ca="1"/>
        <v>-0.34237288135593213</v>
      </c>
      <c r="C99" s="7">
        <f ca="1"/>
        <v>2.4250000000000001E-2</v>
      </c>
      <c r="D99" s="4">
        <f ca="1"/>
        <v>0.60967885120424492</v>
      </c>
      <c r="E99" s="4">
        <f ca="1"/>
        <v>59.438284985750656</v>
      </c>
      <c r="F99" s="4">
        <f ca="1"/>
        <v>2500.5797286518023</v>
      </c>
      <c r="G99">
        <f ca="1"/>
        <v>-145465.79343500538</v>
      </c>
      <c r="H99">
        <f ca="1"/>
        <v>0.60967885120424492</v>
      </c>
      <c r="I99">
        <f ca="1"/>
        <v>7.2372518409295917E-3</v>
      </c>
      <c r="J99">
        <f ca="1"/>
        <v>9.0689315185683503E-3</v>
      </c>
      <c r="K99">
        <f ca="1"/>
        <v>0</v>
      </c>
      <c r="L99">
        <f ca="1"/>
        <v>0.60150649182467741</v>
      </c>
      <c r="M99">
        <f ca="1"/>
        <v>18.097325244576474</v>
      </c>
      <c r="N99">
        <f ca="1"/>
        <v>16.019858165265706</v>
      </c>
      <c r="O99">
        <f ca="1"/>
        <v>0</v>
      </c>
      <c r="P99">
        <f ca="1"/>
        <v>34.718689901666856</v>
      </c>
      <c r="Q99">
        <f ca="1"/>
        <v>1775.9285542650487</v>
      </c>
    </row>
    <row r="100" spans="1:17">
      <c r="A100" s="2">
        <f ca="1"/>
        <v>99</v>
      </c>
      <c r="B100" s="2">
        <f ca="1"/>
        <v>-0.33559322033898298</v>
      </c>
      <c r="C100" s="7">
        <f ca="1"/>
        <v>2.4500000000000001E-2</v>
      </c>
      <c r="D100" s="4">
        <f ca="1"/>
        <v>0.62461618472374814</v>
      </c>
      <c r="E100" s="4">
        <f ca="1"/>
        <v>60.058851723544514</v>
      </c>
      <c r="F100" s="4">
        <f ca="1"/>
        <v>2463.8252649459882</v>
      </c>
      <c r="G100">
        <f ca="1"/>
        <v>-148559.60351125235</v>
      </c>
      <c r="H100">
        <f ca="1"/>
        <v>0.62461618472374814</v>
      </c>
      <c r="I100">
        <f ca="1"/>
        <v>7.3728450639852332E-3</v>
      </c>
      <c r="J100">
        <f ca="1"/>
        <v>9.0814815002101361E-3</v>
      </c>
      <c r="K100">
        <f ca="1"/>
        <v>0</v>
      </c>
      <c r="L100">
        <f ca="1"/>
        <v>0.60429604006631887</v>
      </c>
      <c r="M100">
        <f ca="1"/>
        <v>18.165401943179138</v>
      </c>
      <c r="N100">
        <f ca="1"/>
        <v>16.378750077666503</v>
      </c>
      <c r="O100">
        <f ca="1"/>
        <v>0</v>
      </c>
      <c r="P100">
        <f ca="1"/>
        <v>35.14844806091196</v>
      </c>
      <c r="Q100">
        <f ca="1"/>
        <v>1695.6683041740191</v>
      </c>
    </row>
    <row r="101" spans="1:17">
      <c r="A101" s="2">
        <f ca="1"/>
        <v>100</v>
      </c>
      <c r="B101" s="2">
        <f ca="1"/>
        <v>-0.32881355932203382</v>
      </c>
      <c r="C101" s="7">
        <f ca="1"/>
        <v>2.4750000000000001E-2</v>
      </c>
      <c r="D101" s="4">
        <f ca="1"/>
        <v>0.6397075033341959</v>
      </c>
      <c r="E101" s="4">
        <f ca="1"/>
        <v>60.670133808390823</v>
      </c>
      <c r="F101" s="4">
        <f ca="1"/>
        <v>2426.3050832463027</v>
      </c>
      <c r="G101">
        <f ca="1"/>
        <v>-151591.5373859744</v>
      </c>
      <c r="H101">
        <f ca="1"/>
        <v>0.6397075033341959</v>
      </c>
      <c r="I101">
        <f ca="1"/>
        <v>7.5099944343484442E-3</v>
      </c>
      <c r="J101">
        <f ca="1"/>
        <v>9.0948110686610625E-3</v>
      </c>
      <c r="K101">
        <f ca="1"/>
        <v>0</v>
      </c>
      <c r="L101">
        <f ca="1"/>
        <v>0.60659989048032159</v>
      </c>
      <c r="M101">
        <f ca="1"/>
        <v>18.221537671211074</v>
      </c>
      <c r="N101">
        <f ca="1"/>
        <v>16.738386492062467</v>
      </c>
      <c r="O101">
        <f ca="1"/>
        <v>0</v>
      </c>
      <c r="P101">
        <f ca="1"/>
        <v>35.566524053753866</v>
      </c>
      <c r="Q101">
        <f ca="1"/>
        <v>1552.2315311841467</v>
      </c>
    </row>
    <row r="102" spans="1:17">
      <c r="A102" s="2">
        <f ca="1"/>
        <v>101</v>
      </c>
      <c r="B102" s="2">
        <f ca="1"/>
        <v>-0.32203389830508466</v>
      </c>
      <c r="C102" s="7">
        <f ca="1"/>
        <v>2.5000000000000001E-2</v>
      </c>
      <c r="D102" s="4">
        <f ca="1"/>
        <v>0.6549504621047999</v>
      </c>
      <c r="E102" s="4">
        <f ca="1"/>
        <v>61.271941744422378</v>
      </c>
      <c r="F102" s="4">
        <f ca="1"/>
        <v>2388.0346526031285</v>
      </c>
      <c r="G102">
        <f ca="1"/>
        <v>-154561.59505917149</v>
      </c>
      <c r="H102">
        <f ca="1"/>
        <v>0.6549504621047999</v>
      </c>
      <c r="I102">
        <f ca="1"/>
        <v>7.6485649216433988E-3</v>
      </c>
      <c r="J102">
        <f ca="1"/>
        <v>9.0836371150325897E-3</v>
      </c>
      <c r="K102">
        <f ca="1"/>
        <v>0</v>
      </c>
      <c r="L102">
        <f ca="1"/>
        <v>0.60839959294361634</v>
      </c>
      <c r="M102">
        <f ca="1"/>
        <v>18.265038075569169</v>
      </c>
      <c r="N102">
        <f ca="1"/>
        <v>17.051126157991249</v>
      </c>
      <c r="O102">
        <f ca="1"/>
        <v>0</v>
      </c>
      <c r="P102">
        <f ca="1"/>
        <v>35.924563826504034</v>
      </c>
      <c r="Q102">
        <f ca="1"/>
        <v>1393.0542132257801</v>
      </c>
    </row>
    <row r="103" spans="1:17">
      <c r="A103" s="2">
        <f ca="1"/>
        <v>102</v>
      </c>
      <c r="B103" s="2">
        <f ca="1"/>
        <v>-0.31525423728813551</v>
      </c>
      <c r="C103" s="7">
        <f ca="1"/>
        <v>2.5250000000000002E-2</v>
      </c>
      <c r="D103" s="4">
        <f ca="1"/>
        <v>0.67034266921421315</v>
      </c>
      <c r="E103" s="4">
        <f ca="1"/>
        <v>61.864089903034625</v>
      </c>
      <c r="F103" s="4">
        <f ca="1"/>
        <v>2349.0294420668447</v>
      </c>
      <c r="G103">
        <f ca="1"/>
        <v>-157469.77653084364</v>
      </c>
      <c r="H103">
        <f ca="1"/>
        <v>0.67034266921421315</v>
      </c>
      <c r="I103">
        <f ca="1"/>
        <v>7.7883306872081198E-3</v>
      </c>
      <c r="J103">
        <f ca="1"/>
        <v>9.0711284847040125E-3</v>
      </c>
      <c r="K103">
        <f ca="1"/>
        <v>0</v>
      </c>
      <c r="L103">
        <f ca="1"/>
        <v>0.60967753805954705</v>
      </c>
      <c r="M103">
        <f ca="1"/>
        <v>18.295018088804575</v>
      </c>
      <c r="N103">
        <f ca="1"/>
        <v>17.358355533502635</v>
      </c>
      <c r="O103">
        <f ca="1"/>
        <v>0</v>
      </c>
      <c r="P103">
        <f ca="1"/>
        <v>36.263051160366757</v>
      </c>
      <c r="Q103">
        <f ca="1"/>
        <v>1288.6632938325833</v>
      </c>
    </row>
    <row r="104" spans="1:17">
      <c r="A104" s="2">
        <f ca="1"/>
        <v>103</v>
      </c>
      <c r="B104" s="2">
        <f ca="1"/>
        <v>-0.30847457627118635</v>
      </c>
      <c r="C104" s="7">
        <f ca="1"/>
        <v>2.5500000000000002E-2</v>
      </c>
      <c r="D104" s="4">
        <f ca="1"/>
        <v>0.68588168691734475</v>
      </c>
      <c r="E104" s="4">
        <f ca="1"/>
        <v>62.446396522885578</v>
      </c>
      <c r="F104" s="4">
        <f ca="1"/>
        <v>2309.3049206878336</v>
      </c>
      <c r="G104">
        <f ca="1"/>
        <v>-160316.08180099085</v>
      </c>
      <c r="H104">
        <f ca="1"/>
        <v>0.68588168691734475</v>
      </c>
      <c r="I104">
        <f ca="1"/>
        <v>7.9291611225129292E-3</v>
      </c>
      <c r="J104">
        <f ca="1"/>
        <v>9.0511041592084007E-3</v>
      </c>
      <c r="K104">
        <f ca="1"/>
        <v>0</v>
      </c>
      <c r="L104">
        <f ca="1"/>
        <v>0.61041702781975338</v>
      </c>
      <c r="M104">
        <f ca="1"/>
        <v>18.310850797145772</v>
      </c>
      <c r="N104">
        <f ca="1"/>
        <v>17.647627648454801</v>
      </c>
      <c r="O104">
        <f ca="1"/>
        <v>0</v>
      </c>
      <c r="P104">
        <f ca="1"/>
        <v>36.568895473420326</v>
      </c>
      <c r="Q104">
        <f ca="1"/>
        <v>1142.4521779334773</v>
      </c>
    </row>
    <row r="105" spans="1:17">
      <c r="A105" s="2">
        <f ca="1"/>
        <v>104</v>
      </c>
      <c r="B105" s="2">
        <f ca="1"/>
        <v>-0.30169491525423719</v>
      </c>
      <c r="C105" s="7">
        <f ca="1"/>
        <v>2.5750000000000002E-2</v>
      </c>
      <c r="D105" s="4">
        <f ca="1"/>
        <v>0.70156503251217672</v>
      </c>
      <c r="E105" s="4">
        <f ca="1"/>
        <v>63.018683709895846</v>
      </c>
      <c r="F105" s="4">
        <f ca="1"/>
        <v>2268.8765575164757</v>
      </c>
      <c r="G105">
        <f ca="1"/>
        <v>-163100.51086961312</v>
      </c>
      <c r="H105">
        <f ca="1"/>
        <v>0.70156503251217672</v>
      </c>
      <c r="I105">
        <f ca="1"/>
        <v>8.0708867171290118E-3</v>
      </c>
      <c r="J105">
        <f ca="1"/>
        <v>9.0205139094876527E-3</v>
      </c>
      <c r="K105">
        <f ca="1"/>
        <v>0</v>
      </c>
      <c r="L105">
        <f ca="1"/>
        <v>0.61060234075028685</v>
      </c>
      <c r="M105">
        <f ca="1"/>
        <v>18.311845670865122</v>
      </c>
      <c r="N105">
        <f ca="1"/>
        <v>17.911829237718091</v>
      </c>
      <c r="O105">
        <f ca="1"/>
        <v>0</v>
      </c>
      <c r="P105">
        <f ca="1"/>
        <v>36.834277249333496</v>
      </c>
      <c r="Q105">
        <f ca="1"/>
        <v>978.46376249145715</v>
      </c>
    </row>
    <row r="106" spans="1:17">
      <c r="A106" s="2">
        <f ca="1"/>
        <v>105</v>
      </c>
      <c r="B106" s="2">
        <f ca="1"/>
        <v>-0.29491525423728804</v>
      </c>
      <c r="C106" s="7">
        <f ca="1"/>
        <v>2.6000000000000002E-2</v>
      </c>
      <c r="D106" s="4">
        <f ca="1"/>
        <v>0.71739017930657889</v>
      </c>
      <c r="E106" s="4">
        <f ca="1"/>
        <v>63.580777437248656</v>
      </c>
      <c r="F106" s="4">
        <f ca="1"/>
        <v>2227.7598216031538</v>
      </c>
      <c r="G106">
        <f ca="1"/>
        <v>-165823.06373671046</v>
      </c>
      <c r="H106">
        <f ca="1"/>
        <v>0.71739017930657889</v>
      </c>
      <c r="I106">
        <f ca="1"/>
        <v>8.2133419755798017E-3</v>
      </c>
      <c r="J106">
        <f ca="1"/>
        <v>8.9798326752317924E-3</v>
      </c>
      <c r="K106">
        <f ca="1"/>
        <v>0</v>
      </c>
      <c r="L106">
        <f ca="1"/>
        <v>0.61021879158007286</v>
      </c>
      <c r="M106">
        <f ca="1"/>
        <v>18.297353254283355</v>
      </c>
      <c r="N106">
        <f ca="1"/>
        <v>18.150555308802627</v>
      </c>
      <c r="O106">
        <f ca="1"/>
        <v>0</v>
      </c>
      <c r="P106">
        <f ca="1"/>
        <v>37.058127354666055</v>
      </c>
      <c r="Q106">
        <f ca="1"/>
        <v>802.8782715021996</v>
      </c>
    </row>
    <row r="107" spans="1:17">
      <c r="A107" s="2">
        <f ca="1"/>
        <v>106</v>
      </c>
      <c r="B107" s="2">
        <f ca="1"/>
        <v>-0.28813559322033899</v>
      </c>
      <c r="C107" s="7">
        <f ca="1"/>
        <v>2.6249999999999999E-2</v>
      </c>
      <c r="D107" s="4">
        <f ca="1"/>
        <v>0.73335455758512413</v>
      </c>
      <c r="E107" s="4">
        <f ca="1"/>
        <v>64.132507545389785</v>
      </c>
      <c r="F107" s="4">
        <f ca="1"/>
        <v>2185.9701819982483</v>
      </c>
      <c r="G107">
        <f ca="1"/>
        <v>-168483.7404022828</v>
      </c>
      <c r="H107">
        <f ca="1"/>
        <v>0.73335455758512413</v>
      </c>
      <c r="I107">
        <f ca="1"/>
        <v>8.356298724252937E-3</v>
      </c>
      <c r="J107">
        <f ca="1"/>
        <v>8.9277605750340116E-3</v>
      </c>
      <c r="K107">
        <f ca="1"/>
        <v>0</v>
      </c>
      <c r="L107">
        <f ca="1"/>
        <v>0.60925278546778194</v>
      </c>
      <c r="M107">
        <f ca="1"/>
        <v>18.266619843086922</v>
      </c>
      <c r="N107">
        <f ca="1"/>
        <v>18.359843756529891</v>
      </c>
      <c r="O107">
        <f ca="1"/>
        <v>0</v>
      </c>
      <c r="P107">
        <f ca="1"/>
        <v>37.235716385084594</v>
      </c>
      <c r="Q107">
        <f ca="1"/>
        <v>633.93079314365184</v>
      </c>
    </row>
    <row r="108" spans="1:17">
      <c r="A108" s="2">
        <f ca="1"/>
        <v>107</v>
      </c>
      <c r="B108" s="2">
        <f ca="1"/>
        <v>-0.28135593220338984</v>
      </c>
      <c r="C108" s="7">
        <f ca="1"/>
        <v>2.6499999999999999E-2</v>
      </c>
      <c r="D108" s="4">
        <f ca="1"/>
        <v>0.74945555557590582</v>
      </c>
      <c r="E108" s="4">
        <f ca="1"/>
        <v>64.673707742027673</v>
      </c>
      <c r="F108" s="4">
        <f ca="1"/>
        <v>2143.5231077521398</v>
      </c>
      <c r="G108">
        <f ca="1"/>
        <v>-171082.54086633024</v>
      </c>
      <c r="H108">
        <f ca="1"/>
        <v>0.74945555557590582</v>
      </c>
      <c r="I108">
        <f ca="1"/>
        <v>8.4996053352564688E-3</v>
      </c>
      <c r="J108">
        <f ca="1"/>
        <v>8.8691000558433399E-3</v>
      </c>
      <c r="K108">
        <f ca="1"/>
        <v>0</v>
      </c>
      <c r="L108">
        <f ca="1"/>
        <v>0.60765102316364794</v>
      </c>
      <c r="M108">
        <f ca="1"/>
        <v>18.219100442895613</v>
      </c>
      <c r="N108">
        <f ca="1"/>
        <v>18.548341285178619</v>
      </c>
      <c r="O108">
        <f ca="1"/>
        <v>0</v>
      </c>
      <c r="P108">
        <f ca="1"/>
        <v>37.375092751237879</v>
      </c>
      <c r="Q108">
        <f ca="1"/>
        <v>466.52379167879548</v>
      </c>
    </row>
    <row r="109" spans="1:17">
      <c r="A109" s="2">
        <f ca="1"/>
        <v>108</v>
      </c>
      <c r="B109" s="2">
        <f ca="1"/>
        <v>-0.27457627118644068</v>
      </c>
      <c r="C109" s="7">
        <f ca="1"/>
        <v>2.6749999999999999E-2</v>
      </c>
      <c r="D109" s="4">
        <f ca="1"/>
        <v>0.76569052041735119</v>
      </c>
      <c r="E109" s="4">
        <f ca="1"/>
        <v>65.204215602133289</v>
      </c>
      <c r="F109" s="4">
        <f ca="1"/>
        <v>2100.4340679152101</v>
      </c>
      <c r="G109">
        <f ca="1"/>
        <v>-173619.46512885278</v>
      </c>
      <c r="H109">
        <f ca="1"/>
        <v>0.76569052041735119</v>
      </c>
      <c r="I109">
        <f ca="1"/>
        <v>8.6430764732503551E-3</v>
      </c>
      <c r="J109">
        <f ca="1"/>
        <v>8.8010981522578455E-3</v>
      </c>
      <c r="K109">
        <f ca="1"/>
        <v>0</v>
      </c>
      <c r="L109">
        <f ca="1"/>
        <v>0.60543673640680462</v>
      </c>
      <c r="M109">
        <f ca="1"/>
        <v>18.154212276011492</v>
      </c>
      <c r="N109">
        <f ca="1"/>
        <v>18.709329268505698</v>
      </c>
      <c r="O109">
        <f ca="1"/>
        <v>0</v>
      </c>
      <c r="P109">
        <f ca="1"/>
        <v>37.468978280923992</v>
      </c>
      <c r="Q109">
        <f ca="1"/>
        <v>292.32499075133916</v>
      </c>
    </row>
    <row r="110" spans="1:17">
      <c r="A110" s="2">
        <f ca="1"/>
        <v>109</v>
      </c>
      <c r="B110" s="2">
        <f ca="1"/>
        <v>-0.26779661016949152</v>
      </c>
      <c r="C110" s="7">
        <f ca="1"/>
        <v>2.7E-2</v>
      </c>
      <c r="D110" s="4">
        <f ca="1"/>
        <v>0.78205675912503847</v>
      </c>
      <c r="E110" s="4">
        <f ca="1"/>
        <v>65.723872567940234</v>
      </c>
      <c r="F110" s="4">
        <f ca="1"/>
        <v>2056.7185315378406</v>
      </c>
      <c r="G110">
        <f ca="1"/>
        <v>-176094.51318985035</v>
      </c>
      <c r="H110">
        <f ca="1"/>
        <v>0.78205675912503847</v>
      </c>
      <c r="I110">
        <f ca="1"/>
        <v>8.7865208720745956E-3</v>
      </c>
      <c r="J110">
        <f ca="1"/>
        <v>8.7263278751554957E-3</v>
      </c>
      <c r="K110">
        <f ca="1"/>
        <v>0</v>
      </c>
      <c r="L110">
        <f ca="1"/>
        <v>0.60261233531578751</v>
      </c>
      <c r="M110">
        <f ca="1"/>
        <v>18.07140030533985</v>
      </c>
      <c r="N110">
        <f ca="1"/>
        <v>18.847242605957913</v>
      </c>
      <c r="O110">
        <f ca="1"/>
        <v>0</v>
      </c>
      <c r="P110">
        <f ca="1"/>
        <v>37.521255246613549</v>
      </c>
      <c r="Q110">
        <f ca="1"/>
        <v>108.68902577109897</v>
      </c>
    </row>
    <row r="111" spans="1:17">
      <c r="A111" s="2">
        <f ca="1"/>
        <v>110</v>
      </c>
      <c r="B111" s="2">
        <f ca="1"/>
        <v>-0.26101694915254237</v>
      </c>
      <c r="C111" s="7">
        <f ca="1"/>
        <v>2.725E-2</v>
      </c>
      <c r="D111" s="4">
        <f ca="1"/>
        <v>0.7985515395585121</v>
      </c>
      <c r="E111" s="4">
        <f ca="1"/>
        <v>66.232523948944703</v>
      </c>
      <c r="F111" s="4">
        <f ca="1"/>
        <v>2012.391967670412</v>
      </c>
      <c r="G111">
        <f ca="1"/>
        <v>-178507.68504932299</v>
      </c>
      <c r="H111">
        <f ca="1"/>
        <v>0.7985515395585121</v>
      </c>
      <c r="I111">
        <f ca="1"/>
        <v>8.929753669937977E-3</v>
      </c>
      <c r="J111">
        <f ca="1"/>
        <v>8.6414777831524108E-3</v>
      </c>
      <c r="K111">
        <f ca="1"/>
        <v>0</v>
      </c>
      <c r="L111">
        <f ca="1"/>
        <v>0.59916887681943887</v>
      </c>
      <c r="M111">
        <f ca="1"/>
        <v>17.970164558658567</v>
      </c>
      <c r="N111">
        <f ca="1"/>
        <v>18.953989358331537</v>
      </c>
      <c r="O111">
        <f ca="1"/>
        <v>0</v>
      </c>
      <c r="P111">
        <f ca="1"/>
        <v>37.523322793809541</v>
      </c>
      <c r="Q111">
        <f ca="1"/>
        <v>-101.00078747143462</v>
      </c>
    </row>
    <row r="112" spans="1:17">
      <c r="A112" s="2">
        <f ca="1"/>
        <v>111</v>
      </c>
      <c r="B112" s="2">
        <f ca="1"/>
        <v>-0.25423728813559321</v>
      </c>
      <c r="C112" s="7">
        <f ca="1"/>
        <v>2.75E-2</v>
      </c>
      <c r="D112" s="4">
        <f ca="1"/>
        <v>0.81517209138809821</v>
      </c>
      <c r="E112" s="4">
        <f ca="1"/>
        <v>66.730018921905469</v>
      </c>
      <c r="F112" s="4">
        <f ca="1"/>
        <v>1967.4698453633059</v>
      </c>
      <c r="G112">
        <f ca="1"/>
        <v>-180858.98070727068</v>
      </c>
      <c r="H112">
        <f ca="1"/>
        <v>0.81517209138809821</v>
      </c>
      <c r="I112">
        <f ca="1"/>
        <v>9.0725671730092685E-3</v>
      </c>
      <c r="J112">
        <f ca="1"/>
        <v>8.5452956027941111E-3</v>
      </c>
      <c r="K112">
        <f ca="1"/>
        <v>0</v>
      </c>
      <c r="L112">
        <f ca="1"/>
        <v>0.59509867111371251</v>
      </c>
      <c r="M112">
        <f ca="1"/>
        <v>17.850002332928749</v>
      </c>
      <c r="N112">
        <f ca="1"/>
        <v>19.025653848835368</v>
      </c>
      <c r="O112">
        <f ca="1"/>
        <v>0</v>
      </c>
      <c r="P112">
        <f ca="1"/>
        <v>37.470754852877832</v>
      </c>
      <c r="Q112">
        <f ca="1"/>
        <v>-312.39558589646748</v>
      </c>
    </row>
    <row r="113" spans="1:17">
      <c r="A113" s="2">
        <f ca="1"/>
        <v>112</v>
      </c>
      <c r="B113" s="2">
        <f ca="1"/>
        <v>-0.24745762711864405</v>
      </c>
      <c r="C113" s="7">
        <f ca="1"/>
        <v>2.775E-2</v>
      </c>
      <c r="D113" s="4">
        <f ca="1"/>
        <v>0.83191560706172063</v>
      </c>
      <c r="E113" s="4">
        <f ca="1"/>
        <v>67.21621053084391</v>
      </c>
      <c r="F113" s="4">
        <f ca="1"/>
        <v>1921.9676336669038</v>
      </c>
      <c r="G113">
        <f ca="1"/>
        <v>-183148.40016369344</v>
      </c>
      <c r="H113">
        <f ca="1"/>
        <v>0.83191560706172063</v>
      </c>
      <c r="I113">
        <f ca="1"/>
        <v>9.2147654723924201E-3</v>
      </c>
      <c r="J113">
        <f ca="1"/>
        <v>8.4400923853355219E-3</v>
      </c>
      <c r="K113">
        <f ca="1"/>
        <v>0</v>
      </c>
      <c r="L113">
        <f ca="1"/>
        <v>0.59039530844828247</v>
      </c>
      <c r="M113">
        <f ca="1"/>
        <v>17.710480989769547</v>
      </c>
      <c r="N113">
        <f ca="1"/>
        <v>19.066248702643477</v>
      </c>
      <c r="O113">
        <f ca="1"/>
        <v>0</v>
      </c>
      <c r="P113">
        <f ca="1"/>
        <v>37.367125000861307</v>
      </c>
      <c r="Q113">
        <f ca="1"/>
        <v>-519.89079449849339</v>
      </c>
    </row>
    <row r="114" spans="1:17">
      <c r="A114" s="2">
        <f ca="1"/>
        <v>113</v>
      </c>
      <c r="B114" s="2">
        <f ca="1"/>
        <v>-0.2406779661016949</v>
      </c>
      <c r="C114" s="7">
        <f ca="1"/>
        <v>2.8000000000000001E-2</v>
      </c>
      <c r="D114" s="4">
        <f ca="1"/>
        <v>0.84877924277171612</v>
      </c>
      <c r="E114" s="4">
        <f ca="1"/>
        <v>67.69095568704401</v>
      </c>
      <c r="F114" s="4">
        <f ca="1"/>
        <v>1875.9008016315868</v>
      </c>
      <c r="G114">
        <f ca="1"/>
        <v>-185375.94341859125</v>
      </c>
      <c r="H114">
        <f ca="1"/>
        <v>0.84877924277171612</v>
      </c>
      <c r="I114">
        <f ca="1"/>
        <v>9.3561782397501743E-3</v>
      </c>
      <c r="J114">
        <f ca="1"/>
        <v>8.3257184297632538E-3</v>
      </c>
      <c r="K114">
        <f ca="1"/>
        <v>0</v>
      </c>
      <c r="L114">
        <f ca="1"/>
        <v>0.5850536812655186</v>
      </c>
      <c r="M114">
        <f ca="1"/>
        <v>17.551262260155362</v>
      </c>
      <c r="N114">
        <f ca="1"/>
        <v>19.074493514207706</v>
      </c>
      <c r="O114">
        <f ca="1"/>
        <v>0</v>
      </c>
      <c r="P114">
        <f ca="1"/>
        <v>37.210809455628585</v>
      </c>
      <c r="Q114">
        <f ca="1"/>
        <v>-723.31743118201007</v>
      </c>
    </row>
    <row r="115" spans="1:17">
      <c r="A115" s="2">
        <f ca="1"/>
        <v>114</v>
      </c>
      <c r="B115" s="2">
        <f ca="1"/>
        <v>-0.23389830508474574</v>
      </c>
      <c r="C115" s="7">
        <f ca="1"/>
        <v>2.8250000000000001E-2</v>
      </c>
      <c r="D115" s="4">
        <f ca="1"/>
        <v>0.86576011942165088</v>
      </c>
      <c r="E115" s="4">
        <f ca="1"/>
        <v>68.154115169052332</v>
      </c>
      <c r="F115" s="4">
        <f ca="1"/>
        <v>1829.2848183077353</v>
      </c>
      <c r="G115">
        <f ca="1"/>
        <v>-187541.61047196414</v>
      </c>
      <c r="H115">
        <f ca="1"/>
        <v>0.86576011942165088</v>
      </c>
      <c r="I115">
        <f ca="1"/>
        <v>9.4965629253508585E-3</v>
      </c>
      <c r="J115">
        <f ca="1"/>
        <v>8.2043254830873186E-3</v>
      </c>
      <c r="K115">
        <f ca="1"/>
        <v>0</v>
      </c>
      <c r="L115">
        <f ca="1"/>
        <v>0.57907000186834046</v>
      </c>
      <c r="M115">
        <f ca="1"/>
        <v>17.371918385448421</v>
      </c>
      <c r="N115">
        <f ca="1"/>
        <v>19.054477897953539</v>
      </c>
      <c r="O115">
        <f ca="1"/>
        <v>0</v>
      </c>
      <c r="P115">
        <f ca="1"/>
        <v>37.005466285270302</v>
      </c>
      <c r="Q115">
        <f ca="1"/>
        <v>-918.07638829085568</v>
      </c>
    </row>
    <row r="116" spans="1:17">
      <c r="A116" s="2">
        <f ca="1"/>
        <v>115</v>
      </c>
      <c r="B116" s="2">
        <f ca="1"/>
        <v>-0.22711864406779658</v>
      </c>
      <c r="C116" s="7">
        <f ca="1"/>
        <v>2.8500000000000001E-2</v>
      </c>
      <c r="D116" s="4">
        <f ca="1"/>
        <v>0.88285532359313479</v>
      </c>
      <c r="E116" s="4">
        <f ca="1"/>
        <v>68.60555362267803</v>
      </c>
      <c r="F116" s="4">
        <f ca="1"/>
        <v>1782.1351527457314</v>
      </c>
      <c r="G116">
        <f ca="1"/>
        <v>-189645.40132381208</v>
      </c>
      <c r="H116">
        <f ca="1"/>
        <v>0.88285532359313479</v>
      </c>
      <c r="I116">
        <f ca="1"/>
        <v>9.6357438334220037E-3</v>
      </c>
      <c r="J116">
        <f ca="1"/>
        <v>8.0765899011341381E-3</v>
      </c>
      <c r="K116">
        <f ca="1"/>
        <v>0</v>
      </c>
      <c r="L116">
        <f ca="1"/>
        <v>0.572441815733716</v>
      </c>
      <c r="M116">
        <f ca="1"/>
        <v>17.172197808394262</v>
      </c>
      <c r="N116">
        <f ca="1"/>
        <v>19.00713163735518</v>
      </c>
      <c r="O116">
        <f ca="1"/>
        <v>0</v>
      </c>
      <c r="P116">
        <f ca="1"/>
        <v>36.751771261483157</v>
      </c>
      <c r="Q116">
        <f ca="1"/>
        <v>-1120.9672678841675</v>
      </c>
    </row>
    <row r="117" spans="1:17">
      <c r="A117" s="2">
        <f ca="1"/>
        <v>116</v>
      </c>
      <c r="B117" s="2">
        <f ca="1"/>
        <v>-0.22033898305084743</v>
      </c>
      <c r="C117" s="7">
        <f ca="1"/>
        <v>2.8750000000000001E-2</v>
      </c>
      <c r="D117" s="4">
        <f ca="1"/>
        <v>0.90006190851263823</v>
      </c>
      <c r="E117" s="4">
        <f ca="1"/>
        <v>69.04513956099288</v>
      </c>
      <c r="F117" s="4">
        <f ca="1"/>
        <v>1734.4672739959565</v>
      </c>
      <c r="G117">
        <f ca="1"/>
        <v>-191687.31597413507</v>
      </c>
      <c r="H117">
        <f ca="1"/>
        <v>0.90006190851263823</v>
      </c>
      <c r="I117">
        <f ca="1"/>
        <v>9.7735310249752478E-3</v>
      </c>
      <c r="J117">
        <f ca="1"/>
        <v>7.9408544487372789E-3</v>
      </c>
      <c r="K117">
        <f ca="1"/>
        <v>0</v>
      </c>
      <c r="L117">
        <f ca="1"/>
        <v>0.56516801066544498</v>
      </c>
      <c r="M117">
        <f ca="1"/>
        <v>16.951869714203724</v>
      </c>
      <c r="N117">
        <f ca="1"/>
        <v>18.927944926459045</v>
      </c>
      <c r="O117">
        <f ca="1"/>
        <v>0</v>
      </c>
      <c r="P117">
        <f ca="1"/>
        <v>36.444982651328218</v>
      </c>
      <c r="Q117">
        <f ca="1"/>
        <v>-1358.4787421061139</v>
      </c>
    </row>
    <row r="118" spans="1:17">
      <c r="A118" s="2">
        <f ca="1"/>
        <v>117</v>
      </c>
      <c r="B118" s="2">
        <f ca="1"/>
        <v>-0.21355932203389827</v>
      </c>
      <c r="C118" s="7">
        <f ca="1"/>
        <v>2.9000000000000001E-2</v>
      </c>
      <c r="D118" s="4">
        <f ca="1"/>
        <v>0.91737689501830755</v>
      </c>
      <c r="E118" s="4">
        <f ca="1"/>
        <v>69.472745364331232</v>
      </c>
      <c r="F118" s="4">
        <f ca="1"/>
        <v>1686.2966511087909</v>
      </c>
      <c r="G118">
        <f ca="1"/>
        <v>-193667.35442293313</v>
      </c>
      <c r="H118">
        <f ca="1"/>
        <v>0.91737689501830755</v>
      </c>
      <c r="I118">
        <f ca="1"/>
        <v>9.9097299350059294E-3</v>
      </c>
      <c r="J118">
        <f ca="1"/>
        <v>7.7922657665543604E-3</v>
      </c>
      <c r="K118">
        <f ca="1"/>
        <v>0</v>
      </c>
      <c r="L118">
        <f ca="1"/>
        <v>0.55724882191373759</v>
      </c>
      <c r="M118">
        <f ca="1"/>
        <v>16.710744402793036</v>
      </c>
      <c r="N118">
        <f ca="1"/>
        <v>18.804538665723328</v>
      </c>
      <c r="O118">
        <f ca="1"/>
        <v>0</v>
      </c>
      <c r="P118">
        <f ca="1"/>
        <v>36.072531890430099</v>
      </c>
      <c r="Q118">
        <f ca="1"/>
        <v>-1596.6659439965965</v>
      </c>
    </row>
    <row r="119" spans="1:17">
      <c r="A119" s="2">
        <f ca="1"/>
        <v>118</v>
      </c>
      <c r="B119" s="2">
        <f ca="1"/>
        <v>-0.20677966101694911</v>
      </c>
      <c r="C119" s="7">
        <f ca="1"/>
        <v>2.9250000000000002E-2</v>
      </c>
      <c r="D119" s="4">
        <f ca="1"/>
        <v>0.93479727252677991</v>
      </c>
      <c r="E119" s="4">
        <f ca="1"/>
        <v>69.888247280290031</v>
      </c>
      <c r="F119" s="4">
        <f ca="1"/>
        <v>1637.6387531346165</v>
      </c>
      <c r="G119">
        <f ca="1"/>
        <v>-195585.51667020624</v>
      </c>
      <c r="H119">
        <f ca="1"/>
        <v>0.93479727252677991</v>
      </c>
      <c r="I119">
        <f ca="1"/>
        <v>1.0044132396231397E-2</v>
      </c>
      <c r="J119">
        <f ca="1"/>
        <v>7.6363233885462858E-3</v>
      </c>
      <c r="K119">
        <f ca="1"/>
        <v>0</v>
      </c>
      <c r="L119">
        <f ca="1"/>
        <v>0.54868583345317301</v>
      </c>
      <c r="M119">
        <f ca="1"/>
        <v>16.448660453683395</v>
      </c>
      <c r="N119">
        <f ca="1"/>
        <v>18.64930339219335</v>
      </c>
      <c r="O119">
        <f ca="1"/>
        <v>0</v>
      </c>
      <c r="P119">
        <f ca="1"/>
        <v>35.646649679329919</v>
      </c>
      <c r="Q119">
        <f ca="1"/>
        <v>-1809.0412383742189</v>
      </c>
    </row>
    <row r="120" spans="1:17">
      <c r="A120" s="2">
        <f ca="1"/>
        <v>119</v>
      </c>
      <c r="B120" s="2">
        <f ca="1"/>
        <v>-0.19999999999999996</v>
      </c>
      <c r="C120" s="7">
        <f ca="1"/>
        <v>2.9500000000000002E-2</v>
      </c>
      <c r="D120" s="4">
        <f ca="1"/>
        <v>0.95232000000000017</v>
      </c>
      <c r="E120" s="4">
        <f ca="1"/>
        <v>70.291525423728814</v>
      </c>
      <c r="F120" s="4">
        <f ca="1"/>
        <v>1588.509049123815</v>
      </c>
      <c r="G120">
        <f ca="1"/>
        <v>-197441.80271595443</v>
      </c>
      <c r="H120">
        <f ca="1"/>
        <v>0.95232000000000017</v>
      </c>
      <c r="I120">
        <f ca="1"/>
        <v>1.0176546203092414E-2</v>
      </c>
      <c r="J120">
        <f ca="1"/>
        <v>7.4735368030270149E-3</v>
      </c>
      <c r="K120">
        <f ca="1"/>
        <v>0</v>
      </c>
      <c r="L120">
        <f ca="1"/>
        <v>0.53948197555230581</v>
      </c>
      <c r="M120">
        <f ca="1"/>
        <v>16.165535732438901</v>
      </c>
      <c r="N120">
        <f ca="1"/>
        <v>18.462993563251786</v>
      </c>
      <c r="O120">
        <f ca="1"/>
        <v>0</v>
      </c>
      <c r="P120">
        <f ca="1"/>
        <v>35.168011271242989</v>
      </c>
      <c r="Q120">
        <f ca="1"/>
        <v>-2011.1905208813835</v>
      </c>
    </row>
    <row r="121" spans="1:17">
      <c r="A121" s="2">
        <f ca="1"/>
        <v>120</v>
      </c>
      <c r="B121" s="2">
        <f ca="1"/>
        <v>-0.1932203389830508</v>
      </c>
      <c r="C121" s="7">
        <f ca="1"/>
        <v>2.9750000000000002E-2</v>
      </c>
      <c r="D121" s="4">
        <f ca="1"/>
        <v>0.96994200691203547</v>
      </c>
      <c r="E121" s="4">
        <f ca="1"/>
        <v>70.682463776769751</v>
      </c>
      <c r="F121" s="4">
        <f ca="1"/>
        <v>1538.9230081267665</v>
      </c>
      <c r="G121">
        <f ca="1"/>
        <v>-199236.21256017766</v>
      </c>
      <c r="H121">
        <f ca="1"/>
        <v>0.96994200691203547</v>
      </c>
      <c r="I121">
        <f ca="1"/>
        <v>1.0306787691021342E-2</v>
      </c>
      <c r="J121">
        <f ca="1"/>
        <v>7.3058531420999969E-3</v>
      </c>
      <c r="K121">
        <f ca="1"/>
        <v>0</v>
      </c>
      <c r="L121">
        <f ca="1"/>
        <v>0.52964151878746069</v>
      </c>
      <c r="M121">
        <f ca="1"/>
        <v>15.861352717590494</v>
      </c>
      <c r="N121">
        <f ca="1"/>
        <v>18.25006018251127</v>
      </c>
      <c r="O121">
        <f ca="1"/>
        <v>0</v>
      </c>
      <c r="P121">
        <f ca="1"/>
        <v>34.641054418889226</v>
      </c>
      <c r="Q121">
        <f ca="1"/>
        <v>-2211.1422505324604</v>
      </c>
    </row>
    <row r="122" spans="1:17">
      <c r="A122" s="2">
        <f ca="1"/>
        <v>121</v>
      </c>
      <c r="B122" s="2">
        <f ca="1"/>
        <v>-0.18644067796610164</v>
      </c>
      <c r="C122" s="7">
        <f ca="1"/>
        <v>0.03</v>
      </c>
      <c r="D122" s="4">
        <f ca="1"/>
        <v>0.98766019421589146</v>
      </c>
      <c r="E122" s="4">
        <f ca="1"/>
        <v>71.060950188797548</v>
      </c>
      <c r="F122" s="4">
        <f ca="1"/>
        <v>1488.8960991938529</v>
      </c>
      <c r="G122">
        <f ca="1"/>
        <v>-200968.74620287598</v>
      </c>
      <c r="H122">
        <f ca="1"/>
        <v>0.98766019421589146</v>
      </c>
      <c r="I122">
        <f ca="1"/>
        <v>1.0434676112845025E-2</v>
      </c>
      <c r="J122">
        <f ca="1"/>
        <v>7.1320153689915259E-3</v>
      </c>
      <c r="K122">
        <f ca="1"/>
        <v>0</v>
      </c>
      <c r="L122">
        <f ca="1"/>
        <v>0.51917006470392346</v>
      </c>
      <c r="M122">
        <f ca="1"/>
        <v>15.536148560766234</v>
      </c>
      <c r="N122">
        <f ca="1"/>
        <v>18.007121520506612</v>
      </c>
      <c r="O122">
        <f ca="1"/>
        <v>0</v>
      </c>
      <c r="P122">
        <f ca="1"/>
        <v>34.062440145976765</v>
      </c>
      <c r="Q122">
        <f ca="1"/>
        <v>-2457.7399888762707</v>
      </c>
    </row>
    <row r="123" spans="1:17">
      <c r="A123" s="2">
        <f ca="1"/>
        <v>122</v>
      </c>
      <c r="B123" s="2">
        <f ca="1"/>
        <v>-0.17966101694915249</v>
      </c>
      <c r="C123" s="7">
        <f ca="1"/>
        <v>3.0249999999999999E-2</v>
      </c>
      <c r="D123" s="4">
        <f ca="1"/>
        <v>1.005471435310328</v>
      </c>
      <c r="E123" s="4">
        <f ca="1"/>
        <v>71.42687637645956</v>
      </c>
      <c r="F123" s="4">
        <f ca="1"/>
        <v>1438.4437913754557</v>
      </c>
      <c r="G123">
        <f ca="1"/>
        <v>-202639.40364404937</v>
      </c>
      <c r="H123">
        <f ca="1"/>
        <v>1.005471435310328</v>
      </c>
      <c r="I123">
        <f ca="1"/>
        <v>1.0560019951569919E-2</v>
      </c>
      <c r="J123">
        <f ca="1"/>
        <v>6.9442625649248036E-3</v>
      </c>
      <c r="K123">
        <f ca="1"/>
        <v>0</v>
      </c>
      <c r="L123">
        <f ca="1"/>
        <v>0.5080745332084885</v>
      </c>
      <c r="M123">
        <f ca="1"/>
        <v>15.189995136136689</v>
      </c>
      <c r="N123">
        <f ca="1"/>
        <v>17.714114755105918</v>
      </c>
      <c r="O123">
        <f ca="1"/>
        <v>0</v>
      </c>
      <c r="P123">
        <f ca="1"/>
        <v>33.412184424451098</v>
      </c>
      <c r="Q123">
        <f ca="1"/>
        <v>-2701.8007874228661</v>
      </c>
    </row>
    <row r="124" spans="1:17">
      <c r="A124" s="2">
        <f ca="1"/>
        <v>123</v>
      </c>
      <c r="B124" s="2">
        <f ca="1"/>
        <v>-0.17288135593220333</v>
      </c>
      <c r="C124" s="7">
        <f ca="1"/>
        <v>3.0499999999999999E-2</v>
      </c>
      <c r="D124" s="4">
        <f ca="1"/>
        <v>1.0233725770066742</v>
      </c>
      <c r="E124" s="4">
        <f ca="1"/>
        <v>71.780137923665677</v>
      </c>
      <c r="F124" s="4">
        <f ca="1"/>
        <v>1387.5815537219555</v>
      </c>
      <c r="G124">
        <f ca="1"/>
        <v>-204248.18488369777</v>
      </c>
      <c r="H124">
        <f ca="1"/>
        <v>1.0233725770066742</v>
      </c>
      <c r="I124">
        <f ca="1"/>
        <v>1.0682624334259325E-2</v>
      </c>
      <c r="J124">
        <f ca="1"/>
        <v>6.7511078193522797E-3</v>
      </c>
      <c r="K124">
        <f ca="1"/>
        <v>0</v>
      </c>
      <c r="L124">
        <f ca="1"/>
        <v>0.49636314687733274</v>
      </c>
      <c r="M124">
        <f ca="1"/>
        <v>14.823012471559524</v>
      </c>
      <c r="N124">
        <f ca="1"/>
        <v>17.392164133828476</v>
      </c>
      <c r="O124">
        <f ca="1"/>
        <v>0</v>
      </c>
      <c r="P124">
        <f ca="1"/>
        <v>32.711539752265331</v>
      </c>
      <c r="Q124">
        <f ca="1"/>
        <v>-2898.8517482987509</v>
      </c>
    </row>
    <row r="125" spans="1:17">
      <c r="A125" s="2">
        <f ca="1"/>
        <v>124</v>
      </c>
      <c r="B125" s="2">
        <f ca="1"/>
        <v>-0.16610169491525417</v>
      </c>
      <c r="C125" s="7">
        <f ca="1"/>
        <v>3.075E-2</v>
      </c>
      <c r="D125" s="4">
        <f ca="1"/>
        <v>1.0413604404956449</v>
      </c>
      <c r="E125" s="4">
        <f ca="1"/>
        <v>72.120634281588465</v>
      </c>
      <c r="F125" s="4">
        <f ca="1"/>
        <v>1336.3248552837335</v>
      </c>
      <c r="G125">
        <f ca="1"/>
        <v>-205795.08992182123</v>
      </c>
      <c r="H125">
        <f ca="1"/>
        <v>1.0413604404956449</v>
      </c>
      <c r="I125">
        <f ca="1"/>
        <v>1.0802318139689973E-2</v>
      </c>
      <c r="J125">
        <f ca="1"/>
        <v>6.5533714576662874E-3</v>
      </c>
      <c r="K125">
        <f ca="1"/>
        <v>0</v>
      </c>
      <c r="L125">
        <f ca="1"/>
        <v>0.48404541232595361</v>
      </c>
      <c r="M125">
        <f ca="1"/>
        <v>14.435406224750054</v>
      </c>
      <c r="N125">
        <f ca="1"/>
        <v>17.043306913225717</v>
      </c>
      <c r="O125">
        <f ca="1"/>
        <v>0</v>
      </c>
      <c r="P125">
        <f ca="1"/>
        <v>31.962758550301722</v>
      </c>
      <c r="Q125">
        <f ca="1"/>
        <v>-3074.8329967365794</v>
      </c>
    </row>
    <row r="126" spans="1:17">
      <c r="A126" s="2">
        <f ca="1"/>
        <v>125</v>
      </c>
      <c r="B126" s="2">
        <f ca="1"/>
        <v>-0.15932203389830502</v>
      </c>
      <c r="C126" s="7">
        <f ca="1"/>
        <v>3.1E-2</v>
      </c>
      <c r="D126" s="4">
        <f ca="1"/>
        <v>1.0594318223141554</v>
      </c>
      <c r="E126" s="4">
        <f ca="1"/>
        <v>72.448268768663027</v>
      </c>
      <c r="F126" s="4">
        <f ca="1"/>
        <v>1284.6891651111716</v>
      </c>
      <c r="G126">
        <f ca="1"/>
        <v>-207280.11875841979</v>
      </c>
      <c r="H126">
        <f ca="1"/>
        <v>1.0594318223141554</v>
      </c>
      <c r="I126">
        <f ca="1"/>
        <v>1.0918942362744991E-2</v>
      </c>
      <c r="J126">
        <f ca="1"/>
        <v>6.354099156103344E-3</v>
      </c>
      <c r="K126">
        <f ca="1"/>
        <v>0</v>
      </c>
      <c r="L126">
        <f ca="1"/>
        <v>0.47113209877444606</v>
      </c>
      <c r="M126">
        <f ca="1"/>
        <v>14.027446947891866</v>
      </c>
      <c r="N126">
        <f ca="1"/>
        <v>16.675544207230729</v>
      </c>
      <c r="O126">
        <f ca="1"/>
        <v>0</v>
      </c>
      <c r="P126">
        <f ca="1"/>
        <v>31.17412325389704</v>
      </c>
      <c r="Q126">
        <f ca="1"/>
        <v>-3299.5360966761609</v>
      </c>
    </row>
    <row r="127" spans="1:17">
      <c r="A127" s="2">
        <f ca="1"/>
        <v>126</v>
      </c>
      <c r="B127" s="2">
        <f ca="1"/>
        <v>-0.15254237288135586</v>
      </c>
      <c r="C127" s="7">
        <f ca="1"/>
        <v>3.125E-2</v>
      </c>
      <c r="D127" s="4">
        <f ca="1"/>
        <v>1.0775834953121382</v>
      </c>
      <c r="E127" s="4">
        <f ca="1"/>
        <v>72.762948570587056</v>
      </c>
      <c r="F127" s="4">
        <f ca="1"/>
        <v>1232.6899522546507</v>
      </c>
      <c r="G127">
        <f ca="1"/>
        <v>-208703.2713934934</v>
      </c>
      <c r="H127">
        <f ca="1"/>
        <v>1.0775834953121382</v>
      </c>
      <c r="I127">
        <f ca="1"/>
        <v>1.1032337274663738E-2</v>
      </c>
      <c r="J127">
        <f ca="1"/>
        <v>6.1407376248331048E-3</v>
      </c>
      <c r="K127">
        <f ca="1"/>
        <v>0</v>
      </c>
      <c r="L127">
        <f ca="1"/>
        <v>0.45763521393940265</v>
      </c>
      <c r="M127">
        <f ca="1"/>
        <v>13.599451308362447</v>
      </c>
      <c r="N127">
        <f ca="1"/>
        <v>16.255903979661792</v>
      </c>
      <c r="O127">
        <f ca="1"/>
        <v>0</v>
      </c>
      <c r="P127">
        <f ca="1"/>
        <v>30.31299050196364</v>
      </c>
      <c r="Q127">
        <f ca="1"/>
        <v>-3549.5791318054485</v>
      </c>
    </row>
    <row r="128" spans="1:17">
      <c r="A128" s="2">
        <f ca="1"/>
        <v>127</v>
      </c>
      <c r="B128" s="2">
        <f ca="1"/>
        <v>-0.1457627118644067</v>
      </c>
      <c r="C128" s="7">
        <f ca="1"/>
        <v>3.15E-2</v>
      </c>
      <c r="D128" s="4">
        <f ca="1"/>
        <v>1.0958122096193574</v>
      </c>
      <c r="E128" s="4">
        <f ca="1"/>
        <v>73.064584740320882</v>
      </c>
      <c r="F128" s="4">
        <f ca="1"/>
        <v>1180.342685764552</v>
      </c>
      <c r="G128">
        <f ca="1"/>
        <v>-210064.54782704209</v>
      </c>
      <c r="H128">
        <f ca="1"/>
        <v>1.0958122096193574</v>
      </c>
      <c r="I128">
        <f ca="1"/>
        <v>1.1142293246935981E-2</v>
      </c>
      <c r="J128">
        <f ca="1"/>
        <v>5.9208534660405623E-3</v>
      </c>
      <c r="K128">
        <f ca="1"/>
        <v>0</v>
      </c>
      <c r="L128">
        <f ca="1"/>
        <v>0.44356797736460168</v>
      </c>
      <c r="M128">
        <f ca="1"/>
        <v>13.151724336664648</v>
      </c>
      <c r="N128">
        <f ca="1"/>
        <v>15.804041373965065</v>
      </c>
      <c r="O128">
        <f ca="1"/>
        <v>0</v>
      </c>
      <c r="P128">
        <f ca="1"/>
        <v>29.399333687994314</v>
      </c>
      <c r="Q128">
        <f ca="1"/>
        <v>-3734.1359398777849</v>
      </c>
    </row>
    <row r="129" spans="1:17">
      <c r="A129" s="2">
        <f ca="1"/>
        <v>128</v>
      </c>
      <c r="B129" s="2">
        <f ca="1"/>
        <v>-0.13898305084745755</v>
      </c>
      <c r="C129" s="7">
        <f ca="1"/>
        <v>3.175E-2</v>
      </c>
      <c r="D129" s="4">
        <f ca="1"/>
        <v>1.1141146936122257</v>
      </c>
      <c r="E129" s="4">
        <f ca="1"/>
        <v>73.35309219808741</v>
      </c>
      <c r="F129" s="4">
        <f ca="1"/>
        <v>1127.6628346912566</v>
      </c>
      <c r="G129">
        <f ca="1"/>
        <v>-211363.94805906579</v>
      </c>
      <c r="H129">
        <f ca="1"/>
        <v>1.1141146936122257</v>
      </c>
      <c r="I129">
        <f ca="1"/>
        <v>1.1248650040683057E-2</v>
      </c>
      <c r="J129">
        <f ca="1"/>
        <v>5.6990210020401791E-3</v>
      </c>
      <c r="K129">
        <f ca="1"/>
        <v>0</v>
      </c>
      <c r="L129">
        <f ca="1"/>
        <v>0.42894479136732538</v>
      </c>
      <c r="M129">
        <f ca="1"/>
        <v>12.684684591326574</v>
      </c>
      <c r="N129">
        <f ca="1"/>
        <v>15.332293149330848</v>
      </c>
      <c r="O129">
        <f ca="1"/>
        <v>0</v>
      </c>
      <c r="P129">
        <f ca="1"/>
        <v>28.445922532024746</v>
      </c>
      <c r="Q129">
        <f ca="1"/>
        <v>-3894.346900391849</v>
      </c>
    </row>
    <row r="130" spans="1:17">
      <c r="A130" s="2">
        <f ca="1"/>
        <v>129</v>
      </c>
      <c r="B130" s="2">
        <f ca="1"/>
        <v>-0.13220338983050839</v>
      </c>
      <c r="C130" s="7">
        <f ca="1"/>
        <v>3.2000000000000001E-2</v>
      </c>
      <c r="D130" s="4">
        <f ca="1"/>
        <v>1.1324876548806186</v>
      </c>
      <c r="E130" s="4">
        <f ca="1"/>
        <v>73.62838973137211</v>
      </c>
      <c r="F130" s="4">
        <f ca="1"/>
        <v>1074.6658680851463</v>
      </c>
      <c r="G130">
        <f ca="1"/>
        <v>-212601.47208956457</v>
      </c>
      <c r="H130">
        <f ca="1"/>
        <v>1.1324876548806186</v>
      </c>
      <c r="I130">
        <f ca="1"/>
        <v>1.135129128527167E-2</v>
      </c>
      <c r="J130">
        <f ca="1"/>
        <v>5.474691427494338E-3</v>
      </c>
      <c r="K130">
        <f ca="1"/>
        <v>0</v>
      </c>
      <c r="L130">
        <f ca="1"/>
        <v>0.41378120965110027</v>
      </c>
      <c r="M130">
        <f ca="1"/>
        <v>12.198845302973835</v>
      </c>
      <c r="N130">
        <f ca="1"/>
        <v>14.839533725173455</v>
      </c>
      <c r="O130">
        <f ca="1"/>
        <v>0</v>
      </c>
      <c r="P130">
        <f ca="1"/>
        <v>27.452160237798388</v>
      </c>
      <c r="Q130">
        <f ca="1"/>
        <v>-4113.0440730329346</v>
      </c>
    </row>
    <row r="131" spans="1:17">
      <c r="A131" s="2">
        <f ca="1"/>
        <v>130</v>
      </c>
      <c r="B131" s="2">
        <f ca="1"/>
        <v>-0.12542372881355923</v>
      </c>
      <c r="C131" s="7">
        <f ca="1"/>
        <v>3.2250000000000001E-2</v>
      </c>
      <c r="D131" s="4">
        <f ca="1"/>
        <v>1.1509277811946914</v>
      </c>
      <c r="E131" s="4">
        <f ca="1"/>
        <v>73.890399994923115</v>
      </c>
      <c r="F131" s="4">
        <f ca="1"/>
        <v>1021.3672549966016</v>
      </c>
      <c r="G131">
        <f ca="1"/>
        <v>-213777.11991853846</v>
      </c>
      <c r="H131">
        <f ca="1"/>
        <v>1.1509277811946914</v>
      </c>
      <c r="I131">
        <f ca="1"/>
        <v>1.1450068307859898E-2</v>
      </c>
      <c r="J131">
        <f ca="1"/>
        <v>5.2370433963645586E-3</v>
      </c>
      <c r="K131">
        <f ca="1"/>
        <v>0</v>
      </c>
      <c r="L131">
        <f ca="1"/>
        <v>0.39809390376453135</v>
      </c>
      <c r="M131">
        <f ca="1"/>
        <v>11.694724837122447</v>
      </c>
      <c r="N131">
        <f ca="1"/>
        <v>14.296581754621299</v>
      </c>
      <c r="O131">
        <f ca="1"/>
        <v>0</v>
      </c>
      <c r="P131">
        <f ca="1"/>
        <v>26.389400495508276</v>
      </c>
      <c r="Q131">
        <f ca="1"/>
        <v>-4332.0624482574985</v>
      </c>
    </row>
    <row r="132" spans="1:17">
      <c r="A132" s="2">
        <f ca="1"/>
        <v>131</v>
      </c>
      <c r="B132" s="2">
        <f ca="1"/>
        <v>-0.11864406779661008</v>
      </c>
      <c r="C132" s="7">
        <f ca="1"/>
        <v>3.2500000000000001E-2</v>
      </c>
      <c r="D132" s="4">
        <f ca="1"/>
        <v>1.1694317414716942</v>
      </c>
      <c r="E132" s="4">
        <f ca="1"/>
        <v>74.139049510751079</v>
      </c>
      <c r="F132" s="4">
        <f ca="1"/>
        <v>967.78246447600407</v>
      </c>
      <c r="G132">
        <f ca="1"/>
        <v>-214890.89154598734</v>
      </c>
      <c r="H132">
        <f ca="1"/>
        <v>1.1694317414716942</v>
      </c>
      <c r="I132">
        <f ca="1"/>
        <v>1.1544789366077409E-2</v>
      </c>
      <c r="J132">
        <f ca="1"/>
        <v>4.9963207705208852E-3</v>
      </c>
      <c r="K132">
        <f ca="1"/>
        <v>0</v>
      </c>
      <c r="L132">
        <f ca="1"/>
        <v>0.38189927713358013</v>
      </c>
      <c r="M132">
        <f ca="1"/>
        <v>11.172844704558759</v>
      </c>
      <c r="N132">
        <f ca="1"/>
        <v>13.731385031977295</v>
      </c>
      <c r="O132">
        <f ca="1"/>
        <v>0</v>
      </c>
      <c r="P132">
        <f ca="1"/>
        <v>25.286129013669637</v>
      </c>
      <c r="Q132">
        <f ca="1"/>
        <v>-4478.4635043387225</v>
      </c>
    </row>
    <row r="133" spans="1:17">
      <c r="A133" s="2">
        <f ca="1"/>
        <v>132</v>
      </c>
      <c r="B133" s="2">
        <f ca="1"/>
        <v>-0.11186440677966092</v>
      </c>
      <c r="C133" s="7">
        <f ca="1"/>
        <v>3.2750000000000001E-2</v>
      </c>
      <c r="D133" s="4">
        <f ca="1"/>
        <v>1.1879961867427871</v>
      </c>
      <c r="E133" s="4">
        <f ca="1"/>
        <v>74.374268668129304</v>
      </c>
      <c r="F133" s="4">
        <f ca="1"/>
        <v>913.92696557373495</v>
      </c>
      <c r="G133">
        <f ca="1"/>
        <v>-215942.78697191132</v>
      </c>
      <c r="H133">
        <f ca="1"/>
        <v>1.1879961867427871</v>
      </c>
      <c r="I133">
        <f ca="1"/>
        <v>1.1635319322687373E-2</v>
      </c>
      <c r="J133">
        <f ca="1"/>
        <v>4.7549726128114748E-3</v>
      </c>
      <c r="K133">
        <f ca="1"/>
        <v>0</v>
      </c>
      <c r="L133">
        <f ca="1"/>
        <v>0.36519545841885176</v>
      </c>
      <c r="M133">
        <f ca="1"/>
        <v>10.633832082065116</v>
      </c>
      <c r="N133">
        <f ca="1"/>
        <v>13.151141202854946</v>
      </c>
      <c r="O133">
        <f ca="1"/>
        <v>0</v>
      </c>
      <c r="P133">
        <f ca="1"/>
        <v>24.150168743338913</v>
      </c>
      <c r="Q133">
        <f ca="1"/>
        <v>-4636.5748435875066</v>
      </c>
    </row>
    <row r="134" spans="1:17">
      <c r="A134" s="2">
        <f ca="1"/>
        <v>133</v>
      </c>
      <c r="B134" s="2">
        <f ca="1"/>
        <v>-0.10508474576271176</v>
      </c>
      <c r="C134" s="7">
        <f ca="1"/>
        <v>3.3000000000000002E-2</v>
      </c>
      <c r="D134" s="4">
        <f ca="1"/>
        <v>1.206617751119857</v>
      </c>
      <c r="E134" s="4">
        <f ca="1"/>
        <v>74.59599172359367</v>
      </c>
      <c r="F134" s="4">
        <f ca="1"/>
        <v>859.81622734017526</v>
      </c>
      <c r="G134">
        <f ca="1"/>
        <v>-216932.80619631032</v>
      </c>
      <c r="H134">
        <f ca="1"/>
        <v>1.206617751119857</v>
      </c>
      <c r="I134">
        <f ca="1"/>
        <v>1.1721569741792684E-2</v>
      </c>
      <c r="J134">
        <f ca="1"/>
        <v>4.5076037922878618E-3</v>
      </c>
      <c r="K134">
        <f ca="1"/>
        <v>0</v>
      </c>
      <c r="L134">
        <f ca="1"/>
        <v>0.34802537348433132</v>
      </c>
      <c r="M134">
        <f ca="1"/>
        <v>10.078395873892937</v>
      </c>
      <c r="N134">
        <f ca="1"/>
        <v>12.541420344498613</v>
      </c>
      <c r="O134">
        <f ca="1"/>
        <v>0</v>
      </c>
      <c r="P134">
        <f ca="1"/>
        <v>22.967841591875882</v>
      </c>
      <c r="Q134">
        <f ca="1"/>
        <v>-4822.7666903727622</v>
      </c>
    </row>
    <row r="135" spans="1:17">
      <c r="A135" s="2">
        <f ca="1"/>
        <v>134</v>
      </c>
      <c r="B135" s="2">
        <f ca="1"/>
        <v>-9.8305084745762605E-2</v>
      </c>
      <c r="C135" s="7">
        <f ca="1"/>
        <v>3.3250000000000002E-2</v>
      </c>
      <c r="D135" s="4">
        <f ca="1"/>
        <v>1.225293052762332</v>
      </c>
      <c r="E135" s="4">
        <f ca="1"/>
        <v>74.80415680094265</v>
      </c>
      <c r="F135" s="4">
        <f ca="1"/>
        <v>805.46571882570663</v>
      </c>
      <c r="G135">
        <f ca="1"/>
        <v>-217860.94921918443</v>
      </c>
      <c r="H135">
        <f ca="1"/>
        <v>1.225293052762332</v>
      </c>
      <c r="I135">
        <f ca="1"/>
        <v>1.1803387572755874E-2</v>
      </c>
      <c r="J135">
        <f ca="1"/>
        <v>4.253706365298913E-3</v>
      </c>
      <c r="K135">
        <f ca="1"/>
        <v>0</v>
      </c>
      <c r="L135">
        <f ca="1"/>
        <v>0.33041007504835573</v>
      </c>
      <c r="M135">
        <f ca="1"/>
        <v>9.5072240558682228</v>
      </c>
      <c r="N135">
        <f ca="1"/>
        <v>11.901151267235951</v>
      </c>
      <c r="O135">
        <f ca="1"/>
        <v>0</v>
      </c>
      <c r="P135">
        <f ca="1"/>
        <v>21.73878539815253</v>
      </c>
      <c r="Q135">
        <f ca="1"/>
        <v>-4995.6938441913035</v>
      </c>
    </row>
    <row r="136" spans="1:17">
      <c r="A136" s="2">
        <f ca="1"/>
        <v>135</v>
      </c>
      <c r="B136" s="2">
        <f ca="1"/>
        <v>-9.1525423728813449E-2</v>
      </c>
      <c r="C136" s="7">
        <f ca="1"/>
        <v>3.3500000000000002E-2</v>
      </c>
      <c r="D136" s="4">
        <f ca="1"/>
        <v>1.244018694843998</v>
      </c>
      <c r="E136" s="4">
        <f ca="1"/>
        <v>74.998705891237307</v>
      </c>
      <c r="F136" s="4">
        <f ca="1"/>
        <v>750.89090908071023</v>
      </c>
      <c r="G136">
        <f ca="1"/>
        <v>-218727.21604053359</v>
      </c>
      <c r="H136">
        <f ca="1"/>
        <v>1.244018694843998</v>
      </c>
      <c r="I136">
        <f ca="1"/>
        <v>1.1880633599339344E-2</v>
      </c>
      <c r="J136">
        <f ca="1"/>
        <v>3.9953604127325251E-3</v>
      </c>
      <c r="K136">
        <f ca="1"/>
        <v>0</v>
      </c>
      <c r="L136">
        <f ca="1"/>
        <v>0.31237152408071656</v>
      </c>
      <c r="M136">
        <f ca="1"/>
        <v>8.9210597638627505</v>
      </c>
      <c r="N136">
        <f ca="1"/>
        <v>11.23656338183676</v>
      </c>
      <c r="O136">
        <f ca="1"/>
        <v>0</v>
      </c>
      <c r="P136">
        <f ca="1"/>
        <v>20.469994669780228</v>
      </c>
      <c r="Q136">
        <f ca="1"/>
        <v>-5117.7305563522241</v>
      </c>
    </row>
    <row r="137" spans="1:17">
      <c r="A137" s="2">
        <f ca="1"/>
        <v>136</v>
      </c>
      <c r="B137" s="2">
        <f ca="1"/>
        <v>-8.4745762711864292E-2</v>
      </c>
      <c r="C137" s="7">
        <f ca="1"/>
        <v>3.3750000000000002E-2</v>
      </c>
      <c r="D137" s="4">
        <f ca="1"/>
        <v>1.262791266519814</v>
      </c>
      <c r="E137" s="4">
        <f ca="1"/>
        <v>75.179584852801327</v>
      </c>
      <c r="F137" s="4">
        <f ca="1"/>
        <v>696.10726715556689</v>
      </c>
      <c r="G137">
        <f ca="1"/>
        <v>-219531.60666035782</v>
      </c>
      <c r="H137">
        <f ca="1"/>
        <v>1.262791266519814</v>
      </c>
      <c r="I137">
        <f ca="1"/>
        <v>1.195322899212296E-2</v>
      </c>
      <c r="J137">
        <f ca="1"/>
        <v>3.7386108022875739E-3</v>
      </c>
      <c r="K137">
        <f ca="1"/>
        <v>0</v>
      </c>
      <c r="L137">
        <f ca="1"/>
        <v>0.29393254441155492</v>
      </c>
      <c r="M137">
        <f ca="1"/>
        <v>8.320729567391405</v>
      </c>
      <c r="N137">
        <f ca="1"/>
        <v>10.565258008173455</v>
      </c>
      <c r="O137">
        <f ca="1"/>
        <v>0</v>
      </c>
      <c r="P137">
        <f ca="1"/>
        <v>19.179920119976416</v>
      </c>
      <c r="Q137">
        <f ca="1"/>
        <v>-5265.3884651836997</v>
      </c>
    </row>
    <row r="138" spans="1:17">
      <c r="A138" s="2">
        <f ca="1"/>
        <v>137</v>
      </c>
      <c r="B138" s="2">
        <f ca="1"/>
        <v>-7.7966101694915135E-2</v>
      </c>
      <c r="C138" s="7">
        <f ca="1"/>
        <v>3.4000000000000002E-2</v>
      </c>
      <c r="D138" s="4">
        <f ca="1"/>
        <v>1.2816073438927276</v>
      </c>
      <c r="E138" s="4">
        <f ca="1"/>
        <v>75.346743411220956</v>
      </c>
      <c r="F138" s="4">
        <f ca="1"/>
        <v>641.13026210065823</v>
      </c>
      <c r="G138">
        <f ca="1"/>
        <v>-220274.12107865707</v>
      </c>
      <c r="H138">
        <f ca="1"/>
        <v>1.2816073438927276</v>
      </c>
      <c r="I138">
        <f ca="1"/>
        <v>1.2021058919253182E-2</v>
      </c>
      <c r="J138">
        <f ca="1"/>
        <v>3.4718655308334924E-3</v>
      </c>
      <c r="K138">
        <f ca="1"/>
        <v>0</v>
      </c>
      <c r="L138">
        <f ca="1"/>
        <v>0.27511677586074706</v>
      </c>
      <c r="M138">
        <f ca="1"/>
        <v>7.7070646556282476</v>
      </c>
      <c r="N138">
        <f ca="1"/>
        <v>9.8551190056993807</v>
      </c>
      <c r="O138">
        <f ca="1"/>
        <v>0</v>
      </c>
      <c r="P138">
        <f ca="1"/>
        <v>17.837300437188375</v>
      </c>
      <c r="Q138">
        <f ca="1"/>
        <v>-5434.8053416240227</v>
      </c>
    </row>
    <row r="139" spans="1:17">
      <c r="A139" s="2">
        <f ca="1"/>
        <v>138</v>
      </c>
      <c r="B139" s="2">
        <f ca="1"/>
        <v>-7.1186440677965979E-2</v>
      </c>
      <c r="C139" s="7">
        <f ca="1"/>
        <v>3.4250000000000003E-2</v>
      </c>
      <c r="D139" s="4">
        <f ca="1"/>
        <v>1.3004634909804909</v>
      </c>
      <c r="E139" s="4">
        <f ca="1"/>
        <v>75.500135159345035</v>
      </c>
      <c r="F139" s="4">
        <f ca="1"/>
        <v>585.97536296636531</v>
      </c>
      <c r="G139">
        <f ca="1"/>
        <v>-220954.7592954314</v>
      </c>
      <c r="H139">
        <f ca="1"/>
        <v>1.3004634909804909</v>
      </c>
      <c r="I139">
        <f ca="1"/>
        <v>1.2084013492177676E-2</v>
      </c>
      <c r="J139">
        <f ca="1"/>
        <v>3.2018251683154533E-3</v>
      </c>
      <c r="K139">
        <f ca="1"/>
        <v>0</v>
      </c>
      <c r="L139">
        <f ca="1"/>
        <v>0.25594862599805879</v>
      </c>
      <c r="M139">
        <f ca="1"/>
        <v>7.0809341921692699</v>
      </c>
      <c r="N139">
        <f ca="1"/>
        <v>9.1256346309970731</v>
      </c>
      <c r="O139">
        <f ca="1"/>
        <v>0</v>
      </c>
      <c r="P139">
        <f ca="1"/>
        <v>16.462517449164402</v>
      </c>
      <c r="Q139">
        <f ca="1"/>
        <v>-5528.5798749172509</v>
      </c>
    </row>
    <row r="140" spans="1:17">
      <c r="A140" s="2">
        <f ca="1"/>
        <v>139</v>
      </c>
      <c r="B140" s="2">
        <f ca="1"/>
        <v>-6.4406779661016822E-2</v>
      </c>
      <c r="C140" s="7">
        <f ca="1"/>
        <v>3.4500000000000003E-2</v>
      </c>
      <c r="D140" s="4">
        <f ca="1"/>
        <v>1.3193562606824758</v>
      </c>
      <c r="E140" s="4">
        <f ca="1"/>
        <v>75.639717557285053</v>
      </c>
      <c r="F140" s="4">
        <f ca="1"/>
        <v>530.65803880306953</v>
      </c>
      <c r="G140">
        <f ca="1"/>
        <v>-221573.52131068081</v>
      </c>
      <c r="H140">
        <f ca="1"/>
        <v>1.3193562606824758</v>
      </c>
      <c r="I140">
        <f ca="1"/>
        <v>1.2141987607411937E-2</v>
      </c>
      <c r="J140">
        <f ca="1"/>
        <v>2.9340240315963444E-3</v>
      </c>
      <c r="K140">
        <f ca="1"/>
        <v>0</v>
      </c>
      <c r="L140">
        <f ca="1"/>
        <v>0.23645322058177726</v>
      </c>
      <c r="M140">
        <f ca="1"/>
        <v>6.4432433309203931</v>
      </c>
      <c r="N140">
        <f ca="1"/>
        <v>8.3933139482275774</v>
      </c>
      <c r="O140">
        <f ca="1"/>
        <v>0</v>
      </c>
      <c r="P140">
        <f ca="1"/>
        <v>15.073010499729747</v>
      </c>
      <c r="Q140">
        <f ca="1"/>
        <v>-5631.7207656542241</v>
      </c>
    </row>
    <row r="141" spans="1:17">
      <c r="A141" s="2">
        <f ca="1"/>
        <v>140</v>
      </c>
      <c r="B141" s="2">
        <f ca="1"/>
        <v>-5.7627118644067665E-2</v>
      </c>
      <c r="C141" s="7">
        <f ca="1"/>
        <v>3.4750000000000003E-2</v>
      </c>
      <c r="D141" s="4">
        <f ca="1"/>
        <v>1.3382821957464901</v>
      </c>
      <c r="E141" s="4">
        <f ca="1"/>
        <v>75.765451932415019</v>
      </c>
      <c r="F141" s="4">
        <f ca="1"/>
        <v>475.193758661152</v>
      </c>
      <c r="G141">
        <f ca="1"/>
        <v>-222130.40712440526</v>
      </c>
      <c r="H141">
        <f ca="1"/>
        <v>1.3382821957464901</v>
      </c>
      <c r="I141">
        <f ca="1"/>
        <v>1.2194928898205847E-2</v>
      </c>
      <c r="J141">
        <f ca="1"/>
        <v>2.6601078963036811E-3</v>
      </c>
      <c r="K141">
        <f ca="1"/>
        <v>0</v>
      </c>
      <c r="L141">
        <f ca="1"/>
        <v>0.21665635274685224</v>
      </c>
      <c r="M141">
        <f ca="1"/>
        <v>5.7949540997439373</v>
      </c>
      <c r="N141">
        <f ca="1"/>
        <v>7.6350466138464963</v>
      </c>
      <c r="O141">
        <f ca="1"/>
        <v>0</v>
      </c>
      <c r="P141">
        <f ca="1"/>
        <v>13.646657066337287</v>
      </c>
      <c r="Q141">
        <f ca="1"/>
        <v>-5765.6180678260916</v>
      </c>
    </row>
    <row r="142" spans="1:17">
      <c r="A142" s="2">
        <f ca="1"/>
        <v>141</v>
      </c>
      <c r="B142" s="2">
        <f ca="1"/>
        <v>-5.0847457627118509E-2</v>
      </c>
      <c r="C142" s="7">
        <f ca="1"/>
        <v>3.5000000000000003E-2</v>
      </c>
      <c r="D142" s="4">
        <f ca="1"/>
        <v>1.3572378297355931</v>
      </c>
      <c r="E142" s="4">
        <f ca="1"/>
        <v>75.877303479371605</v>
      </c>
      <c r="F142" s="4">
        <f ca="1"/>
        <v>419.59799159099396</v>
      </c>
      <c r="G142">
        <f ca="1"/>
        <v>-222625.41673660476</v>
      </c>
      <c r="H142">
        <f ca="1"/>
        <v>1.3572378297355931</v>
      </c>
      <c r="I142">
        <f ca="1"/>
        <v>1.2242768559191552E-2</v>
      </c>
      <c r="J142">
        <f ca="1"/>
        <v>2.3818450688961033E-3</v>
      </c>
      <c r="K142">
        <f ca="1"/>
        <v>0</v>
      </c>
      <c r="L142">
        <f ca="1"/>
        <v>0.19658443102716458</v>
      </c>
      <c r="M142">
        <f ca="1"/>
        <v>5.1370410989501423</v>
      </c>
      <c r="N142">
        <f ca="1"/>
        <v>6.8565759358393912</v>
      </c>
      <c r="O142">
        <f ca="1"/>
        <v>0</v>
      </c>
      <c r="P142">
        <f ca="1"/>
        <v>12.190201465816699</v>
      </c>
      <c r="Q142">
        <f ca="1"/>
        <v>-5852.2093638877823</v>
      </c>
    </row>
    <row r="143" spans="1:17">
      <c r="A143" s="2">
        <f ca="1"/>
        <v>142</v>
      </c>
      <c r="B143" s="2">
        <f ca="1"/>
        <v>-4.4067796610169352E-2</v>
      </c>
      <c r="C143" s="7">
        <f ca="1"/>
        <v>3.5250000000000004E-2</v>
      </c>
      <c r="D143" s="4">
        <f ca="1"/>
        <v>1.3762196879949107</v>
      </c>
      <c r="E143" s="4">
        <f ca="1"/>
        <v>75.97524126005402</v>
      </c>
      <c r="F143" s="4">
        <f ca="1"/>
        <v>363.88620664297662</v>
      </c>
      <c r="G143">
        <f ca="1"/>
        <v>-223058.55014727931</v>
      </c>
      <c r="H143">
        <f ca="1"/>
        <v>1.3762196879949107</v>
      </c>
      <c r="I143">
        <f ca="1"/>
        <v>1.2285360800837797E-2</v>
      </c>
      <c r="J143">
        <f ca="1"/>
        <v>2.1044923552713214E-3</v>
      </c>
      <c r="K143">
        <f ca="1"/>
        <v>0</v>
      </c>
      <c r="L143">
        <f ca="1"/>
        <v>0.17626442629039749</v>
      </c>
      <c r="M143">
        <f ca="1"/>
        <v>4.4704733390571878</v>
      </c>
      <c r="N143">
        <f ca="1"/>
        <v>6.0738146190458089</v>
      </c>
      <c r="O143">
        <f ca="1"/>
        <v>0</v>
      </c>
      <c r="P143">
        <f ca="1"/>
        <v>10.720552384393393</v>
      </c>
      <c r="Q143">
        <f ca="1"/>
        <v>-5906.431880282893</v>
      </c>
    </row>
    <row r="144" spans="1:17">
      <c r="A144" s="2">
        <f ca="1"/>
        <v>143</v>
      </c>
      <c r="B144" s="2">
        <f ca="1"/>
        <v>-3.7288135593220195E-2</v>
      </c>
      <c r="C144" s="7">
        <f ca="1"/>
        <v>3.5500000000000004E-2</v>
      </c>
      <c r="D144" s="4">
        <f ca="1"/>
        <v>1.3952242886184518</v>
      </c>
      <c r="E144" s="4">
        <f ca="1"/>
        <v>76.059238203624133</v>
      </c>
      <c r="F144" s="4">
        <f ca="1"/>
        <v>308.07387286748127</v>
      </c>
      <c r="G144">
        <f ca="1"/>
        <v>-223429.80735642897</v>
      </c>
      <c r="H144">
        <f ca="1"/>
        <v>1.3952242886184518</v>
      </c>
      <c r="I144">
        <f ca="1"/>
        <v>1.2322703783770405E-2</v>
      </c>
      <c r="J144">
        <f ca="1"/>
        <v>1.8271224131663252E-3</v>
      </c>
      <c r="K144">
        <f ca="1"/>
        <v>0</v>
      </c>
      <c r="L144">
        <f ca="1"/>
        <v>0.15572381758282849</v>
      </c>
      <c r="M144">
        <f ca="1"/>
        <v>3.7963030788649141</v>
      </c>
      <c r="N144">
        <f ca="1"/>
        <v>5.284958629227507</v>
      </c>
      <c r="O144">
        <f ca="1"/>
        <v>0</v>
      </c>
      <c r="P144">
        <f ca="1"/>
        <v>9.2369855256752498</v>
      </c>
      <c r="Q144">
        <f ca="1"/>
        <v>-5998.4068516716052</v>
      </c>
    </row>
    <row r="145" spans="1:17">
      <c r="A145" s="2">
        <f ca="1"/>
        <v>144</v>
      </c>
      <c r="B145" s="2">
        <f ca="1"/>
        <v>-3.0508474576271039E-2</v>
      </c>
      <c r="C145" s="7">
        <f ca="1"/>
        <v>3.5750000000000004E-2</v>
      </c>
      <c r="D145" s="4">
        <f ca="1"/>
        <v>1.4142481434159231</v>
      </c>
      <c r="E145" s="4">
        <f ca="1"/>
        <v>76.129271106506337</v>
      </c>
      <c r="F145" s="4">
        <f ca="1"/>
        <v>252.17645931488914</v>
      </c>
      <c r="G145">
        <f ca="1"/>
        <v>-223739.18836405364</v>
      </c>
      <c r="H145">
        <f ca="1"/>
        <v>1.4142481434159231</v>
      </c>
      <c r="I145">
        <f ca="1"/>
        <v>1.2354763493289581E-2</v>
      </c>
      <c r="J145">
        <f ca="1"/>
        <v>1.5428017193501128E-3</v>
      </c>
      <c r="K145">
        <f ca="1"/>
        <v>0</v>
      </c>
      <c r="L145">
        <f ca="1"/>
        <v>0.13498677268053894</v>
      </c>
      <c r="M145">
        <f ca="1"/>
        <v>3.1155805134106176</v>
      </c>
      <c r="N145">
        <f ca="1"/>
        <v>4.4707816724664315</v>
      </c>
      <c r="O145">
        <f ca="1"/>
        <v>0</v>
      </c>
      <c r="P145">
        <f ca="1"/>
        <v>7.7213489585575878</v>
      </c>
      <c r="Q145">
        <f ca="1"/>
        <v>-6053.2716874824609</v>
      </c>
    </row>
    <row r="146" spans="1:17">
      <c r="A146" s="2">
        <f ca="1"/>
        <v>145</v>
      </c>
      <c r="B146" s="2">
        <f ca="1"/>
        <v>-2.3728813559321882E-2</v>
      </c>
      <c r="C146" s="7">
        <f ca="1"/>
        <v>3.6000000000000004E-2</v>
      </c>
      <c r="D146" s="4">
        <f ca="1"/>
        <v>1.4332877588795458</v>
      </c>
      <c r="E146" s="4">
        <f ca="1"/>
        <v>76.185320632387686</v>
      </c>
      <c r="F146" s="4">
        <f ca="1"/>
        <v>196.20943503558146</v>
      </c>
      <c r="G146">
        <f ca="1"/>
        <v>-223986.69317015342</v>
      </c>
      <c r="H146">
        <f ca="1"/>
        <v>1.4332877588795458</v>
      </c>
      <c r="I146">
        <f ca="1"/>
        <v>1.2381461395765448E-2</v>
      </c>
      <c r="J146">
        <f ca="1"/>
        <v>1.263536018613229E-3</v>
      </c>
      <c r="K146">
        <f ca="1"/>
        <v>0</v>
      </c>
      <c r="L146">
        <f ca="1"/>
        <v>0.11408031118172221</v>
      </c>
      <c r="M146">
        <f ca="1"/>
        <v>2.4293595453780004</v>
      </c>
      <c r="N146">
        <f ca="1"/>
        <v>3.6669098253742942</v>
      </c>
      <c r="O146">
        <f ca="1"/>
        <v>0</v>
      </c>
      <c r="P146">
        <f ca="1"/>
        <v>6.2103496819340167</v>
      </c>
      <c r="Q146">
        <f ca="1"/>
        <v>-6128.886260567393</v>
      </c>
    </row>
    <row r="147" spans="1:17">
      <c r="A147" s="2">
        <f ca="1"/>
        <v>146</v>
      </c>
      <c r="B147" s="2">
        <f ca="1"/>
        <v>-1.6949152542372947E-2</v>
      </c>
      <c r="C147" s="7">
        <f ca="1"/>
        <v>3.6249999999999998E-2</v>
      </c>
      <c r="D147" s="4">
        <f ca="1"/>
        <v>1.4523396371508697</v>
      </c>
      <c r="E147" s="4">
        <f ca="1"/>
        <v>76.22737131221777</v>
      </c>
      <c r="F147" s="4">
        <f ca="1"/>
        <v>140.18826907994128</v>
      </c>
      <c r="G147">
        <f ca="1"/>
        <v>-224172.32177472822</v>
      </c>
      <c r="H147">
        <f ca="1"/>
        <v>1.4523396371508697</v>
      </c>
      <c r="I147">
        <f ca="1"/>
        <v>1.2402750240616319E-2</v>
      </c>
      <c r="J147">
        <f ca="1"/>
        <v>9.7240839605976194E-4</v>
      </c>
      <c r="K147">
        <f ca="1"/>
        <v>0</v>
      </c>
      <c r="L147">
        <f ca="1"/>
        <v>9.3041725995321983E-2</v>
      </c>
      <c r="M147">
        <f ca="1"/>
        <v>1.7387200880628271</v>
      </c>
      <c r="N147">
        <f ca="1"/>
        <v>2.8251440142157827</v>
      </c>
      <c r="O147">
        <f ca="1"/>
        <v>0</v>
      </c>
      <c r="P147">
        <f ca="1"/>
        <v>4.6569058282739313</v>
      </c>
      <c r="Q147">
        <f ca="1"/>
        <v>-6195.2360695547086</v>
      </c>
    </row>
    <row r="148" spans="1:17">
      <c r="A148" s="2">
        <f ca="1"/>
        <v>147</v>
      </c>
      <c r="B148" s="2">
        <f ca="1"/>
        <v>-1.0169491525423791E-2</v>
      </c>
      <c r="C148" s="7">
        <f ca="1"/>
        <v>3.6499999999999998E-2</v>
      </c>
      <c r="D148" s="4">
        <f ca="1"/>
        <v>1.4714002769875918</v>
      </c>
      <c r="E148" s="4">
        <f ca="1"/>
        <v>76.255411544208826</v>
      </c>
      <c r="F148" s="4">
        <f ca="1"/>
        <v>84.128430498346191</v>
      </c>
      <c r="G148">
        <f ca="1"/>
        <v>-224296.07417777812</v>
      </c>
      <c r="H148">
        <f ca="1"/>
        <v>1.4714002769875918</v>
      </c>
      <c r="I148">
        <f ca="1"/>
        <v>1.2418596057040647E-2</v>
      </c>
      <c r="J148">
        <f ca="1"/>
        <v>6.8653933940166379E-4</v>
      </c>
      <c r="K148">
        <f ca="1"/>
        <v>0</v>
      </c>
      <c r="L148">
        <f ca="1"/>
        <v>7.1900040940889115E-2</v>
      </c>
      <c r="M148">
        <f ca="1"/>
        <v>1.0447569952717801</v>
      </c>
      <c r="N148">
        <f ca="1"/>
        <v>1.9960746109440335</v>
      </c>
      <c r="O148">
        <f ca="1"/>
        <v>0</v>
      </c>
      <c r="P148">
        <f ca="1"/>
        <v>3.1127316471567026</v>
      </c>
      <c r="Q148">
        <f ca="1"/>
        <v>-6164.002394481754</v>
      </c>
    </row>
    <row r="149" spans="1:17">
      <c r="A149" s="2">
        <f ca="1"/>
        <v>148</v>
      </c>
      <c r="B149" s="2">
        <f ca="1"/>
        <v>-3.3898305084746339E-3</v>
      </c>
      <c r="C149" s="7">
        <f ca="1"/>
        <v>3.6749999999999998E-2</v>
      </c>
      <c r="D149" s="4">
        <f ca="1"/>
        <v>1.490466174730368</v>
      </c>
      <c r="E149" s="4">
        <f ca="1"/>
        <v>76.269433593835657</v>
      </c>
      <c r="F149" s="4">
        <f ca="1"/>
        <v>28.045388341179244</v>
      </c>
      <c r="G149">
        <f ca="1"/>
        <v>-224357.95037930307</v>
      </c>
      <c r="H149">
        <f ca="1"/>
        <v>1.490466174730368</v>
      </c>
      <c r="I149">
        <f ca="1"/>
        <v>1.242898062481218E-2</v>
      </c>
      <c r="J149">
        <f ca="1"/>
        <v>4.0420808083532365E-4</v>
      </c>
      <c r="K149">
        <f ca="1"/>
        <v>0</v>
      </c>
      <c r="L149">
        <f ca="1"/>
        <v>5.0684483712165655E-2</v>
      </c>
      <c r="M149">
        <f ca="1"/>
        <v>0.34857558830785024</v>
      </c>
      <c r="N149">
        <f ca="1"/>
        <v>1.1756445590130358</v>
      </c>
      <c r="O149">
        <f ca="1"/>
        <v>0</v>
      </c>
      <c r="P149">
        <f ca="1"/>
        <v>1.5749046310330517</v>
      </c>
      <c r="Q149">
        <f ca="1"/>
        <v>-6218.9254934680703</v>
      </c>
    </row>
    <row r="150" spans="1:17">
      <c r="A150" s="2">
        <f ca="1"/>
        <v>149</v>
      </c>
      <c r="B150" s="2">
        <f ca="1"/>
        <v>3.3898305084745228E-3</v>
      </c>
      <c r="C150" s="7">
        <f ca="1"/>
        <v>3.6999999999999998E-2</v>
      </c>
      <c r="D150" s="4">
        <f ca="1"/>
        <v>1.5095338252696318</v>
      </c>
      <c r="E150" s="4">
        <f ca="1"/>
        <v>76.269433593835657</v>
      </c>
      <c r="F150" s="4">
        <f ca="1"/>
        <v>-28.045388341178324</v>
      </c>
      <c r="G150">
        <f ca="1"/>
        <v>-224357.95037930307</v>
      </c>
      <c r="H150">
        <f ca="1"/>
        <v>1.5095338252696318</v>
      </c>
      <c r="I150">
        <f ca="1"/>
        <v>1.2433886867078092E-2</v>
      </c>
      <c r="J150">
        <f ca="1"/>
        <v>1.1090121717328349E-4</v>
      </c>
      <c r="K150">
        <f ca="1"/>
        <v>0</v>
      </c>
      <c r="L150">
        <f ca="1"/>
        <v>2.9424426570350069E-2</v>
      </c>
      <c r="M150">
        <f ca="1"/>
        <v>-0.34871318577748217</v>
      </c>
      <c r="N150">
        <f ca="1"/>
        <v>0.32255765962979693</v>
      </c>
      <c r="O150">
        <f ca="1"/>
        <v>0</v>
      </c>
      <c r="P150">
        <f ca="1"/>
        <v>3.2689004226648111E-3</v>
      </c>
      <c r="Q150">
        <f ca="1"/>
        <v>-6248.9522281501995</v>
      </c>
    </row>
    <row r="151" spans="1:17">
      <c r="A151" s="2">
        <f ca="1"/>
        <v>150</v>
      </c>
      <c r="B151" s="2">
        <f ca="1"/>
        <v>1.0169491525423791E-2</v>
      </c>
      <c r="C151" s="7">
        <f ca="1"/>
        <v>3.7249999999999998E-2</v>
      </c>
      <c r="D151" s="4">
        <f ca="1"/>
        <v>1.5285997230124082</v>
      </c>
      <c r="E151" s="4">
        <f ca="1"/>
        <v>76.255411544208826</v>
      </c>
      <c r="F151" s="4">
        <f ca="1"/>
        <v>-84.128430498346191</v>
      </c>
      <c r="G151">
        <f ca="1"/>
        <v>-224296.07417777812</v>
      </c>
      <c r="H151">
        <f ca="1"/>
        <v>1.5285997230124082</v>
      </c>
      <c r="I151">
        <f ca="1"/>
        <v>1.2433300123249953E-2</v>
      </c>
      <c r="J151">
        <f ca="1"/>
        <v>-1.7600572971186634E-4</v>
      </c>
      <c r="K151">
        <f ca="1"/>
        <v>0</v>
      </c>
      <c r="L151">
        <f ca="1"/>
        <v>8.1493265579928587E-3</v>
      </c>
      <c r="M151">
        <f ca="1"/>
        <v>-1.0459940252839128</v>
      </c>
      <c r="N151">
        <f ca="1"/>
        <v>-0.51172678431613106</v>
      </c>
      <c r="O151">
        <f ca="1"/>
        <v>0</v>
      </c>
      <c r="P151">
        <f ca="1"/>
        <v>-1.5495714830420511</v>
      </c>
      <c r="Q151">
        <f ca="1"/>
        <v>-6188.923648370147</v>
      </c>
    </row>
    <row r="152" spans="1:17">
      <c r="A152" s="2">
        <f ca="1"/>
        <v>151</v>
      </c>
      <c r="B152" s="2">
        <f ca="1"/>
        <v>1.6949152542372836E-2</v>
      </c>
      <c r="C152" s="7">
        <f ca="1"/>
        <v>3.7499999999999999E-2</v>
      </c>
      <c r="D152" s="4">
        <f ca="1"/>
        <v>1.5476603628491299</v>
      </c>
      <c r="E152" s="4">
        <f ca="1"/>
        <v>76.22737131221777</v>
      </c>
      <c r="F152" s="4">
        <f ca="1"/>
        <v>-140.18826907994037</v>
      </c>
      <c r="G152">
        <f ca="1"/>
        <v>-224172.32177472825</v>
      </c>
      <c r="H152">
        <f ca="1"/>
        <v>1.5476603628491299</v>
      </c>
      <c r="I152">
        <f ca="1"/>
        <v>1.2427229408640706E-2</v>
      </c>
      <c r="J152">
        <f ca="1"/>
        <v>-4.5982412081826388E-4</v>
      </c>
      <c r="K152">
        <f ca="1"/>
        <v>0</v>
      </c>
      <c r="L152">
        <f ca="1"/>
        <v>-1.3111334810510066E-2</v>
      </c>
      <c r="M152">
        <f ca="1"/>
        <v>-1.7421517802566715</v>
      </c>
      <c r="N152">
        <f ca="1"/>
        <v>-1.3359298086952298</v>
      </c>
      <c r="O152">
        <f ca="1"/>
        <v>0</v>
      </c>
      <c r="P152">
        <f ca="1"/>
        <v>-3.0911929237624114</v>
      </c>
      <c r="Q152">
        <f ca="1"/>
        <v>-6206.949205545543</v>
      </c>
    </row>
    <row r="153" spans="1:17">
      <c r="A153" s="2">
        <f ca="1"/>
        <v>152</v>
      </c>
      <c r="B153" s="2">
        <f ca="1"/>
        <v>2.3728813559322104E-2</v>
      </c>
      <c r="C153" s="7">
        <f ca="1"/>
        <v>3.7749999999999999E-2</v>
      </c>
      <c r="D153" s="4">
        <f ca="1"/>
        <v>1.5667122411204548</v>
      </c>
      <c r="E153" s="4">
        <f ca="1"/>
        <v>76.185320632387686</v>
      </c>
      <c r="F153" s="4">
        <f ca="1"/>
        <v>-196.20943503558331</v>
      </c>
      <c r="G153">
        <f ca="1"/>
        <v>-223986.69317015339</v>
      </c>
      <c r="H153">
        <f ca="1"/>
        <v>1.5667122411204548</v>
      </c>
      <c r="I153">
        <f ca="1"/>
        <v>1.241568840524904E-2</v>
      </c>
      <c r="J153">
        <f ca="1"/>
        <v>-7.5209041998096241E-4</v>
      </c>
      <c r="K153">
        <f ca="1"/>
        <v>0</v>
      </c>
      <c r="L153">
        <f ca="1"/>
        <v>-3.4328112249824169E-2</v>
      </c>
      <c r="M153">
        <f ca="1"/>
        <v>-2.4360752075717564</v>
      </c>
      <c r="N153">
        <f ca="1"/>
        <v>-2.1826427659932452</v>
      </c>
      <c r="O153">
        <f ca="1"/>
        <v>0</v>
      </c>
      <c r="P153">
        <f ca="1"/>
        <v>-4.6530460858148253</v>
      </c>
      <c r="Q153">
        <f ca="1"/>
        <v>-6191.1166710567104</v>
      </c>
    </row>
    <row r="154" spans="1:17">
      <c r="A154" s="2">
        <f ca="1"/>
        <v>153</v>
      </c>
      <c r="B154" s="2">
        <f ca="1"/>
        <v>3.050847457627115E-2</v>
      </c>
      <c r="C154" s="7">
        <f ca="1"/>
        <v>3.7999999999999999E-2</v>
      </c>
      <c r="D154" s="4">
        <f ca="1"/>
        <v>1.5857518565840771</v>
      </c>
      <c r="E154" s="4">
        <f ca="1"/>
        <v>76.129271106506337</v>
      </c>
      <c r="F154" s="4">
        <f ca="1"/>
        <v>-252.17645931489008</v>
      </c>
      <c r="G154">
        <f ca="1"/>
        <v>-223739.18836405364</v>
      </c>
      <c r="H154">
        <f ca="1"/>
        <v>1.5857518565840771</v>
      </c>
      <c r="I154">
        <f ca="1"/>
        <v>1.2398680062368364E-2</v>
      </c>
      <c r="J154">
        <f ca="1"/>
        <v>-1.0368521599245872E-3</v>
      </c>
      <c r="K154">
        <f ca="1"/>
        <v>0</v>
      </c>
      <c r="L154">
        <f ca="1"/>
        <v>-5.5471657718558831E-2</v>
      </c>
      <c r="M154">
        <f ca="1"/>
        <v>-3.1266552383061748</v>
      </c>
      <c r="N154">
        <f ca="1"/>
        <v>-3.0046243632660357</v>
      </c>
      <c r="O154">
        <f ca="1"/>
        <v>0</v>
      </c>
      <c r="P154">
        <f ca="1"/>
        <v>-6.1867512592907694</v>
      </c>
      <c r="Q154">
        <f ca="1"/>
        <v>-6114.507531197848</v>
      </c>
    </row>
    <row r="155" spans="1:17">
      <c r="A155" s="2">
        <f ca="1"/>
        <v>154</v>
      </c>
      <c r="B155" s="2">
        <f ca="1"/>
        <v>3.7288135593220417E-2</v>
      </c>
      <c r="C155" s="7">
        <f ca="1"/>
        <v>3.8249999999999999E-2</v>
      </c>
      <c r="D155" s="4">
        <f ca="1"/>
        <v>1.6047757113815488</v>
      </c>
      <c r="E155" s="4">
        <f ca="1"/>
        <v>76.059238203624133</v>
      </c>
      <c r="F155" s="4">
        <f ca="1"/>
        <v>-308.07387286748309</v>
      </c>
      <c r="G155">
        <f ca="1"/>
        <v>-223429.80735642897</v>
      </c>
      <c r="H155">
        <f ca="1"/>
        <v>1.6047757113815488</v>
      </c>
      <c r="I155">
        <f ca="1"/>
        <v>1.2376234776626711E-2</v>
      </c>
      <c r="J155">
        <f ca="1"/>
        <v>-1.3209982347766581E-3</v>
      </c>
      <c r="K155">
        <f ca="1"/>
        <v>0</v>
      </c>
      <c r="L155">
        <f ca="1"/>
        <v>-7.6512781682080408E-2</v>
      </c>
      <c r="M155">
        <f ca="1"/>
        <v>-3.8127945791526203</v>
      </c>
      <c r="N155">
        <f ca="1"/>
        <v>-3.8209924905790511</v>
      </c>
      <c r="O155">
        <f ca="1"/>
        <v>0</v>
      </c>
      <c r="P155">
        <f ca="1"/>
        <v>-7.710299851413752</v>
      </c>
      <c r="Q155">
        <f ca="1"/>
        <v>-6077.1592287922276</v>
      </c>
    </row>
    <row r="156" spans="1:17">
      <c r="A156" s="2">
        <f ca="1"/>
        <v>155</v>
      </c>
      <c r="B156" s="2">
        <f ca="1"/>
        <v>4.4067796610169463E-2</v>
      </c>
      <c r="C156" s="7">
        <f ca="1"/>
        <v>3.85E-2</v>
      </c>
      <c r="D156" s="4">
        <f ca="1"/>
        <v>1.6237803120050895</v>
      </c>
      <c r="E156" s="4">
        <f ca="1"/>
        <v>75.97524126005402</v>
      </c>
      <c r="F156" s="4">
        <f ca="1"/>
        <v>-363.88620664297753</v>
      </c>
      <c r="G156">
        <f ca="1"/>
        <v>-223058.55014727931</v>
      </c>
      <c r="H156">
        <f ca="1"/>
        <v>1.6237803120050895</v>
      </c>
      <c r="I156">
        <f ca="1"/>
        <v>1.2348406492621953E-2</v>
      </c>
      <c r="J156">
        <f ca="1"/>
        <v>-1.6057890455155428E-3</v>
      </c>
      <c r="K156">
        <f ca="1"/>
        <v>0</v>
      </c>
      <c r="L156">
        <f ca="1"/>
        <v>-9.7418377199127382E-2</v>
      </c>
      <c r="M156">
        <f ca="1"/>
        <v>-4.493414796685717</v>
      </c>
      <c r="N156">
        <f ca="1"/>
        <v>-4.6344976998020417</v>
      </c>
      <c r="O156">
        <f ca="1"/>
        <v>0</v>
      </c>
      <c r="P156">
        <f ca="1"/>
        <v>-9.225330873686886</v>
      </c>
      <c r="Q156">
        <f ca="1"/>
        <v>-6033.9986833535449</v>
      </c>
    </row>
    <row r="157" spans="1:17">
      <c r="A157" s="2">
        <f ca="1"/>
        <v>156</v>
      </c>
      <c r="B157" s="2">
        <f ca="1"/>
        <v>5.0847457627118731E-2</v>
      </c>
      <c r="C157" s="7">
        <f ca="1"/>
        <v>3.875E-2</v>
      </c>
      <c r="D157" s="4">
        <f ca="1"/>
        <v>1.6427621702644075</v>
      </c>
      <c r="E157" s="4">
        <f ca="1"/>
        <v>75.877303479371605</v>
      </c>
      <c r="F157" s="4">
        <f ca="1"/>
        <v>-419.59799159099578</v>
      </c>
      <c r="G157">
        <f ca="1"/>
        <v>-222625.41673660476</v>
      </c>
      <c r="H157">
        <f ca="1"/>
        <v>1.6427621702644075</v>
      </c>
      <c r="I157">
        <f ca="1"/>
        <v>1.2315201497048544E-2</v>
      </c>
      <c r="J157">
        <f ca="1"/>
        <v>-1.8903473207838196E-3</v>
      </c>
      <c r="K157">
        <f ca="1"/>
        <v>0</v>
      </c>
      <c r="L157">
        <f ca="1"/>
        <v>-0.11815545437731306</v>
      </c>
      <c r="M157">
        <f ca="1"/>
        <v>-5.1674338141999936</v>
      </c>
      <c r="N157">
        <f ca="1"/>
        <v>-5.441709924513221</v>
      </c>
      <c r="O157">
        <f ca="1"/>
        <v>0</v>
      </c>
      <c r="P157">
        <f ca="1"/>
        <v>-10.727299193090527</v>
      </c>
      <c r="Q157">
        <f ca="1"/>
        <v>-5965.2014121133961</v>
      </c>
    </row>
    <row r="158" spans="1:17">
      <c r="A158" s="2">
        <f ca="1"/>
        <v>157</v>
      </c>
      <c r="B158" s="2">
        <f ca="1"/>
        <v>5.7627118644067776E-2</v>
      </c>
      <c r="C158" s="7">
        <f ca="1"/>
        <v>3.9E-2</v>
      </c>
      <c r="D158" s="4">
        <f ca="1"/>
        <v>1.6617178042535101</v>
      </c>
      <c r="E158" s="4">
        <f ca="1"/>
        <v>75.765451932415019</v>
      </c>
      <c r="F158" s="4">
        <f ca="1"/>
        <v>-475.19375866115291</v>
      </c>
      <c r="G158">
        <f ca="1"/>
        <v>-222130.40712440526</v>
      </c>
      <c r="H158">
        <f ca="1"/>
        <v>1.6617178042535101</v>
      </c>
      <c r="I158">
        <f ca="1"/>
        <v>1.2276693207000089E-2</v>
      </c>
      <c r="J158">
        <f ca="1"/>
        <v>-2.1724683560399873E-3</v>
      </c>
      <c r="K158">
        <f ca="1"/>
        <v>0</v>
      </c>
      <c r="L158">
        <f ca="1"/>
        <v>-0.13870088912133838</v>
      </c>
      <c r="M158">
        <f ca="1"/>
        <v>-5.8338079889642156</v>
      </c>
      <c r="N158">
        <f ca="1"/>
        <v>-6.2354227016580337</v>
      </c>
      <c r="O158">
        <f ca="1"/>
        <v>0</v>
      </c>
      <c r="P158">
        <f ca="1"/>
        <v>-12.207931579743587</v>
      </c>
      <c r="Q158">
        <f ca="1"/>
        <v>-5852.3762655254523</v>
      </c>
    </row>
    <row r="159" spans="1:17">
      <c r="A159" s="2">
        <f ca="1"/>
        <v>158</v>
      </c>
      <c r="B159" s="2">
        <f ca="1"/>
        <v>6.4406779661017044E-2</v>
      </c>
      <c r="C159" s="7">
        <f ca="1"/>
        <v>3.925E-2</v>
      </c>
      <c r="D159" s="4">
        <f ca="1"/>
        <v>1.6806437393175249</v>
      </c>
      <c r="E159" s="4">
        <f ca="1"/>
        <v>75.639717557285039</v>
      </c>
      <c r="F159" s="4">
        <f ca="1"/>
        <v>-530.65803880307146</v>
      </c>
      <c r="G159">
        <f ca="1"/>
        <v>-221573.52131068078</v>
      </c>
      <c r="H159">
        <f ca="1"/>
        <v>1.6806437393175249</v>
      </c>
      <c r="I159">
        <f ca="1"/>
        <v>1.2232952407250622E-2</v>
      </c>
      <c r="J159">
        <f ca="1"/>
        <v>-2.4479975004679114E-3</v>
      </c>
      <c r="K159">
        <f ca="1"/>
        <v>0</v>
      </c>
      <c r="L159">
        <f ca="1"/>
        <v>-0.15902689151384655</v>
      </c>
      <c r="M159">
        <f ca="1"/>
        <v>-6.4915145332029267</v>
      </c>
      <c r="N159">
        <f ca="1"/>
        <v>-7.0029459011364823</v>
      </c>
      <c r="O159">
        <f ca="1"/>
        <v>0</v>
      </c>
      <c r="P159">
        <f ca="1"/>
        <v>-13.653487325853256</v>
      </c>
      <c r="Q159">
        <f ca="1"/>
        <v>-5775.3126786495222</v>
      </c>
    </row>
    <row r="160" spans="1:17">
      <c r="A160" s="2">
        <f ca="1"/>
        <v>159</v>
      </c>
      <c r="B160" s="2">
        <f ca="1"/>
        <v>7.118644067796609E-2</v>
      </c>
      <c r="C160" s="7">
        <f ca="1"/>
        <v>3.95E-2</v>
      </c>
      <c r="D160" s="4">
        <f ca="1"/>
        <v>1.6995365090195094</v>
      </c>
      <c r="E160" s="4">
        <f ca="1"/>
        <v>75.500135159345035</v>
      </c>
      <c r="F160" s="4">
        <f ca="1"/>
        <v>-585.97536296636622</v>
      </c>
      <c r="G160">
        <f ca="1"/>
        <v>-220954.7592954314</v>
      </c>
      <c r="H160">
        <f ca="1"/>
        <v>1.6995365090195094</v>
      </c>
      <c r="I160">
        <f ca="1"/>
        <v>1.2184010772865789E-2</v>
      </c>
      <c r="J160">
        <f ca="1"/>
        <v>-2.7286255103326283E-3</v>
      </c>
      <c r="K160">
        <f ca="1"/>
        <v>0</v>
      </c>
      <c r="L160">
        <f ca="1"/>
        <v>-0.1791061570481173</v>
      </c>
      <c r="M160">
        <f ca="1"/>
        <v>-7.1395301350161473</v>
      </c>
      <c r="N160">
        <f ca="1"/>
        <v>-7.7769516270040864</v>
      </c>
      <c r="O160">
        <f ca="1"/>
        <v>0</v>
      </c>
      <c r="P160">
        <f ca="1"/>
        <v>-15.09558791906835</v>
      </c>
      <c r="Q160">
        <f ca="1"/>
        <v>-5698.805359799645</v>
      </c>
    </row>
    <row r="161" spans="1:17">
      <c r="A161" s="2">
        <f ca="1"/>
        <v>160</v>
      </c>
      <c r="B161" s="2">
        <f ca="1"/>
        <v>7.7966101694915357E-2</v>
      </c>
      <c r="C161" s="7">
        <f ca="1"/>
        <v>3.9750000000000001E-2</v>
      </c>
      <c r="D161" s="4">
        <f ca="1"/>
        <v>1.7183926561072731</v>
      </c>
      <c r="E161" s="4">
        <f ca="1"/>
        <v>75.346743411220942</v>
      </c>
      <c r="F161" s="4">
        <f ca="1"/>
        <v>-641.13026210065993</v>
      </c>
      <c r="G161">
        <f ca="1"/>
        <v>-220274.12107865704</v>
      </c>
      <c r="H161">
        <f ca="1"/>
        <v>1.7183926561072731</v>
      </c>
      <c r="I161">
        <f ca="1"/>
        <v>1.212997250845186E-2</v>
      </c>
      <c r="J161">
        <f ca="1"/>
        <v>-3.0040118889678455E-3</v>
      </c>
      <c r="K161">
        <f ca="1"/>
        <v>0</v>
      </c>
      <c r="L161">
        <f ca="1"/>
        <v>-0.19891192701726607</v>
      </c>
      <c r="M161">
        <f ca="1"/>
        <v>-7.7768924536175401</v>
      </c>
      <c r="N161">
        <f ca="1"/>
        <v>-8.5270856251182732</v>
      </c>
      <c r="O161">
        <f ca="1"/>
        <v>0</v>
      </c>
      <c r="P161">
        <f ca="1"/>
        <v>-16.502890005753081</v>
      </c>
      <c r="Q161">
        <f ca="1"/>
        <v>-5537.2663974827337</v>
      </c>
    </row>
    <row r="162" spans="1:17">
      <c r="A162" s="2">
        <f ca="1"/>
        <v>161</v>
      </c>
      <c r="B162" s="2">
        <f ca="1"/>
        <v>8.4745762711864403E-2</v>
      </c>
      <c r="C162" s="7">
        <f ca="1"/>
        <v>0.04</v>
      </c>
      <c r="D162" s="4">
        <f ca="1"/>
        <v>1.7372087334801862</v>
      </c>
      <c r="E162" s="4">
        <f ca="1"/>
        <v>75.179584852801327</v>
      </c>
      <c r="F162" s="4">
        <f ca="1"/>
        <v>-696.1072671555678</v>
      </c>
      <c r="G162">
        <f ca="1"/>
        <v>-219531.60666035776</v>
      </c>
      <c r="H162">
        <f ca="1"/>
        <v>1.7372087334801862</v>
      </c>
      <c r="I162">
        <f ca="1"/>
        <v>1.2070918916098711E-2</v>
      </c>
      <c r="J162">
        <f ca="1"/>
        <v>-3.2707706253326386E-3</v>
      </c>
      <c r="K162">
        <f ca="1"/>
        <v>0</v>
      </c>
      <c r="L162">
        <f ca="1"/>
        <v>-0.21841804836969658</v>
      </c>
      <c r="M162">
        <f ca="1"/>
        <v>-8.4026543787419214</v>
      </c>
      <c r="N162">
        <f ca="1"/>
        <v>-9.2431486906980993</v>
      </c>
      <c r="O162">
        <f ca="1"/>
        <v>0</v>
      </c>
      <c r="P162">
        <f ca="1"/>
        <v>-17.86422111780972</v>
      </c>
      <c r="Q162">
        <f ca="1"/>
        <v>-5437.8087542171252</v>
      </c>
    </row>
    <row r="163" spans="1:17">
      <c r="A163" s="2">
        <f ca="1"/>
        <v>162</v>
      </c>
      <c r="B163" s="2">
        <f ca="1"/>
        <v>9.1525423728813671E-2</v>
      </c>
      <c r="C163" s="7">
        <f ca="1"/>
        <v>4.0250000000000001E-2</v>
      </c>
      <c r="D163" s="4">
        <f ca="1"/>
        <v>1.7559813051560025</v>
      </c>
      <c r="E163" s="4">
        <f ca="1"/>
        <v>74.998705891237307</v>
      </c>
      <c r="F163" s="4">
        <f ca="1"/>
        <v>-750.89090908071194</v>
      </c>
      <c r="G163">
        <f ca="1"/>
        <v>-218727.21604053353</v>
      </c>
      <c r="H163">
        <f ca="1"/>
        <v>1.7559813051560025</v>
      </c>
      <c r="I163">
        <f ca="1"/>
        <v>1.2006947002828963E-2</v>
      </c>
      <c r="J163">
        <f ca="1"/>
        <v>-3.5444024924252112E-3</v>
      </c>
      <c r="K163">
        <f ca="1"/>
        <v>0</v>
      </c>
      <c r="L163">
        <f ca="1"/>
        <v>-0.23759903288392861</v>
      </c>
      <c r="M163">
        <f ca="1"/>
        <v>-9.0159073502381695</v>
      </c>
      <c r="N163">
        <f ca="1"/>
        <v>-9.9682879997395464</v>
      </c>
      <c r="O163">
        <f ca="1"/>
        <v>0</v>
      </c>
      <c r="P163">
        <f ca="1"/>
        <v>-19.221794382861646</v>
      </c>
      <c r="Q163">
        <f ca="1"/>
        <v>-5319.4444897324565</v>
      </c>
    </row>
    <row r="164" spans="1:17">
      <c r="A164" s="2">
        <f ca="1"/>
        <v>163</v>
      </c>
      <c r="B164" s="2">
        <f ca="1"/>
        <v>9.8305084745762716E-2</v>
      </c>
      <c r="C164" s="7">
        <f ca="1"/>
        <v>4.0500000000000001E-2</v>
      </c>
      <c r="D164" s="4">
        <f ca="1"/>
        <v>1.7747069472376684</v>
      </c>
      <c r="E164" s="4">
        <f ca="1"/>
        <v>74.80415680094265</v>
      </c>
      <c r="F164" s="4">
        <f ca="1"/>
        <v>-805.46571882570754</v>
      </c>
      <c r="G164">
        <f ca="1"/>
        <v>-217860.9492191844</v>
      </c>
      <c r="H164">
        <f ca="1"/>
        <v>1.7747069472376684</v>
      </c>
      <c r="I164">
        <f ca="1"/>
        <v>1.1938130398930462E-2</v>
      </c>
      <c r="J164">
        <f ca="1"/>
        <v>-3.8071487171559867E-3</v>
      </c>
      <c r="K164">
        <f ca="1"/>
        <v>0</v>
      </c>
      <c r="L164">
        <f ca="1"/>
        <v>-0.25643011551498451</v>
      </c>
      <c r="M164">
        <f ca="1"/>
        <v>-9.6157547832095549</v>
      </c>
      <c r="N164">
        <f ca="1"/>
        <v>-10.651758463951413</v>
      </c>
      <c r="O164">
        <f ca="1"/>
        <v>0</v>
      </c>
      <c r="P164">
        <f ca="1"/>
        <v>-20.523943362675951</v>
      </c>
      <c r="Q164">
        <f ca="1"/>
        <v>-5140.883426096816</v>
      </c>
    </row>
    <row r="165" spans="1:17">
      <c r="A165" s="2">
        <f ca="1"/>
        <v>164</v>
      </c>
      <c r="B165" s="2">
        <f ca="1"/>
        <v>0.10508474576271198</v>
      </c>
      <c r="C165" s="7">
        <f ca="1"/>
        <v>4.0750000000000001E-2</v>
      </c>
      <c r="D165" s="4">
        <f ca="1"/>
        <v>1.7933822488801436</v>
      </c>
      <c r="E165" s="4">
        <f ca="1"/>
        <v>74.59599172359367</v>
      </c>
      <c r="F165" s="4">
        <f ca="1"/>
        <v>-859.81622734017708</v>
      </c>
      <c r="G165">
        <f ca="1"/>
        <v>-216932.8061963103</v>
      </c>
      <c r="H165">
        <f ca="1"/>
        <v>1.7933822488801436</v>
      </c>
      <c r="I165">
        <f ca="1"/>
        <v>1.1864595606008162E-2</v>
      </c>
      <c r="J165">
        <f ca="1"/>
        <v>-4.0671582019867411E-3</v>
      </c>
      <c r="K165">
        <f ca="1"/>
        <v>0</v>
      </c>
      <c r="L165">
        <f ca="1"/>
        <v>-0.27488731183089277</v>
      </c>
      <c r="M165">
        <f ca="1"/>
        <v>-10.201371832874781</v>
      </c>
      <c r="N165">
        <f ca="1"/>
        <v>-11.315976951204384</v>
      </c>
      <c r="O165">
        <f ca="1"/>
        <v>0</v>
      </c>
      <c r="P165">
        <f ca="1"/>
        <v>-21.792236095910056</v>
      </c>
      <c r="Q165">
        <f ca="1"/>
        <v>-4984.8962390900297</v>
      </c>
    </row>
    <row r="166" spans="1:17">
      <c r="A166" s="2">
        <f ca="1"/>
        <v>165</v>
      </c>
      <c r="B166" s="2">
        <f ca="1"/>
        <v>0.11186440677966103</v>
      </c>
      <c r="C166" s="7">
        <f ca="1"/>
        <v>4.1000000000000002E-2</v>
      </c>
      <c r="D166" s="4">
        <f ca="1"/>
        <v>1.8120038132572132</v>
      </c>
      <c r="E166" s="4">
        <f ca="1"/>
        <v>74.374268668129304</v>
      </c>
      <c r="F166" s="4">
        <f ca="1"/>
        <v>-913.92696557373563</v>
      </c>
      <c r="G166">
        <f ca="1"/>
        <v>-215942.78697191129</v>
      </c>
      <c r="H166">
        <f ca="1"/>
        <v>1.8120038132572132</v>
      </c>
      <c r="I166">
        <f ca="1"/>
        <v>1.1786481694080026E-2</v>
      </c>
      <c r="J166">
        <f ca="1"/>
        <v>-4.3212118828413826E-3</v>
      </c>
      <c r="K166">
        <f ca="1"/>
        <v>0</v>
      </c>
      <c r="L166">
        <f ca="1"/>
        <v>-0.29294747427313489</v>
      </c>
      <c r="M166">
        <f ca="1"/>
        <v>-10.77198344946094</v>
      </c>
      <c r="N166">
        <f ca="1"/>
        <v>-11.951460558486893</v>
      </c>
      <c r="O166">
        <f ca="1"/>
        <v>0</v>
      </c>
      <c r="P166">
        <f ca="1"/>
        <v>-23.016391482220968</v>
      </c>
      <c r="Q166">
        <f ca="1"/>
        <v>-4838.858620083779</v>
      </c>
    </row>
    <row r="167" spans="1:17">
      <c r="A167" s="2">
        <f ca="1"/>
        <v>166</v>
      </c>
      <c r="B167" s="2">
        <f ca="1"/>
        <v>0.1186440677966103</v>
      </c>
      <c r="C167" s="7">
        <f ca="1"/>
        <v>4.1250000000000002E-2</v>
      </c>
      <c r="D167" s="4">
        <f ca="1"/>
        <v>1.8305682585283063</v>
      </c>
      <c r="E167" s="4">
        <f ca="1"/>
        <v>74.139049510751065</v>
      </c>
      <c r="F167" s="4">
        <f ca="1"/>
        <v>-967.78246447600566</v>
      </c>
      <c r="G167">
        <f ca="1"/>
        <v>-214890.89154598731</v>
      </c>
      <c r="H167">
        <f ca="1"/>
        <v>1.8305682585283063</v>
      </c>
      <c r="I167">
        <f ca="1"/>
        <v>1.170386944580178E-2</v>
      </c>
      <c r="J167">
        <f ca="1"/>
        <v>-4.5752940009024957E-3</v>
      </c>
      <c r="K167">
        <f ca="1"/>
        <v>0</v>
      </c>
      <c r="L167">
        <f ca="1"/>
        <v>-0.31058834716177863</v>
      </c>
      <c r="M167">
        <f ca="1"/>
        <v>-11.326799616163468</v>
      </c>
      <c r="N167">
        <f ca="1"/>
        <v>-12.574277442626698</v>
      </c>
      <c r="O167">
        <f ca="1"/>
        <v>0</v>
      </c>
      <c r="P167">
        <f ca="1"/>
        <v>-24.211665405951948</v>
      </c>
      <c r="Q167">
        <f ca="1"/>
        <v>-4687.8781017797128</v>
      </c>
    </row>
    <row r="168" spans="1:17">
      <c r="A168" s="2">
        <f ca="1"/>
        <v>167</v>
      </c>
      <c r="B168" s="2">
        <f ca="1"/>
        <v>0.12542372881355934</v>
      </c>
      <c r="C168" s="7">
        <f ca="1"/>
        <v>4.1500000000000002E-2</v>
      </c>
      <c r="D168" s="4">
        <f ca="1"/>
        <v>1.8490722188053088</v>
      </c>
      <c r="E168" s="4">
        <f ca="1"/>
        <v>73.890399994923101</v>
      </c>
      <c r="F168" s="4">
        <f ca="1"/>
        <v>-1021.3672549966022</v>
      </c>
      <c r="G168">
        <f ca="1"/>
        <v>-213777.1199185384</v>
      </c>
      <c r="H168">
        <f ca="1"/>
        <v>1.8490722188053088</v>
      </c>
      <c r="I168">
        <f ca="1"/>
        <v>1.1616915593446752E-2</v>
      </c>
      <c r="J168">
        <f ca="1"/>
        <v>-4.8234096183632216E-3</v>
      </c>
      <c r="K168">
        <f ca="1"/>
        <v>0</v>
      </c>
      <c r="L168">
        <f ca="1"/>
        <v>-0.32778862022054905</v>
      </c>
      <c r="M168">
        <f ca="1"/>
        <v>-11.865137191205934</v>
      </c>
      <c r="N168">
        <f ca="1"/>
        <v>-13.167404721684342</v>
      </c>
      <c r="O168">
        <f ca="1"/>
        <v>0</v>
      </c>
      <c r="P168">
        <f ca="1"/>
        <v>-25.360330533110826</v>
      </c>
      <c r="Q168">
        <f ca="1"/>
        <v>-4474.1286604048473</v>
      </c>
    </row>
    <row r="169" spans="1:17">
      <c r="A169" s="2">
        <f ca="1"/>
        <v>168</v>
      </c>
      <c r="B169" s="2">
        <f ca="1"/>
        <v>0.13220338983050861</v>
      </c>
      <c r="C169" s="7">
        <f ca="1"/>
        <v>4.1750000000000002E-2</v>
      </c>
      <c r="D169" s="4">
        <f ca="1"/>
        <v>1.867512345119382</v>
      </c>
      <c r="E169" s="4">
        <f ca="1"/>
        <v>73.628389731372096</v>
      </c>
      <c r="F169" s="4">
        <f ca="1"/>
        <v>-1074.6658680851481</v>
      </c>
      <c r="G169">
        <f ca="1"/>
        <v>-212601.47208956454</v>
      </c>
      <c r="H169">
        <f ca="1"/>
        <v>1.867512345119382</v>
      </c>
      <c r="I169">
        <f ca="1"/>
        <v>1.1525759556545567E-2</v>
      </c>
      <c r="J169">
        <f ca="1"/>
        <v>-5.0608772860629529E-3</v>
      </c>
      <c r="K169">
        <f ca="1"/>
        <v>0</v>
      </c>
      <c r="L169">
        <f ca="1"/>
        <v>-0.34452776247383116</v>
      </c>
      <c r="M169">
        <f ca="1"/>
        <v>-12.386340399175733</v>
      </c>
      <c r="N169">
        <f ca="1"/>
        <v>-13.717861574504809</v>
      </c>
      <c r="O169">
        <f ca="1"/>
        <v>0</v>
      </c>
      <c r="P169">
        <f ca="1"/>
        <v>-26.448729736154373</v>
      </c>
      <c r="Q169">
        <f ca="1"/>
        <v>-4298.0543173959195</v>
      </c>
    </row>
    <row r="170" spans="1:17">
      <c r="A170" s="2">
        <f ca="1"/>
        <v>169</v>
      </c>
      <c r="B170" s="2">
        <f ca="1"/>
        <v>0.13898305084745766</v>
      </c>
      <c r="C170" s="7">
        <f ca="1"/>
        <v>4.2000000000000003E-2</v>
      </c>
      <c r="D170" s="4">
        <f ca="1"/>
        <v>1.8858853063877747</v>
      </c>
      <c r="E170" s="4">
        <f ca="1"/>
        <v>73.353092198087396</v>
      </c>
      <c r="F170" s="4">
        <f ca="1"/>
        <v>-1127.6628346912578</v>
      </c>
      <c r="G170">
        <f ca="1"/>
        <v>-211363.94805906579</v>
      </c>
      <c r="H170">
        <f ca="1"/>
        <v>1.8858853063877747</v>
      </c>
      <c r="I170">
        <f ca="1"/>
        <v>1.1430545772205277E-2</v>
      </c>
      <c r="J170">
        <f ca="1"/>
        <v>-5.2999993347842556E-3</v>
      </c>
      <c r="K170">
        <f ca="1"/>
        <v>0</v>
      </c>
      <c r="L170">
        <f ca="1"/>
        <v>-0.3607660761049124</v>
      </c>
      <c r="M170">
        <f ca="1"/>
        <v>-12.889801647553176</v>
      </c>
      <c r="N170">
        <f ca="1"/>
        <v>-14.258789968150701</v>
      </c>
      <c r="O170">
        <f ca="1"/>
        <v>0</v>
      </c>
      <c r="P170">
        <f ca="1"/>
        <v>-27.509357691808788</v>
      </c>
      <c r="Q170">
        <f ca="1"/>
        <v>-4130.4995905359083</v>
      </c>
    </row>
    <row r="171" spans="1:17">
      <c r="A171" s="2">
        <f ca="1"/>
        <v>170</v>
      </c>
      <c r="B171" s="2">
        <f ca="1"/>
        <v>0.14576271186440692</v>
      </c>
      <c r="C171" s="7">
        <f ca="1"/>
        <v>4.2250000000000003E-2</v>
      </c>
      <c r="D171" s="4">
        <f ca="1"/>
        <v>1.9041877903806432</v>
      </c>
      <c r="E171" s="4">
        <f ca="1"/>
        <v>73.064584740320882</v>
      </c>
      <c r="F171" s="4">
        <f ca="1"/>
        <v>-1180.3426857645536</v>
      </c>
      <c r="G171">
        <f ca="1"/>
        <v>-210064.547827042</v>
      </c>
      <c r="H171">
        <f ca="1"/>
        <v>1.9041877903806432</v>
      </c>
      <c r="I171">
        <f ca="1"/>
        <v>1.1331413543614036E-2</v>
      </c>
      <c r="J171">
        <f ca="1"/>
        <v>-5.5306570221824941E-3</v>
      </c>
      <c r="K171">
        <f ca="1"/>
        <v>0</v>
      </c>
      <c r="L171">
        <f ca="1"/>
        <v>-0.37650595405840176</v>
      </c>
      <c r="M171">
        <f ca="1"/>
        <v>-13.374951095578229</v>
      </c>
      <c r="N171">
        <f ca="1"/>
        <v>-14.762522481785696</v>
      </c>
      <c r="O171">
        <f ca="1"/>
        <v>0</v>
      </c>
      <c r="P171">
        <f ca="1"/>
        <v>-28.513979531422329</v>
      </c>
      <c r="Q171">
        <f ca="1"/>
        <v>-3926.0573117582676</v>
      </c>
    </row>
    <row r="172" spans="1:17">
      <c r="A172" s="2">
        <f ca="1"/>
        <v>171</v>
      </c>
      <c r="B172" s="2">
        <f ca="1"/>
        <v>0.15254237288135597</v>
      </c>
      <c r="C172" s="7">
        <f ca="1"/>
        <v>4.2500000000000003E-2</v>
      </c>
      <c r="D172" s="4">
        <f ca="1"/>
        <v>1.9224165046878623</v>
      </c>
      <c r="E172" s="4">
        <f ca="1"/>
        <v>72.762948570587056</v>
      </c>
      <c r="F172" s="4">
        <f ca="1"/>
        <v>-1232.6899522546516</v>
      </c>
      <c r="G172">
        <f ca="1"/>
        <v>-208703.27139349337</v>
      </c>
      <c r="H172">
        <f ca="1"/>
        <v>1.9224165046878623</v>
      </c>
      <c r="I172">
        <f ca="1"/>
        <v>1.1228526910490441E-2</v>
      </c>
      <c r="J172">
        <f ca="1"/>
        <v>-5.7567350282243827E-3</v>
      </c>
      <c r="K172">
        <f ca="1"/>
        <v>0</v>
      </c>
      <c r="L172">
        <f ca="1"/>
        <v>-0.39173070410651073</v>
      </c>
      <c r="M172">
        <f ca="1"/>
        <v>-13.841292301182532</v>
      </c>
      <c r="N172">
        <f ca="1"/>
        <v>-15.239363342398878</v>
      </c>
      <c r="O172">
        <f ca="1"/>
        <v>0</v>
      </c>
      <c r="P172">
        <f ca="1"/>
        <v>-29.472386347687923</v>
      </c>
      <c r="Q172">
        <f ca="1"/>
        <v>-3702.8234810730933</v>
      </c>
    </row>
    <row r="173" spans="1:17">
      <c r="A173" s="2">
        <f ca="1"/>
        <v>172</v>
      </c>
      <c r="B173" s="2">
        <f ca="1"/>
        <v>0.15932203389830524</v>
      </c>
      <c r="C173" s="7">
        <f ca="1"/>
        <v>4.2750000000000003E-2</v>
      </c>
      <c r="D173" s="4">
        <f ca="1"/>
        <v>1.9405681776858452</v>
      </c>
      <c r="E173" s="4">
        <f ca="1"/>
        <v>72.448268768663013</v>
      </c>
      <c r="F173" s="4">
        <f ca="1"/>
        <v>-1284.6891651111735</v>
      </c>
      <c r="G173">
        <f ca="1"/>
        <v>-207280.11875841976</v>
      </c>
      <c r="H173">
        <f ca="1"/>
        <v>1.9405681776858452</v>
      </c>
      <c r="I173">
        <f ca="1"/>
        <v>1.1122066981904976E-2</v>
      </c>
      <c r="J173">
        <f ca="1"/>
        <v>-5.9711598313469246E-3</v>
      </c>
      <c r="K173">
        <f ca="1"/>
        <v>0</v>
      </c>
      <c r="L173">
        <f ca="1"/>
        <v>-0.40642482530263618</v>
      </c>
      <c r="M173">
        <f ca="1"/>
        <v>-14.288398945294052</v>
      </c>
      <c r="N173">
        <f ca="1"/>
        <v>-15.670567501362191</v>
      </c>
      <c r="O173">
        <f ca="1"/>
        <v>0</v>
      </c>
      <c r="P173">
        <f ca="1"/>
        <v>-30.365391271958877</v>
      </c>
      <c r="Q173">
        <f ca="1"/>
        <v>-3511.6525578847554</v>
      </c>
    </row>
    <row r="174" spans="1:17">
      <c r="A174" s="2">
        <f ca="1"/>
        <v>173</v>
      </c>
      <c r="B174" s="2">
        <f ca="1"/>
        <v>0.16610169491525428</v>
      </c>
      <c r="C174" s="7">
        <f ca="1"/>
        <v>4.3000000000000003E-2</v>
      </c>
      <c r="D174" s="4">
        <f ca="1"/>
        <v>1.9586395595043555</v>
      </c>
      <c r="E174" s="4">
        <f ca="1"/>
        <v>72.120634281588465</v>
      </c>
      <c r="F174" s="4">
        <f ca="1"/>
        <v>-1336.3248552837345</v>
      </c>
      <c r="G174">
        <f ca="1"/>
        <v>-205795.08992182123</v>
      </c>
      <c r="H174">
        <f ca="1"/>
        <v>1.9586395595043555</v>
      </c>
      <c r="I174">
        <f ca="1"/>
        <v>1.1012198358157864E-2</v>
      </c>
      <c r="J174">
        <f ca="1"/>
        <v>-6.1874910053943315E-3</v>
      </c>
      <c r="K174">
        <f ca="1"/>
        <v>0</v>
      </c>
      <c r="L174">
        <f ca="1"/>
        <v>-0.42057404687031974</v>
      </c>
      <c r="M174">
        <f ca="1"/>
        <v>-14.715874377321086</v>
      </c>
      <c r="N174">
        <f ca="1"/>
        <v>-16.091764202438895</v>
      </c>
      <c r="O174">
        <f ca="1"/>
        <v>0</v>
      </c>
      <c r="P174">
        <f ca="1"/>
        <v>-31.228212626630302</v>
      </c>
      <c r="Q174">
        <f ca="1"/>
        <v>-3313.362631827556</v>
      </c>
    </row>
    <row r="175" spans="1:17">
      <c r="A175" s="2">
        <f ca="1"/>
        <v>174</v>
      </c>
      <c r="B175" s="2">
        <f ca="1"/>
        <v>0.17288135593220355</v>
      </c>
      <c r="C175" s="7">
        <f ca="1"/>
        <v>4.3250000000000004E-2</v>
      </c>
      <c r="D175" s="4">
        <f ca="1"/>
        <v>1.9766274229933263</v>
      </c>
      <c r="E175" s="4">
        <f ca="1"/>
        <v>71.780137923665677</v>
      </c>
      <c r="F175" s="4">
        <f ca="1"/>
        <v>-1387.5815537219571</v>
      </c>
      <c r="G175">
        <f ca="1"/>
        <v>-204248.18488369772</v>
      </c>
      <c r="H175">
        <f ca="1"/>
        <v>1.9766274229933263</v>
      </c>
      <c r="I175">
        <f ca="1"/>
        <v>1.0899076714903835E-2</v>
      </c>
      <c r="J175">
        <f ca="1"/>
        <v>-6.3910360715460461E-3</v>
      </c>
      <c r="K175">
        <f ca="1"/>
        <v>0</v>
      </c>
      <c r="L175">
        <f ca="1"/>
        <v>-0.43416536417951429</v>
      </c>
      <c r="M175">
        <f ca="1"/>
        <v>-15.123357802201067</v>
      </c>
      <c r="N175">
        <f ca="1"/>
        <v>-16.464549421492073</v>
      </c>
      <c r="O175">
        <f ca="1"/>
        <v>0</v>
      </c>
      <c r="P175">
        <f ca="1"/>
        <v>-32.022072587872657</v>
      </c>
      <c r="Q175">
        <f ca="1"/>
        <v>-3075.5384634363568</v>
      </c>
    </row>
    <row r="176" spans="1:17">
      <c r="A176" s="2">
        <f ca="1"/>
        <v>175</v>
      </c>
      <c r="B176" s="2">
        <f ca="1"/>
        <v>0.17966101694915282</v>
      </c>
      <c r="C176" s="7">
        <f ca="1"/>
        <v>4.3500000000000004E-2</v>
      </c>
      <c r="D176" s="4">
        <f ca="1"/>
        <v>1.9945285646896729</v>
      </c>
      <c r="E176" s="4">
        <f ca="1"/>
        <v>71.426876376459532</v>
      </c>
      <c r="F176" s="4">
        <f ca="1"/>
        <v>-1438.4437913754582</v>
      </c>
      <c r="G176">
        <f ca="1"/>
        <v>-202639.40364404928</v>
      </c>
      <c r="H176">
        <f ca="1"/>
        <v>1.9945285646896729</v>
      </c>
      <c r="I176">
        <f ca="1"/>
        <v>1.0782906686078167E-2</v>
      </c>
      <c r="J176">
        <f ca="1"/>
        <v>-6.5891230533420683E-3</v>
      </c>
      <c r="K176">
        <f ca="1"/>
        <v>0</v>
      </c>
      <c r="L176">
        <f ca="1"/>
        <v>-0.44718707140547043</v>
      </c>
      <c r="M176">
        <f ca="1"/>
        <v>-15.510605175570056</v>
      </c>
      <c r="N176">
        <f ca="1"/>
        <v>-16.808189611372953</v>
      </c>
      <c r="O176">
        <f ca="1"/>
        <v>0</v>
      </c>
      <c r="P176">
        <f ca="1"/>
        <v>-32.765981858348482</v>
      </c>
      <c r="Q176">
        <f ca="1"/>
        <v>-2854.0322355318867</v>
      </c>
    </row>
    <row r="177" spans="1:17">
      <c r="A177" s="2">
        <f ca="1"/>
        <v>176</v>
      </c>
      <c r="B177" s="2">
        <f ca="1"/>
        <v>0.18644067796610186</v>
      </c>
      <c r="C177" s="7">
        <f ca="1"/>
        <v>4.3750000000000004E-2</v>
      </c>
      <c r="D177" s="4">
        <f ca="1"/>
        <v>2.0123398057841091</v>
      </c>
      <c r="E177" s="4">
        <f ca="1"/>
        <v>71.060950188797534</v>
      </c>
      <c r="F177" s="4">
        <f ca="1"/>
        <v>-1488.8960991938548</v>
      </c>
      <c r="G177">
        <f ca="1"/>
        <v>-200968.74620287592</v>
      </c>
      <c r="H177">
        <f ca="1"/>
        <v>2.0123398057841091</v>
      </c>
      <c r="I177">
        <f ca="1"/>
        <v>1.0663866940103484E-2</v>
      </c>
      <c r="J177">
        <f ca="1"/>
        <v>-6.7775155666824106E-3</v>
      </c>
      <c r="K177">
        <f ca="1"/>
        <v>0</v>
      </c>
      <c r="L177">
        <f ca="1"/>
        <v>-0.45962879080135993</v>
      </c>
      <c r="M177">
        <f ca="1"/>
        <v>-15.877389889442385</v>
      </c>
      <c r="N177">
        <f ca="1"/>
        <v>-17.112070025394861</v>
      </c>
      <c r="O177">
        <f ca="1"/>
        <v>0</v>
      </c>
      <c r="P177">
        <f ca="1"/>
        <v>-33.449088705638601</v>
      </c>
      <c r="Q177">
        <f ca="1"/>
        <v>-2620.3635895152984</v>
      </c>
    </row>
    <row r="178" spans="1:17">
      <c r="A178" s="2">
        <f ca="1"/>
        <v>177</v>
      </c>
      <c r="B178" s="2">
        <f ca="1"/>
        <v>0.19322033898305091</v>
      </c>
      <c r="C178" s="7">
        <f ca="1"/>
        <v>4.3999999999999997E-2</v>
      </c>
      <c r="D178" s="4">
        <f ca="1"/>
        <v>2.030057993087965</v>
      </c>
      <c r="E178" s="4">
        <f ca="1"/>
        <v>70.682463776769737</v>
      </c>
      <c r="F178" s="4">
        <f ca="1"/>
        <v>-1538.9230081267672</v>
      </c>
      <c r="G178">
        <f ca="1"/>
        <v>-199236.21256017764</v>
      </c>
      <c r="H178">
        <f ca="1"/>
        <v>2.030057993087965</v>
      </c>
      <c r="I178">
        <f ca="1"/>
        <v>1.0542158008711411E-2</v>
      </c>
      <c r="J178">
        <f ca="1"/>
        <v>-6.9579965832619519E-3</v>
      </c>
      <c r="K178">
        <f ca="1"/>
        <v>0</v>
      </c>
      <c r="L178">
        <f ca="1"/>
        <v>-0.4714814981785202</v>
      </c>
      <c r="M178">
        <f ca="1"/>
        <v>-16.223569514913855</v>
      </c>
      <c r="N178">
        <f ca="1"/>
        <v>-17.38111264001374</v>
      </c>
      <c r="O178">
        <f ca="1"/>
        <v>0</v>
      </c>
      <c r="P178">
        <f ca="1"/>
        <v>-34.076163653106114</v>
      </c>
      <c r="Q178">
        <f ca="1"/>
        <v>-2426.1854440731299</v>
      </c>
    </row>
    <row r="179" spans="1:17">
      <c r="A179" s="2">
        <f ca="1"/>
        <v>178</v>
      </c>
      <c r="B179" s="2">
        <f ca="1"/>
        <v>0.19999999999999996</v>
      </c>
      <c r="C179" s="7">
        <f ca="1"/>
        <v>4.4249999999999998E-2</v>
      </c>
      <c r="D179" s="4">
        <f ca="1"/>
        <v>2.0476799999999997</v>
      </c>
      <c r="E179" s="4">
        <f ca="1"/>
        <v>70.291525423728814</v>
      </c>
      <c r="F179" s="4">
        <f ca="1"/>
        <v>-1588.509049123815</v>
      </c>
      <c r="G179">
        <f ca="1"/>
        <v>-197441.80271595443</v>
      </c>
      <c r="H179">
        <f ca="1"/>
        <v>2.0476799999999997</v>
      </c>
      <c r="I179">
        <f ca="1"/>
        <v>1.0417946468952581E-2</v>
      </c>
      <c r="J179">
        <f ca="1"/>
        <v>-7.136532547021914E-3</v>
      </c>
      <c r="K179">
        <f ca="1"/>
        <v>0</v>
      </c>
      <c r="L179">
        <f ca="1"/>
        <v>-0.4827375445169112</v>
      </c>
      <c r="M179">
        <f ca="1"/>
        <v>-16.54900223921867</v>
      </c>
      <c r="N179">
        <f ca="1"/>
        <v>-17.630441643939569</v>
      </c>
      <c r="O179">
        <f ca="1"/>
        <v>0</v>
      </c>
      <c r="P179">
        <f ca="1"/>
        <v>-34.662181427675151</v>
      </c>
      <c r="Q179">
        <f ca="1"/>
        <v>-2203.5546192723368</v>
      </c>
    </row>
    <row r="180" spans="1:17">
      <c r="A180" s="2">
        <f ca="1"/>
        <v>179</v>
      </c>
      <c r="B180" s="2">
        <f ca="1"/>
        <v>0.20677966101694922</v>
      </c>
      <c r="C180" s="7">
        <f ca="1"/>
        <v>4.4499999999999998E-2</v>
      </c>
      <c r="D180" s="4">
        <f ca="1"/>
        <v>2.0652027274732205</v>
      </c>
      <c r="E180" s="4">
        <f ca="1"/>
        <v>69.888247280290017</v>
      </c>
      <c r="F180" s="4">
        <f ca="1"/>
        <v>-1637.6387531346177</v>
      </c>
      <c r="G180">
        <f ca="1"/>
        <v>-195585.51667020621</v>
      </c>
      <c r="H180">
        <f ca="1"/>
        <v>2.0652027274732205</v>
      </c>
      <c r="I180">
        <f ca="1"/>
        <v>1.0291455290434138E-2</v>
      </c>
      <c r="J180">
        <f ca="1"/>
        <v>-7.3011974266658083E-3</v>
      </c>
      <c r="K180">
        <f ca="1"/>
        <v>0</v>
      </c>
      <c r="L180">
        <f ca="1"/>
        <v>-0.49339067338973408</v>
      </c>
      <c r="M180">
        <f ca="1"/>
        <v>-16.853686009767227</v>
      </c>
      <c r="N180">
        <f ca="1"/>
        <v>-17.830864279585324</v>
      </c>
      <c r="O180">
        <f ca="1"/>
        <v>0</v>
      </c>
      <c r="P180">
        <f ca="1"/>
        <v>-35.177940962742284</v>
      </c>
      <c r="Q180">
        <f ca="1"/>
        <v>-1965.5887507997516</v>
      </c>
    </row>
    <row r="181" spans="1:17">
      <c r="A181" s="2">
        <f ca="1"/>
        <v>180</v>
      </c>
      <c r="B181" s="2">
        <f ca="1"/>
        <v>0.21355932203389827</v>
      </c>
      <c r="C181" s="7">
        <f ca="1"/>
        <v>4.4749999999999998E-2</v>
      </c>
      <c r="D181" s="4">
        <f ca="1"/>
        <v>2.0826231049816926</v>
      </c>
      <c r="E181" s="4">
        <f ca="1"/>
        <v>69.472745364331232</v>
      </c>
      <c r="F181" s="4">
        <f ca="1"/>
        <v>-1686.2966511087909</v>
      </c>
      <c r="G181">
        <f ca="1"/>
        <v>-193667.35442293313</v>
      </c>
      <c r="H181">
        <f ca="1"/>
        <v>2.0826231049816926</v>
      </c>
      <c r="I181">
        <f ca="1"/>
        <v>1.0162872275000592E-2</v>
      </c>
      <c r="J181">
        <f ca="1"/>
        <v>-7.460504604091314E-3</v>
      </c>
      <c r="K181">
        <f ca="1"/>
        <v>0</v>
      </c>
      <c r="L181">
        <f ca="1"/>
        <v>-0.50343603402597015</v>
      </c>
      <c r="M181">
        <f ca="1"/>
        <v>-17.137617482979877</v>
      </c>
      <c r="N181">
        <f ca="1"/>
        <v>-18.003922286069184</v>
      </c>
      <c r="O181">
        <f ca="1"/>
        <v>0</v>
      </c>
      <c r="P181">
        <f ca="1"/>
        <v>-35.644975803075027</v>
      </c>
      <c r="Q181">
        <f ca="1"/>
        <v>-1731.9937900208784</v>
      </c>
    </row>
    <row r="182" spans="1:17">
      <c r="A182" s="2">
        <f ca="1"/>
        <v>181</v>
      </c>
      <c r="B182" s="2">
        <f ca="1"/>
        <v>0.22033898305084754</v>
      </c>
      <c r="C182" s="7">
        <f ca="1"/>
        <v>4.4999999999999998E-2</v>
      </c>
      <c r="D182" s="4">
        <f ca="1"/>
        <v>2.099938091487362</v>
      </c>
      <c r="E182" s="4">
        <f ca="1"/>
        <v>69.04513956099288</v>
      </c>
      <c r="F182" s="4">
        <f ca="1"/>
        <v>-1734.4672739959569</v>
      </c>
      <c r="G182">
        <f ca="1"/>
        <v>-191687.31597413504</v>
      </c>
      <c r="H182">
        <f ca="1"/>
        <v>2.099938091487362</v>
      </c>
      <c r="I182">
        <f ca="1"/>
        <v>1.003240870683998E-2</v>
      </c>
      <c r="J182">
        <f ca="1"/>
        <v>-7.6061688460750286E-3</v>
      </c>
      <c r="K182">
        <f ca="1"/>
        <v>0</v>
      </c>
      <c r="L182">
        <f ca="1"/>
        <v>-0.51287018976052479</v>
      </c>
      <c r="M182">
        <f ca="1"/>
        <v>-17.400884581366043</v>
      </c>
      <c r="N182">
        <f ca="1"/>
        <v>-18.130183086626158</v>
      </c>
      <c r="O182">
        <f ca="1"/>
        <v>0</v>
      </c>
      <c r="P182">
        <f ca="1"/>
        <v>-36.043937857752724</v>
      </c>
      <c r="Q182">
        <f ca="1"/>
        <v>-1503.7291973203808</v>
      </c>
    </row>
    <row r="183" spans="1:17">
      <c r="A183" s="2">
        <f ca="1"/>
        <v>182</v>
      </c>
      <c r="B183" s="2">
        <f ca="1"/>
        <v>0.22711864406779658</v>
      </c>
      <c r="C183" s="7">
        <f ca="1"/>
        <v>4.5249999999999999E-2</v>
      </c>
      <c r="D183" s="4">
        <f ca="1"/>
        <v>2.1171446764068653</v>
      </c>
      <c r="E183" s="4">
        <f ca="1"/>
        <v>68.60555362267803</v>
      </c>
      <c r="F183" s="4">
        <f ca="1"/>
        <v>-1782.1351527457314</v>
      </c>
      <c r="G183">
        <f ca="1"/>
        <v>-189645.40132381208</v>
      </c>
      <c r="H183">
        <f ca="1"/>
        <v>2.1171446764068653</v>
      </c>
      <c r="I183">
        <f ca="1"/>
        <v>9.9002698423786249E-3</v>
      </c>
      <c r="J183">
        <f ca="1"/>
        <v>-7.7470181664595324E-3</v>
      </c>
      <c r="K183">
        <f ca="1"/>
        <v>0</v>
      </c>
      <c r="L183">
        <f ca="1"/>
        <v>-0.52169112169604404</v>
      </c>
      <c r="M183">
        <f ca="1"/>
        <v>-17.643618907771387</v>
      </c>
      <c r="N183">
        <f ca="1"/>
        <v>-18.231530372267784</v>
      </c>
      <c r="O183">
        <f ca="1"/>
        <v>0</v>
      </c>
      <c r="P183">
        <f ca="1"/>
        <v>-36.396840401735219</v>
      </c>
      <c r="Q183">
        <f ca="1"/>
        <v>-1324.3379200929428</v>
      </c>
    </row>
    <row r="184" spans="1:17">
      <c r="A184" s="2">
        <f ca="1"/>
        <v>183</v>
      </c>
      <c r="B184" s="2">
        <f ca="1"/>
        <v>0.23389830508474585</v>
      </c>
      <c r="C184" s="7">
        <f ca="1"/>
        <v>4.5499999999999999E-2</v>
      </c>
      <c r="D184" s="4">
        <f ca="1"/>
        <v>2.1342398805783493</v>
      </c>
      <c r="E184" s="4">
        <f ca="1"/>
        <v>68.154115169052332</v>
      </c>
      <c r="F184" s="4">
        <f ca="1"/>
        <v>-1829.284818307736</v>
      </c>
      <c r="G184">
        <f ca="1"/>
        <v>-187541.61047196412</v>
      </c>
      <c r="H184">
        <f ca="1"/>
        <v>2.1342398805783493</v>
      </c>
      <c r="I184">
        <f ca="1"/>
        <v>9.7666380752978576E-3</v>
      </c>
      <c r="J184">
        <f ca="1"/>
        <v>-7.8838799623247059E-3</v>
      </c>
      <c r="K184">
        <f ca="1"/>
        <v>0</v>
      </c>
      <c r="L184">
        <f ca="1"/>
        <v>-0.52989822738979842</v>
      </c>
      <c r="M184">
        <f ca="1"/>
        <v>-17.86596275704866</v>
      </c>
      <c r="N184">
        <f ca="1"/>
        <v>-18.310245833360735</v>
      </c>
      <c r="O184">
        <f ca="1"/>
        <v>0</v>
      </c>
      <c r="P184">
        <f ca="1"/>
        <v>-36.706106817799196</v>
      </c>
      <c r="Q184">
        <f ca="1"/>
        <v>-1097.495357157924</v>
      </c>
    </row>
    <row r="185" spans="1:17">
      <c r="A185" s="2">
        <f ca="1"/>
        <v>184</v>
      </c>
      <c r="B185" s="2">
        <f ca="1"/>
        <v>0.2406779661016949</v>
      </c>
      <c r="C185" s="7">
        <f ca="1"/>
        <v>4.5749999999999999E-2</v>
      </c>
      <c r="D185" s="4">
        <f ca="1"/>
        <v>2.151220757228284</v>
      </c>
      <c r="E185" s="4">
        <f ca="1"/>
        <v>67.69095568704401</v>
      </c>
      <c r="F185" s="4">
        <f ca="1"/>
        <v>-1875.9008016315868</v>
      </c>
      <c r="G185">
        <f ca="1"/>
        <v>-185375.94341859125</v>
      </c>
      <c r="H185">
        <f ca="1"/>
        <v>2.151220757228284</v>
      </c>
      <c r="I185">
        <f ca="1"/>
        <v>9.6317393123488571E-3</v>
      </c>
      <c r="J185">
        <f ca="1"/>
        <v>-8.0050834461182236E-3</v>
      </c>
      <c r="K185">
        <f ca="1"/>
        <v>0</v>
      </c>
      <c r="L185">
        <f ca="1"/>
        <v>-0.53749231437755174</v>
      </c>
      <c r="M185">
        <f ca="1"/>
        <v>-18.06818749714169</v>
      </c>
      <c r="N185">
        <f ca="1"/>
        <v>-18.33990826879494</v>
      </c>
      <c r="O185">
        <f ca="1"/>
        <v>0</v>
      </c>
      <c r="P185">
        <f ca="1"/>
        <v>-36.945588080314181</v>
      </c>
      <c r="Q185">
        <f ca="1"/>
        <v>-862.54525912795464</v>
      </c>
    </row>
    <row r="186" spans="1:17">
      <c r="A186" s="2">
        <f ca="1"/>
        <v>185</v>
      </c>
      <c r="B186" s="2">
        <f ca="1"/>
        <v>0.24745762711864416</v>
      </c>
      <c r="C186" s="7">
        <f ca="1"/>
        <v>4.5999999999999999E-2</v>
      </c>
      <c r="D186" s="4">
        <f ca="1"/>
        <v>2.1680843929382796</v>
      </c>
      <c r="E186" s="4">
        <f ca="1"/>
        <v>67.21621053084391</v>
      </c>
      <c r="F186" s="4">
        <f ca="1"/>
        <v>-1921.9676336669047</v>
      </c>
      <c r="G186">
        <f ca="1"/>
        <v>-183148.40016369341</v>
      </c>
      <c r="H186">
        <f ca="1"/>
        <v>2.1680843929382796</v>
      </c>
      <c r="I186">
        <f ca="1"/>
        <v>9.4957766022256886E-3</v>
      </c>
      <c r="J186">
        <f ca="1"/>
        <v>-8.1196332919248066E-3</v>
      </c>
      <c r="K186">
        <f ca="1"/>
        <v>0</v>
      </c>
      <c r="L186">
        <f ca="1"/>
        <v>-0.54447558837728716</v>
      </c>
      <c r="M186">
        <f ca="1"/>
        <v>-18.250575286009269</v>
      </c>
      <c r="N186">
        <f ca="1"/>
        <v>-18.342328572976619</v>
      </c>
      <c r="O186">
        <f ca="1"/>
        <v>0</v>
      </c>
      <c r="P186">
        <f ca="1"/>
        <v>-37.137379447363173</v>
      </c>
      <c r="Q186">
        <f ca="1"/>
        <v>-656.93228924322909</v>
      </c>
    </row>
    <row r="187" spans="1:17">
      <c r="A187" s="2">
        <f ca="1"/>
        <v>186</v>
      </c>
      <c r="B187" s="2">
        <f ca="1"/>
        <v>0.25423728813559321</v>
      </c>
      <c r="C187" s="7">
        <f ca="1"/>
        <v>4.6249999999999999E-2</v>
      </c>
      <c r="D187" s="4">
        <f ca="1"/>
        <v>2.1848279086119016</v>
      </c>
      <c r="E187" s="4">
        <f ca="1"/>
        <v>66.730018921905469</v>
      </c>
      <c r="F187" s="4">
        <f ca="1"/>
        <v>-1967.4698453633059</v>
      </c>
      <c r="G187">
        <f ca="1"/>
        <v>-180858.98070727068</v>
      </c>
      <c r="H187">
        <f ca="1"/>
        <v>2.1848279086119016</v>
      </c>
      <c r="I187">
        <f ca="1"/>
        <v>9.3589477095006052E-3</v>
      </c>
      <c r="J187">
        <f ca="1"/>
        <v>-8.2237526091582993E-3</v>
      </c>
      <c r="K187">
        <f ca="1"/>
        <v>0</v>
      </c>
      <c r="L187">
        <f ca="1"/>
        <v>-0.5508516360279575</v>
      </c>
      <c r="M187">
        <f ca="1"/>
        <v>-18.413447402774423</v>
      </c>
      <c r="N187">
        <f ca="1"/>
        <v>-18.309755186133412</v>
      </c>
      <c r="O187">
        <f ca="1"/>
        <v>0</v>
      </c>
      <c r="P187">
        <f ca="1"/>
        <v>-37.274054224935796</v>
      </c>
      <c r="Q187">
        <f ca="1"/>
        <v>-440.57359146188406</v>
      </c>
    </row>
    <row r="188" spans="1:17">
      <c r="A188" s="2">
        <f ca="1"/>
        <v>187</v>
      </c>
      <c r="B188" s="2">
        <f ca="1"/>
        <v>0.26101694915254248</v>
      </c>
      <c r="C188" s="7">
        <f ca="1"/>
        <v>4.65E-2</v>
      </c>
      <c r="D188" s="4">
        <f ca="1"/>
        <v>2.2014484604414881</v>
      </c>
      <c r="E188" s="4">
        <f ca="1"/>
        <v>66.232523948944689</v>
      </c>
      <c r="F188" s="4">
        <f ca="1"/>
        <v>-2012.3919676704131</v>
      </c>
      <c r="G188">
        <f ca="1"/>
        <v>-178507.68504932296</v>
      </c>
      <c r="H188">
        <f ca="1"/>
        <v>2.2014484604414881</v>
      </c>
      <c r="I188">
        <f ca="1"/>
        <v>9.2214631338448528E-3</v>
      </c>
      <c r="J188">
        <f ca="1"/>
        <v>-8.3177085659769164E-3</v>
      </c>
      <c r="K188">
        <f ca="1"/>
        <v>0</v>
      </c>
      <c r="L188">
        <f ca="1"/>
        <v>-0.55662540212736633</v>
      </c>
      <c r="M188">
        <f ca="1"/>
        <v>-18.557198340718216</v>
      </c>
      <c r="N188">
        <f ca="1"/>
        <v>-18.243842500248537</v>
      </c>
      <c r="O188">
        <f ca="1"/>
        <v>0</v>
      </c>
      <c r="P188">
        <f ca="1"/>
        <v>-37.357666243094116</v>
      </c>
      <c r="Q188">
        <f ca="1"/>
        <v>-235.48850810638535</v>
      </c>
    </row>
    <row r="189" spans="1:17">
      <c r="A189" s="2">
        <f ca="1"/>
        <v>188</v>
      </c>
      <c r="B189" s="2">
        <f ca="1"/>
        <v>0.26779661016949152</v>
      </c>
      <c r="C189" s="7">
        <f ca="1"/>
        <v>4.675E-2</v>
      </c>
      <c r="D189" s="4">
        <f ca="1"/>
        <v>2.2179432408749618</v>
      </c>
      <c r="E189" s="4">
        <f ca="1"/>
        <v>65.723872567940234</v>
      </c>
      <c r="F189" s="4">
        <f ca="1"/>
        <v>-2056.7185315378406</v>
      </c>
      <c r="G189">
        <f ca="1"/>
        <v>-176094.51318985035</v>
      </c>
      <c r="H189">
        <f ca="1"/>
        <v>2.2179432408749618</v>
      </c>
      <c r="I189">
        <f ca="1"/>
        <v>9.0835303136628485E-3</v>
      </c>
      <c r="J189">
        <f ca="1"/>
        <v>-8.402451601975211E-3</v>
      </c>
      <c r="K189">
        <f ca="1"/>
        <v>0</v>
      </c>
      <c r="L189">
        <f ca="1"/>
        <v>-0.56180316115606188</v>
      </c>
      <c r="M189">
        <f ca="1"/>
        <v>-18.682265127896116</v>
      </c>
      <c r="N189">
        <f ca="1"/>
        <v>-18.147730189936809</v>
      </c>
      <c r="O189">
        <f ca="1"/>
        <v>0</v>
      </c>
      <c r="P189">
        <f ca="1"/>
        <v>-37.391798478988989</v>
      </c>
      <c r="Q189">
        <f ca="1"/>
        <v>-63.139234448868763</v>
      </c>
    </row>
    <row r="190" spans="1:17">
      <c r="A190" s="2">
        <f ca="1"/>
        <v>189</v>
      </c>
      <c r="B190" s="2">
        <f ca="1"/>
        <v>0.27457627118644079</v>
      </c>
      <c r="C190" s="7">
        <f ca="1"/>
        <v>4.7E-2</v>
      </c>
      <c r="D190" s="4">
        <f ca="1"/>
        <v>2.2343094795826492</v>
      </c>
      <c r="E190" s="4">
        <f ca="1"/>
        <v>65.204215602133289</v>
      </c>
      <c r="F190" s="4">
        <f ca="1"/>
        <v>-2100.434067915211</v>
      </c>
      <c r="G190">
        <f ca="1"/>
        <v>-173619.46512885272</v>
      </c>
      <c r="H190">
        <f ca="1"/>
        <v>2.2343094795826492</v>
      </c>
      <c r="I190">
        <f ca="1"/>
        <v>8.9453340105462437E-3</v>
      </c>
      <c r="J190">
        <f ca="1"/>
        <v>-8.4833016391556507E-3</v>
      </c>
      <c r="K190">
        <f ca="1"/>
        <v>0</v>
      </c>
      <c r="L190">
        <f ca="1"/>
        <v>-0.56639248321226676</v>
      </c>
      <c r="M190">
        <f ca="1"/>
        <v>-18.789084304631935</v>
      </c>
      <c r="N190">
        <f ca="1"/>
        <v>-18.03375907247435</v>
      </c>
      <c r="O190">
        <f ca="1"/>
        <v>0</v>
      </c>
      <c r="P190">
        <f ca="1"/>
        <v>-37.38923586031855</v>
      </c>
      <c r="Q190">
        <f ca="1"/>
        <v>121.11840211539959</v>
      </c>
    </row>
    <row r="191" spans="1:17">
      <c r="A191" s="2">
        <f ca="1"/>
        <v>190</v>
      </c>
      <c r="B191" s="2">
        <f ca="1"/>
        <v>0.28135593220338984</v>
      </c>
      <c r="C191" s="7">
        <f ca="1"/>
        <v>4.725E-2</v>
      </c>
      <c r="D191" s="4">
        <f ca="1"/>
        <v>2.2505444444240941</v>
      </c>
      <c r="E191" s="4">
        <f ca="1"/>
        <v>64.673707742027673</v>
      </c>
      <c r="F191" s="4">
        <f ca="1"/>
        <v>-2143.5231077521398</v>
      </c>
      <c r="G191">
        <f ca="1"/>
        <v>-171082.54086633024</v>
      </c>
      <c r="H191">
        <f ca="1"/>
        <v>2.2505444444240941</v>
      </c>
      <c r="I191">
        <f ca="1"/>
        <v>8.8070719695512601E-3</v>
      </c>
      <c r="J191">
        <f ca="1"/>
        <v>-8.5508202725788698E-3</v>
      </c>
      <c r="K191">
        <f ca="1"/>
        <v>0</v>
      </c>
      <c r="L191">
        <f ca="1"/>
        <v>-0.5703683047241126</v>
      </c>
      <c r="M191">
        <f ca="1"/>
        <v>-18.878162278369278</v>
      </c>
      <c r="N191">
        <f ca="1"/>
        <v>-17.882708694837895</v>
      </c>
      <c r="O191">
        <f ca="1"/>
        <v>0</v>
      </c>
      <c r="P191">
        <f ca="1"/>
        <v>-37.331239277931289</v>
      </c>
      <c r="Q191">
        <f ca="1"/>
        <v>328.69180527040925</v>
      </c>
    </row>
    <row r="192" spans="1:17">
      <c r="A192" s="2">
        <f ca="1"/>
        <v>191</v>
      </c>
      <c r="B192" s="2">
        <f ca="1"/>
        <v>0.2881355932203391</v>
      </c>
      <c r="C192" s="7">
        <f ca="1"/>
        <v>4.7500000000000001E-2</v>
      </c>
      <c r="D192" s="4">
        <f ca="1"/>
        <v>2.2666454424148763</v>
      </c>
      <c r="E192" s="4">
        <f ca="1"/>
        <v>64.132507545389771</v>
      </c>
      <c r="F192" s="4">
        <f ca="1"/>
        <v>-2185.9701819982492</v>
      </c>
      <c r="G192">
        <f ca="1"/>
        <v>-168483.74040228274</v>
      </c>
      <c r="H192">
        <f ca="1"/>
        <v>2.2666454424148763</v>
      </c>
      <c r="I192">
        <f ca="1"/>
        <v>8.6689411279469962E-3</v>
      </c>
      <c r="J192">
        <f ca="1"/>
        <v>-8.6074285927825282E-3</v>
      </c>
      <c r="K192">
        <f ca="1"/>
        <v>0</v>
      </c>
      <c r="L192">
        <f ca="1"/>
        <v>-0.57375866774792983</v>
      </c>
      <c r="M192">
        <f ca="1"/>
        <v>-18.950046815190404</v>
      </c>
      <c r="N192">
        <f ca="1"/>
        <v>-17.701084474745006</v>
      </c>
      <c r="O192">
        <f ca="1"/>
        <v>0</v>
      </c>
      <c r="P192">
        <f ca="1"/>
        <v>-37.224889957683345</v>
      </c>
      <c r="Q192">
        <f ca="1"/>
        <v>505.83030181984111</v>
      </c>
    </row>
    <row r="193" spans="1:17">
      <c r="A193" s="2">
        <f ca="1"/>
        <v>192</v>
      </c>
      <c r="B193" s="2">
        <f ca="1"/>
        <v>0.29491525423728815</v>
      </c>
      <c r="C193" s="7">
        <f ca="1"/>
        <v>4.7750000000000001E-2</v>
      </c>
      <c r="D193" s="4">
        <f ca="1"/>
        <v>2.2826098206934216</v>
      </c>
      <c r="E193" s="4">
        <f ca="1"/>
        <v>63.580777437248642</v>
      </c>
      <c r="F193" s="4">
        <f ca="1"/>
        <v>-2227.7598216031547</v>
      </c>
      <c r="G193">
        <f ca="1"/>
        <v>-165823.06373671041</v>
      </c>
      <c r="H193">
        <f ca="1"/>
        <v>2.2826098206934216</v>
      </c>
      <c r="I193">
        <f ca="1"/>
        <v>8.5311346307722653E-3</v>
      </c>
      <c r="J193">
        <f ca="1"/>
        <v>-8.6562047882078382E-3</v>
      </c>
      <c r="K193">
        <f ca="1"/>
        <v>0</v>
      </c>
      <c r="L193">
        <f ca="1"/>
        <v>-0.57658519094810445</v>
      </c>
      <c r="M193">
        <f ca="1"/>
        <v>-19.005318963121717</v>
      </c>
      <c r="N193">
        <f ca="1"/>
        <v>-17.496419972951546</v>
      </c>
      <c r="O193">
        <f ca="1"/>
        <v>0</v>
      </c>
      <c r="P193">
        <f ca="1"/>
        <v>-37.078324127021368</v>
      </c>
      <c r="Q193">
        <f ca="1"/>
        <v>669.09636497324186</v>
      </c>
    </row>
    <row r="194" spans="1:17">
      <c r="A194" s="2">
        <f ca="1"/>
        <v>193</v>
      </c>
      <c r="B194" s="2">
        <f ca="1"/>
        <v>0.30169491525423742</v>
      </c>
      <c r="C194" s="7">
        <f ca="1"/>
        <v>4.8000000000000001E-2</v>
      </c>
      <c r="D194" s="4">
        <f ca="1"/>
        <v>2.2984349674878239</v>
      </c>
      <c r="E194" s="4">
        <f ca="1"/>
        <v>63.018683709895832</v>
      </c>
      <c r="F194" s="4">
        <f ca="1"/>
        <v>-2268.8765575164771</v>
      </c>
      <c r="G194">
        <f ca="1"/>
        <v>-163100.51086961303</v>
      </c>
      <c r="H194">
        <f ca="1"/>
        <v>2.2984349674878239</v>
      </c>
      <c r="I194">
        <f ca="1"/>
        <v>8.393832216689108E-3</v>
      </c>
      <c r="J194">
        <f ca="1"/>
        <v>-8.6957295911501489E-3</v>
      </c>
      <c r="K194">
        <f ca="1"/>
        <v>0</v>
      </c>
      <c r="L194">
        <f ca="1"/>
        <v>-0.57886022482185073</v>
      </c>
      <c r="M194">
        <f ca="1"/>
        <v>-19.044569144172485</v>
      </c>
      <c r="N194">
        <f ca="1"/>
        <v>-17.266912406202387</v>
      </c>
      <c r="O194">
        <f ca="1"/>
        <v>0</v>
      </c>
      <c r="P194">
        <f ca="1"/>
        <v>-36.890341775196724</v>
      </c>
      <c r="Q194">
        <f ca="1"/>
        <v>829.09311523063354</v>
      </c>
    </row>
    <row r="195" spans="1:17">
      <c r="A195" s="2">
        <f ca="1"/>
        <v>194</v>
      </c>
      <c r="B195" s="2">
        <f ca="1"/>
        <v>0.30847457627118646</v>
      </c>
      <c r="C195" s="7">
        <f ca="1"/>
        <v>4.8250000000000001E-2</v>
      </c>
      <c r="D195" s="4">
        <f ca="1"/>
        <v>2.3141183130826555</v>
      </c>
      <c r="E195" s="4">
        <f ca="1"/>
        <v>62.446396522885564</v>
      </c>
      <c r="F195" s="4">
        <f ca="1"/>
        <v>-2309.3049206878341</v>
      </c>
      <c r="G195">
        <f ca="1"/>
        <v>-160316.08180099083</v>
      </c>
      <c r="H195">
        <f ca="1"/>
        <v>2.3141183130826555</v>
      </c>
      <c r="I195">
        <f ca="1"/>
        <v>8.2572105979964432E-3</v>
      </c>
      <c r="J195">
        <f ca="1"/>
        <v>-8.7265210894557146E-3</v>
      </c>
      <c r="K195">
        <f ca="1"/>
        <v>0</v>
      </c>
      <c r="L195">
        <f ca="1"/>
        <v>-0.58059720644868407</v>
      </c>
      <c r="M195">
        <f ca="1"/>
        <v>-19.068417065108918</v>
      </c>
      <c r="N195">
        <f ca="1"/>
        <v>-17.014763297848447</v>
      </c>
      <c r="O195">
        <f ca="1"/>
        <v>0</v>
      </c>
      <c r="P195">
        <f ca="1"/>
        <v>-36.663777569406051</v>
      </c>
      <c r="Q195">
        <f ca="1"/>
        <v>984.96501780512256</v>
      </c>
    </row>
    <row r="196" spans="1:17">
      <c r="A196" s="2">
        <f ca="1"/>
        <v>195</v>
      </c>
      <c r="B196" s="2">
        <f ca="1"/>
        <v>0.31525423728813573</v>
      </c>
      <c r="C196" s="7">
        <f ca="1"/>
        <v>4.8500000000000001E-2</v>
      </c>
      <c r="D196" s="4">
        <f ca="1"/>
        <v>2.3296573307857873</v>
      </c>
      <c r="E196" s="4">
        <f ca="1"/>
        <v>61.864089903034603</v>
      </c>
      <c r="F196" s="4">
        <f ca="1"/>
        <v>-2349.0294420668456</v>
      </c>
      <c r="G196">
        <f ca="1"/>
        <v>-157469.77653084355</v>
      </c>
      <c r="H196">
        <f ca="1"/>
        <v>2.3296573307857873</v>
      </c>
      <c r="I196">
        <f ca="1"/>
        <v>8.1214473677297758E-3</v>
      </c>
      <c r="J196">
        <f ca="1"/>
        <v>-8.7472199310848816E-3</v>
      </c>
      <c r="K196">
        <f ca="1"/>
        <v>0</v>
      </c>
      <c r="L196">
        <f ca="1"/>
        <v>-0.58181059393954559</v>
      </c>
      <c r="M196">
        <f ca="1"/>
        <v>-19.077518978993528</v>
      </c>
      <c r="N196">
        <f ca="1"/>
        <v>-16.738529693361087</v>
      </c>
      <c r="O196">
        <f ca="1"/>
        <v>0</v>
      </c>
      <c r="P196">
        <f ca="1"/>
        <v>-36.397859266294162</v>
      </c>
      <c r="Q196">
        <f ca="1"/>
        <v>1132.6487349936363</v>
      </c>
    </row>
    <row r="197" spans="1:17">
      <c r="A197" s="2">
        <f ca="1"/>
        <v>196</v>
      </c>
      <c r="B197" s="2">
        <f ca="1"/>
        <v>0.32203389830508478</v>
      </c>
      <c r="C197" s="7">
        <f ca="1"/>
        <v>4.8750000000000002E-2</v>
      </c>
      <c r="D197" s="4">
        <f ca="1"/>
        <v>2.3450495378952003</v>
      </c>
      <c r="E197" s="4">
        <f ca="1"/>
        <v>61.271941744422364</v>
      </c>
      <c r="F197" s="4">
        <f ca="1"/>
        <v>-2388.0346526031285</v>
      </c>
      <c r="G197">
        <f ca="1"/>
        <v>-154561.59505917144</v>
      </c>
      <c r="H197">
        <f ca="1"/>
        <v>2.3450495378952003</v>
      </c>
      <c r="I197">
        <f ca="1"/>
        <v>7.9867111074676048E-3</v>
      </c>
      <c r="J197">
        <f ca="1"/>
        <v>-8.7593478430232838E-3</v>
      </c>
      <c r="K197">
        <f ca="1"/>
        <v>0</v>
      </c>
      <c r="L197">
        <f ca="1"/>
        <v>-0.58251579570911427</v>
      </c>
      <c r="M197">
        <f ca="1"/>
        <v>-19.072542884962949</v>
      </c>
      <c r="N197">
        <f ca="1"/>
        <v>-16.442394521237169</v>
      </c>
      <c r="O197">
        <f ca="1"/>
        <v>0</v>
      </c>
      <c r="P197">
        <f ca="1"/>
        <v>-36.097453201909232</v>
      </c>
      <c r="Q197">
        <f ca="1"/>
        <v>1270.9921778802868</v>
      </c>
    </row>
    <row r="198" spans="1:17">
      <c r="A198" s="2">
        <f ca="1"/>
        <v>197</v>
      </c>
      <c r="B198" s="2">
        <f ca="1"/>
        <v>0.32881355932203404</v>
      </c>
      <c r="C198" s="7">
        <f ca="1"/>
        <v>4.9000000000000002E-2</v>
      </c>
      <c r="D198" s="4">
        <f ca="1"/>
        <v>2.3602924966658048</v>
      </c>
      <c r="E198" s="4">
        <f ca="1"/>
        <v>60.670133808390801</v>
      </c>
      <c r="F198" s="4">
        <f ca="1"/>
        <v>-2426.3050832463041</v>
      </c>
      <c r="G198">
        <f ca="1"/>
        <v>-151591.53738597428</v>
      </c>
      <c r="H198">
        <f ca="1"/>
        <v>2.3602924966658048</v>
      </c>
      <c r="I198">
        <f ca="1"/>
        <v>7.8531608920614799E-3</v>
      </c>
      <c r="J198">
        <f ca="1"/>
        <v>-8.7617825122039989E-3</v>
      </c>
      <c r="K198">
        <f ca="1"/>
        <v>0</v>
      </c>
      <c r="L198">
        <f ca="1"/>
        <v>-0.58272909476394608</v>
      </c>
      <c r="M198">
        <f ca="1"/>
        <v>-19.054164191959849</v>
      </c>
      <c r="N198">
        <f ca="1"/>
        <v>-16.125469890630225</v>
      </c>
      <c r="O198">
        <f ca="1"/>
        <v>0</v>
      </c>
      <c r="P198">
        <f ca="1"/>
        <v>-35.762363177354018</v>
      </c>
      <c r="Q198">
        <f ca="1"/>
        <v>1396.4353424363185</v>
      </c>
    </row>
    <row r="199" spans="1:17">
      <c r="A199" s="2">
        <f ca="1"/>
        <v>198</v>
      </c>
      <c r="B199" s="2">
        <f ca="1"/>
        <v>0.33559322033898309</v>
      </c>
      <c r="C199" s="7">
        <f ca="1"/>
        <v>4.9250000000000002E-2</v>
      </c>
      <c r="D199" s="4">
        <f ca="1"/>
        <v>2.3753838152762521</v>
      </c>
      <c r="E199" s="4">
        <f ca="1"/>
        <v>60.058851723544507</v>
      </c>
      <c r="F199" s="4">
        <f ca="1"/>
        <v>-2463.8252649459891</v>
      </c>
      <c r="G199">
        <f ca="1"/>
        <v>-148559.60351125229</v>
      </c>
      <c r="H199">
        <f ca="1"/>
        <v>2.3753838152762521</v>
      </c>
      <c r="I199">
        <f ca="1"/>
        <v>7.7209508301169672E-3</v>
      </c>
      <c r="J199">
        <f ca="1"/>
        <v>-8.7570871623192867E-3</v>
      </c>
      <c r="K199">
        <f ca="1"/>
        <v>0</v>
      </c>
      <c r="L199">
        <f ca="1"/>
        <v>-0.58246756830779667</v>
      </c>
      <c r="M199">
        <f ca="1"/>
        <v>-19.02307372464789</v>
      </c>
      <c r="N199">
        <f ca="1"/>
        <v>-15.793694237735384</v>
      </c>
      <c r="O199">
        <f ca="1"/>
        <v>0</v>
      </c>
      <c r="P199">
        <f ca="1"/>
        <v>-35.399235530691072</v>
      </c>
      <c r="Q199">
        <f ca="1"/>
        <v>1513.9682714514024</v>
      </c>
    </row>
    <row r="200" spans="1:17">
      <c r="A200" s="2">
        <f ca="1"/>
        <v>199</v>
      </c>
      <c r="B200" s="2">
        <f ca="1"/>
        <v>0.34237288135593236</v>
      </c>
      <c r="C200" s="7">
        <f ca="1"/>
        <v>4.9500000000000002E-2</v>
      </c>
      <c r="D200" s="4">
        <f ca="1"/>
        <v>2.3903211487957554</v>
      </c>
      <c r="E200" s="4">
        <f ca="1"/>
        <v>59.438284985750627</v>
      </c>
      <c r="F200" s="4">
        <f ca="1"/>
        <v>-2500.5797286518032</v>
      </c>
      <c r="G200">
        <f ca="1"/>
        <v>-145465.7934350053</v>
      </c>
      <c r="H200">
        <f ca="1"/>
        <v>2.3903211487957554</v>
      </c>
      <c r="I200">
        <f ca="1"/>
        <v>7.5902313215798585E-3</v>
      </c>
      <c r="J200">
        <f ca="1"/>
        <v>-8.7427539280819418E-3</v>
      </c>
      <c r="K200">
        <f ca="1"/>
        <v>0</v>
      </c>
      <c r="L200">
        <f ca="1"/>
        <v>-0.58172028811373877</v>
      </c>
      <c r="M200">
        <f ca="1"/>
        <v>-18.97997857852058</v>
      </c>
      <c r="N200">
        <f ca="1"/>
        <v>-15.443680174993995</v>
      </c>
      <c r="O200">
        <f ca="1"/>
        <v>0</v>
      </c>
      <c r="P200">
        <f ca="1"/>
        <v>-35.005379041628316</v>
      </c>
      <c r="Q200">
        <f ca="1"/>
        <v>1627.6789255139463</v>
      </c>
    </row>
    <row r="201" spans="1:17">
      <c r="A201" s="2">
        <f ca="1"/>
        <v>200</v>
      </c>
      <c r="B201" s="2">
        <f ca="1"/>
        <v>0.3491525423728814</v>
      </c>
      <c r="C201" s="7">
        <f ca="1"/>
        <v>4.9750000000000003E-2</v>
      </c>
      <c r="D201" s="4">
        <f ca="1"/>
        <v>2.4051022001509006</v>
      </c>
      <c r="E201" s="4">
        <f ca="1"/>
        <v>58.808626958138966</v>
      </c>
      <c r="F201" s="4">
        <f ca="1"/>
        <v>-2536.5530053133643</v>
      </c>
      <c r="G201">
        <f ca="1"/>
        <v>-142310.10715723343</v>
      </c>
      <c r="H201">
        <f ca="1"/>
        <v>2.4051022001509006</v>
      </c>
      <c r="I201">
        <f ca="1"/>
        <v>7.4611389872444528E-3</v>
      </c>
      <c r="J201">
        <f ca="1"/>
        <v>-8.7202857518679164E-3</v>
      </c>
      <c r="K201">
        <f ca="1"/>
        <v>0</v>
      </c>
      <c r="L201">
        <f ca="1"/>
        <v>-0.58046534034801778</v>
      </c>
      <c r="M201">
        <f ca="1"/>
        <v>-18.925574521155628</v>
      </c>
      <c r="N201">
        <f ca="1"/>
        <v>-15.079356206430454</v>
      </c>
      <c r="O201">
        <f ca="1"/>
        <v>0</v>
      </c>
      <c r="P201">
        <f ca="1"/>
        <v>-34.585396067934099</v>
      </c>
      <c r="Q201">
        <f ca="1"/>
        <v>1722.4027927441184</v>
      </c>
    </row>
    <row r="202" spans="1:17">
      <c r="A202" s="2">
        <f ca="1"/>
        <v>201</v>
      </c>
      <c r="B202" s="2">
        <f ca="1"/>
        <v>0.35593220338983067</v>
      </c>
      <c r="C202" s="7">
        <f ca="1"/>
        <v>0.05</v>
      </c>
      <c r="D202" s="4">
        <f ca="1"/>
        <v>2.4197247210924639</v>
      </c>
      <c r="E202" s="4">
        <f ca="1"/>
        <v>58.170074871101825</v>
      </c>
      <c r="F202" s="4">
        <f ca="1"/>
        <v>-2571.729625880293</v>
      </c>
      <c r="G202">
        <f ca="1"/>
        <v>-139092.54467793653</v>
      </c>
      <c r="H202">
        <f ca="1"/>
        <v>2.4197247210924639</v>
      </c>
      <c r="I202">
        <f ca="1"/>
        <v>7.3338074059969161E-3</v>
      </c>
      <c r="J202">
        <f ca="1"/>
        <v>-8.6914154789950061E-3</v>
      </c>
      <c r="K202">
        <f ca="1"/>
        <v>0</v>
      </c>
      <c r="L202">
        <f ca="1"/>
        <v>-0.57878623217857339</v>
      </c>
      <c r="M202">
        <f ca="1"/>
        <v>-18.860569776502572</v>
      </c>
      <c r="N202">
        <f ca="1"/>
        <v>-14.70482163657511</v>
      </c>
      <c r="O202">
        <f ca="1"/>
        <v>0</v>
      </c>
      <c r="P202">
        <f ca="1"/>
        <v>-34.144177645256256</v>
      </c>
      <c r="Q202">
        <f ca="1"/>
        <v>1811.9292179179054</v>
      </c>
    </row>
    <row r="203" spans="1:17">
      <c r="A203" s="2">
        <f ca="1"/>
        <v>202</v>
      </c>
      <c r="B203" s="2">
        <f ca="1"/>
        <v>0.36271186440677972</v>
      </c>
      <c r="C203" s="7">
        <f ca="1"/>
        <v>5.0250000000000003E-2</v>
      </c>
      <c r="D203" s="4">
        <f ca="1"/>
        <v>2.4341865131622278</v>
      </c>
      <c r="E203" s="4">
        <f ca="1"/>
        <v>57.522829822294227</v>
      </c>
      <c r="F203" s="4">
        <f ca="1"/>
        <v>-2606.0941213022056</v>
      </c>
      <c r="G203">
        <f ca="1"/>
        <v>-135813.10599711479</v>
      </c>
      <c r="H203">
        <f ca="1"/>
        <v>2.4341865131622278</v>
      </c>
      <c r="I203">
        <f ca="1"/>
        <v>7.2083621523913385E-3</v>
      </c>
      <c r="J203">
        <f ca="1"/>
        <v>-8.6537293192572654E-3</v>
      </c>
      <c r="K203">
        <f ca="1"/>
        <v>0</v>
      </c>
      <c r="L203">
        <f ca="1"/>
        <v>-0.57670281495223097</v>
      </c>
      <c r="M203">
        <f ca="1"/>
        <v>-18.785670229564381</v>
      </c>
      <c r="N203">
        <f ca="1"/>
        <v>-14.317058414458536</v>
      </c>
      <c r="O203">
        <f ca="1"/>
        <v>0</v>
      </c>
      <c r="P203">
        <f ca="1"/>
        <v>-33.679431458975145</v>
      </c>
      <c r="Q203">
        <f ca="1"/>
        <v>1897.7648643463408</v>
      </c>
    </row>
    <row r="204" spans="1:17">
      <c r="A204" s="2">
        <f ca="1"/>
        <v>203</v>
      </c>
      <c r="B204" s="2">
        <f ca="1"/>
        <v>0.36949152542372898</v>
      </c>
      <c r="C204" s="7">
        <f ca="1"/>
        <v>5.0500000000000003E-2</v>
      </c>
      <c r="D204" s="4">
        <f ca="1"/>
        <v>2.4484854286597977</v>
      </c>
      <c r="E204" s="4">
        <f ca="1"/>
        <v>56.867096776633673</v>
      </c>
      <c r="F204" s="4">
        <f ca="1"/>
        <v>-2639.6310225287234</v>
      </c>
      <c r="G204">
        <f ca="1"/>
        <v>-132471.79111476801</v>
      </c>
      <c r="H204">
        <f ca="1"/>
        <v>2.4484854286597977</v>
      </c>
      <c r="I204">
        <f ca="1"/>
        <v>7.0849178349039806E-3</v>
      </c>
      <c r="J204">
        <f ca="1"/>
        <v>-8.6085743685690407E-3</v>
      </c>
      <c r="K204">
        <f ca="1"/>
        <v>0</v>
      </c>
      <c r="L204">
        <f ca="1"/>
        <v>-0.57423532957403867</v>
      </c>
      <c r="M204">
        <f ca="1"/>
        <v>-18.701568909079583</v>
      </c>
      <c r="N204">
        <f ca="1"/>
        <v>-13.919490974429467</v>
      </c>
      <c r="O204">
        <f ca="1"/>
        <v>0</v>
      </c>
      <c r="P204">
        <f ca="1"/>
        <v>-33.195295213083085</v>
      </c>
      <c r="Q204">
        <f ca="1"/>
        <v>1966.3077715978243</v>
      </c>
    </row>
    <row r="205" spans="1:17">
      <c r="A205" s="2">
        <f ca="1"/>
        <v>204</v>
      </c>
      <c r="B205" s="2">
        <f ca="1"/>
        <v>0.37627118644067803</v>
      </c>
      <c r="C205" s="7">
        <f ca="1"/>
        <v>5.0750000000000003E-2</v>
      </c>
      <c r="D205" s="4">
        <f ca="1"/>
        <v>2.4626193716094127</v>
      </c>
      <c r="E205" s="4">
        <f ca="1"/>
        <v>56.203084566300355</v>
      </c>
      <c r="F205" s="4">
        <f ca="1"/>
        <v>-2672.3248605094623</v>
      </c>
      <c r="G205">
        <f ca="1"/>
        <v>-129068.60003089638</v>
      </c>
      <c r="H205">
        <f ca="1"/>
        <v>2.4626193716094127</v>
      </c>
      <c r="I205">
        <f ca="1"/>
        <v>6.963582620639357E-3</v>
      </c>
      <c r="J205">
        <f ca="1"/>
        <v>-8.5576644025027165E-3</v>
      </c>
      <c r="K205">
        <f ca="1"/>
        <v>0</v>
      </c>
      <c r="L205">
        <f ca="1"/>
        <v>-0.57140430580126012</v>
      </c>
      <c r="M205">
        <f ca="1"/>
        <v>-18.608954955346185</v>
      </c>
      <c r="N205">
        <f ca="1"/>
        <v>-13.515918312028786</v>
      </c>
      <c r="O205">
        <f ca="1"/>
        <v>0</v>
      </c>
      <c r="P205">
        <f ca="1"/>
        <v>-32.696277573176232</v>
      </c>
      <c r="Q205">
        <f ca="1"/>
        <v>2029.4080011774138</v>
      </c>
    </row>
    <row r="206" spans="1:17">
      <c r="A206" s="2">
        <f ca="1"/>
        <v>205</v>
      </c>
      <c r="B206" s="2">
        <f ca="1"/>
        <v>0.3830508474576273</v>
      </c>
      <c r="C206" s="7">
        <f ca="1"/>
        <v>5.1000000000000004E-2</v>
      </c>
      <c r="D206" s="4">
        <f ca="1"/>
        <v>2.4765862987267697</v>
      </c>
      <c r="E206" s="4">
        <f ca="1"/>
        <v>55.531005890736957</v>
      </c>
      <c r="F206" s="4">
        <f ca="1"/>
        <v>-2704.1601661940449</v>
      </c>
      <c r="G206">
        <f ca="1"/>
        <v>-125603.53274549975</v>
      </c>
      <c r="H206">
        <f ca="1"/>
        <v>2.4765862987267697</v>
      </c>
      <c r="I206">
        <f ca="1"/>
        <v>6.8444592511778101E-3</v>
      </c>
      <c r="J206">
        <f ca="1"/>
        <v>-8.4988429963730201E-3</v>
      </c>
      <c r="K206">
        <f ca="1"/>
        <v>0</v>
      </c>
      <c r="L206">
        <f ca="1"/>
        <v>-0.56816745333367136</v>
      </c>
      <c r="M206">
        <f ca="1"/>
        <v>-18.508514066173355</v>
      </c>
      <c r="N206">
        <f ca="1"/>
        <v>-13.103909692987354</v>
      </c>
      <c r="O206">
        <f ca="1"/>
        <v>0</v>
      </c>
      <c r="P206">
        <f ca="1"/>
        <v>-32.180591212494377</v>
      </c>
      <c r="Q206">
        <f ca="1"/>
        <v>2088.8503412663563</v>
      </c>
    </row>
    <row r="207" spans="1:17">
      <c r="A207" s="2">
        <f ca="1"/>
        <v>206</v>
      </c>
      <c r="B207" s="2">
        <f ca="1"/>
        <v>0.38983050847457634</v>
      </c>
      <c r="C207" s="7">
        <f ca="1"/>
        <v>5.1250000000000004E-2</v>
      </c>
      <c r="D207" s="4">
        <f ca="1"/>
        <v>2.4903842203858289</v>
      </c>
      <c r="E207" s="4">
        <f ca="1"/>
        <v>54.851077316648876</v>
      </c>
      <c r="F207" s="4">
        <f ca="1"/>
        <v>-2735.1214705320854</v>
      </c>
      <c r="G207">
        <f ca="1"/>
        <v>-122076.58925857824</v>
      </c>
      <c r="H207">
        <f ca="1"/>
        <v>2.4903842203858289</v>
      </c>
      <c r="I207">
        <f ca="1"/>
        <v>6.7276378493575971E-3</v>
      </c>
      <c r="J207">
        <f ca="1"/>
        <v>-8.4333107880705614E-3</v>
      </c>
      <c r="K207">
        <f ca="1"/>
        <v>0</v>
      </c>
      <c r="L207">
        <f ca="1"/>
        <v>-0.56454471097085546</v>
      </c>
      <c r="M207">
        <f ca="1"/>
        <v>-18.400906727742267</v>
      </c>
      <c r="N207">
        <f ca="1"/>
        <v>-12.686400963829929</v>
      </c>
      <c r="O207">
        <f ca="1"/>
        <v>0</v>
      </c>
      <c r="P207">
        <f ca="1"/>
        <v>-31.651852402543053</v>
      </c>
      <c r="Q207">
        <f ca="1"/>
        <v>2135.8493434727261</v>
      </c>
    </row>
    <row r="208" spans="1:17">
      <c r="A208" s="2">
        <f ca="1"/>
        <v>207</v>
      </c>
      <c r="B208" s="2">
        <f ca="1"/>
        <v>0.39661016949152561</v>
      </c>
      <c r="C208" s="7">
        <f ca="1"/>
        <v>5.1500000000000004E-2</v>
      </c>
      <c r="D208" s="4">
        <f ca="1"/>
        <v>2.5040112015856382</v>
      </c>
      <c r="E208" s="4">
        <f ca="1"/>
        <v>54.163519278003989</v>
      </c>
      <c r="F208" s="4">
        <f ca="1"/>
        <v>-2765.1933044732068</v>
      </c>
      <c r="G208">
        <f ca="1"/>
        <v>-118487.76957013168</v>
      </c>
      <c r="H208">
        <f ca="1"/>
        <v>2.5040112015856382</v>
      </c>
      <c r="I208">
        <f ca="1"/>
        <v>6.6132015531252088E-3</v>
      </c>
      <c r="J208">
        <f ca="1"/>
        <v>-8.3616746218281995E-3</v>
      </c>
      <c r="K208">
        <f ca="1"/>
        <v>0</v>
      </c>
      <c r="L208">
        <f ca="1"/>
        <v>-0.56061856691194989</v>
      </c>
      <c r="M208">
        <f ca="1"/>
        <v>-18.286780655833638</v>
      </c>
      <c r="N208">
        <f ca="1"/>
        <v>-12.265267318012427</v>
      </c>
      <c r="O208">
        <f ca="1"/>
        <v>0</v>
      </c>
      <c r="P208">
        <f ca="1"/>
        <v>-31.112666540758013</v>
      </c>
      <c r="Q208">
        <f ca="1"/>
        <v>2174.7233076466209</v>
      </c>
    </row>
    <row r="209" spans="1:17">
      <c r="A209" s="2">
        <f ca="1"/>
        <v>208</v>
      </c>
      <c r="B209" s="2">
        <f ca="1"/>
        <v>0.40338983050847488</v>
      </c>
      <c r="C209" s="7">
        <f ca="1"/>
        <v>5.1750000000000004E-2</v>
      </c>
      <c r="D209" s="4">
        <f ca="1"/>
        <v>2.5174653629171448</v>
      </c>
      <c r="E209" s="4">
        <f ca="1"/>
        <v>53.468556076032861</v>
      </c>
      <c r="F209" s="4">
        <f ca="1"/>
        <v>-2794.3601989670256</v>
      </c>
      <c r="G209">
        <f ca="1"/>
        <v>-114837.07368016022</v>
      </c>
      <c r="H209">
        <f ca="1"/>
        <v>2.5174653629171448</v>
      </c>
      <c r="I209">
        <f ca="1"/>
        <v>6.5012256380906942E-3</v>
      </c>
      <c r="J209">
        <f ca="1"/>
        <v>-8.2838644917913977E-3</v>
      </c>
      <c r="K209">
        <f ca="1"/>
        <v>0</v>
      </c>
      <c r="L209">
        <f ca="1"/>
        <v>-0.55641044558743602</v>
      </c>
      <c r="M209">
        <f ca="1"/>
        <v>-18.16676616758464</v>
      </c>
      <c r="N209">
        <f ca="1"/>
        <v>-11.841314135547664</v>
      </c>
      <c r="O209">
        <f ca="1"/>
        <v>0</v>
      </c>
      <c r="P209">
        <f ca="1"/>
        <v>-30.564490748719741</v>
      </c>
      <c r="Q209">
        <f ca="1"/>
        <v>2206.8839737984813</v>
      </c>
    </row>
    <row r="210" spans="1:17">
      <c r="A210" s="2">
        <f ca="1"/>
        <v>209</v>
      </c>
      <c r="B210" s="2">
        <f ca="1"/>
        <v>0.41016949152542392</v>
      </c>
      <c r="C210" s="7">
        <f ca="1"/>
        <v>5.2000000000000005E-2</v>
      </c>
      <c r="D210" s="4">
        <f ca="1"/>
        <v>2.5307448815300098</v>
      </c>
      <c r="E210" s="4">
        <f ca="1"/>
        <v>52.766415879228624</v>
      </c>
      <c r="F210" s="4">
        <f ca="1"/>
        <v>-2822.6066849631598</v>
      </c>
      <c r="G210">
        <f ca="1"/>
        <v>-111124.50158866392</v>
      </c>
      <c r="H210">
        <f ca="1"/>
        <v>2.5307448815300098</v>
      </c>
      <c r="I210">
        <f ca="1"/>
        <v>6.3917718791717364E-3</v>
      </c>
      <c r="J210">
        <f ca="1"/>
        <v>-8.2001557937509736E-3</v>
      </c>
      <c r="K210">
        <f ca="1"/>
        <v>0</v>
      </c>
      <c r="L210">
        <f ca="1"/>
        <v>-0.55194158766301493</v>
      </c>
      <c r="M210">
        <f ca="1"/>
        <v>-18.041458034909681</v>
      </c>
      <c r="N210">
        <f ca="1"/>
        <v>-11.415824931286075</v>
      </c>
      <c r="O210">
        <f ca="1"/>
        <v>0</v>
      </c>
      <c r="P210">
        <f ca="1"/>
        <v>-30.009224553858772</v>
      </c>
      <c r="Q210">
        <f ca="1"/>
        <v>2231.2489247397671</v>
      </c>
    </row>
    <row r="211" spans="1:17">
      <c r="A211" s="2">
        <f ca="1"/>
        <v>210</v>
      </c>
      <c r="B211" s="2">
        <f ca="1"/>
        <v>0.41694915254237297</v>
      </c>
      <c r="C211" s="7">
        <f ca="1"/>
        <v>5.2249999999999998E-2</v>
      </c>
      <c r="D211" s="4">
        <f ca="1"/>
        <v>2.5438479920994266</v>
      </c>
      <c r="E211" s="4">
        <f ca="1"/>
        <v>52.057330723346972</v>
      </c>
      <c r="F211" s="4">
        <f ca="1"/>
        <v>-2849.9172934112289</v>
      </c>
      <c r="G211">
        <f ca="1"/>
        <v>-107350.05329564266</v>
      </c>
      <c r="H211">
        <f ca="1"/>
        <v>2.5438479920994266</v>
      </c>
      <c r="I211">
        <f ca="1"/>
        <v>6.284905791310867E-3</v>
      </c>
      <c r="J211">
        <f ca="1"/>
        <v>-8.1110369139013976E-3</v>
      </c>
      <c r="K211">
        <f ca="1"/>
        <v>0</v>
      </c>
      <c r="L211">
        <f ca="1"/>
        <v>-0.5470887430167426</v>
      </c>
      <c r="M211">
        <f ca="1"/>
        <v>-17.911461702117226</v>
      </c>
      <c r="N211">
        <f ca="1"/>
        <v>-10.990315841215903</v>
      </c>
      <c r="O211">
        <f ca="1"/>
        <v>0</v>
      </c>
      <c r="P211">
        <f ca="1"/>
        <v>-29.448866286349872</v>
      </c>
      <c r="Q211">
        <f ca="1"/>
        <v>2244.7867596038554</v>
      </c>
    </row>
    <row r="212" spans="1:17">
      <c r="A212" s="2">
        <f ca="1"/>
        <v>211</v>
      </c>
      <c r="B212" s="2">
        <f ca="1"/>
        <v>0.42372881355932202</v>
      </c>
      <c r="C212" s="7">
        <f ca="1"/>
        <v>5.2499999999999998E-2</v>
      </c>
      <c r="D212" s="4">
        <f ca="1"/>
        <v>2.5567729877929355</v>
      </c>
      <c r="E212" s="4">
        <f ca="1"/>
        <v>51.341536511406233</v>
      </c>
      <c r="F212" s="4">
        <f ca="1"/>
        <v>-2876.276555260853</v>
      </c>
      <c r="G212">
        <f ca="1"/>
        <v>-103513.72880109648</v>
      </c>
      <c r="H212">
        <f ca="1"/>
        <v>2.5567729877929355</v>
      </c>
      <c r="I212">
        <f ca="1"/>
        <v>6.1806692920106177E-3</v>
      </c>
      <c r="J212">
        <f ca="1"/>
        <v>-8.0179727097727093E-3</v>
      </c>
      <c r="K212">
        <f ca="1"/>
        <v>0</v>
      </c>
      <c r="L212">
        <f ca="1"/>
        <v>-0.54201589575893272</v>
      </c>
      <c r="M212">
        <f ca="1"/>
        <v>-17.777314180430835</v>
      </c>
      <c r="N212">
        <f ca="1"/>
        <v>-10.567501097867089</v>
      </c>
      <c r="O212">
        <f ca="1"/>
        <v>0</v>
      </c>
      <c r="P212">
        <f ca="1"/>
        <v>-28.886831174056859</v>
      </c>
      <c r="Q212">
        <f ca="1"/>
        <v>2253.3247061557709</v>
      </c>
    </row>
    <row r="213" spans="1:17">
      <c r="A213" s="2">
        <f ca="1"/>
        <v>212</v>
      </c>
      <c r="B213" s="2">
        <f ca="1"/>
        <v>0.43050847457627128</v>
      </c>
      <c r="C213" s="7">
        <f ca="1"/>
        <v>5.2749999999999998E-2</v>
      </c>
      <c r="D213" s="4">
        <f ca="1"/>
        <v>2.5695182212372392</v>
      </c>
      <c r="E213" s="4">
        <f ca="1"/>
        <v>50.619273013687277</v>
      </c>
      <c r="F213" s="4">
        <f ca="1"/>
        <v>-2901.6690014616506</v>
      </c>
      <c r="G213">
        <f ca="1"/>
        <v>-99615.528105025238</v>
      </c>
      <c r="H213">
        <f ca="1"/>
        <v>2.5695182212372392</v>
      </c>
      <c r="I213">
        <f ca="1"/>
        <v>6.0791139892113315E-3</v>
      </c>
      <c r="J213">
        <f ca="1"/>
        <v>-7.9193224091391023E-3</v>
      </c>
      <c r="K213">
        <f ca="1"/>
        <v>0</v>
      </c>
      <c r="L213">
        <f ca="1"/>
        <v>-0.53674464389670173</v>
      </c>
      <c r="M213">
        <f ca="1"/>
        <v>-17.639576618846394</v>
      </c>
      <c r="N213">
        <f ca="1"/>
        <v>-10.14588267052889</v>
      </c>
      <c r="O213">
        <f ca="1"/>
        <v>0</v>
      </c>
      <c r="P213">
        <f ca="1"/>
        <v>-28.322203933271986</v>
      </c>
      <c r="Q213">
        <f ca="1"/>
        <v>2260.2618330126115</v>
      </c>
    </row>
    <row r="214" spans="1:17">
      <c r="A214" s="2">
        <f ca="1"/>
        <v>213</v>
      </c>
      <c r="B214" s="2">
        <f ca="1"/>
        <v>0.43728813559322033</v>
      </c>
      <c r="C214" s="7">
        <f ca="1"/>
        <v>5.2999999999999999E-2</v>
      </c>
      <c r="D214" s="4">
        <f ca="1"/>
        <v>2.5820821054850174</v>
      </c>
      <c r="E214" s="4">
        <f ca="1"/>
        <v>49.890783867733667</v>
      </c>
      <c r="F214" s="4">
        <f ca="1"/>
        <v>-2926.0791629632386</v>
      </c>
      <c r="G214">
        <f ca="1"/>
        <v>-95655.4512074292</v>
      </c>
      <c r="H214">
        <f ca="1"/>
        <v>2.5820821054850174</v>
      </c>
      <c r="I214">
        <f ca="1"/>
        <v>5.9802661903658122E-3</v>
      </c>
      <c r="J214">
        <f ca="1"/>
        <v>-7.8154694353830961E-3</v>
      </c>
      <c r="K214">
        <f ca="1"/>
        <v>0</v>
      </c>
      <c r="L214">
        <f ca="1"/>
        <v>-0.53126332979883362</v>
      </c>
      <c r="M214">
        <f ca="1"/>
        <v>-17.498732288602952</v>
      </c>
      <c r="N214">
        <f ca="1"/>
        <v>-9.7267046391487675</v>
      </c>
      <c r="O214">
        <f ca="1"/>
        <v>0</v>
      </c>
      <c r="P214">
        <f ca="1"/>
        <v>-27.756700257550552</v>
      </c>
      <c r="Q214">
        <f ca="1"/>
        <v>2256.7672619684467</v>
      </c>
    </row>
    <row r="215" spans="1:17">
      <c r="A215" s="2">
        <f ca="1"/>
        <v>214</v>
      </c>
      <c r="B215" s="2">
        <f ca="1"/>
        <v>0.4440677966101696</v>
      </c>
      <c r="C215" s="7">
        <f ca="1"/>
        <v>5.3249999999999999E-2</v>
      </c>
      <c r="D215" s="4">
        <f ca="1"/>
        <v>2.5944631149817443</v>
      </c>
      <c r="E215" s="4">
        <f ca="1"/>
        <v>49.156316578351458</v>
      </c>
      <c r="F215" s="4">
        <f ca="1"/>
        <v>-2949.4915707152381</v>
      </c>
      <c r="G215">
        <f ca="1"/>
        <v>-91633.498108308049</v>
      </c>
      <c r="H215">
        <f ca="1"/>
        <v>2.5944631149817443</v>
      </c>
      <c r="I215">
        <f ca="1"/>
        <v>5.8841503249026763E-3</v>
      </c>
      <c r="J215">
        <f ca="1"/>
        <v>-7.708399260939117E-3</v>
      </c>
      <c r="K215">
        <f ca="1"/>
        <v>0</v>
      </c>
      <c r="L215">
        <f ca="1"/>
        <v>-0.52549844927656419</v>
      </c>
      <c r="M215">
        <f ca="1"/>
        <v>-17.355251784121773</v>
      </c>
      <c r="N215">
        <f ca="1"/>
        <v>-9.3130700688894237</v>
      </c>
      <c r="O215">
        <f ca="1"/>
        <v>0</v>
      </c>
      <c r="P215">
        <f ca="1"/>
        <v>-27.193820302287762</v>
      </c>
      <c r="Q215">
        <f ca="1"/>
        <v>2242.3290353888542</v>
      </c>
    </row>
    <row r="216" spans="1:17">
      <c r="A216" s="2">
        <f ca="1"/>
        <v>215</v>
      </c>
      <c r="B216" s="2">
        <f ca="1"/>
        <v>0.45084745762711864</v>
      </c>
      <c r="C216" s="7">
        <f ca="1"/>
        <v>5.3499999999999999E-2</v>
      </c>
      <c r="D216" s="4">
        <f ca="1"/>
        <v>2.6066597865325036</v>
      </c>
      <c r="E216" s="4">
        <f ca="1"/>
        <v>48.416122517609381</v>
      </c>
      <c r="F216" s="4">
        <f ca="1"/>
        <v>-2971.8907556672661</v>
      </c>
      <c r="G216">
        <f ca="1"/>
        <v>-87549.668807662121</v>
      </c>
      <c r="H216">
        <f ca="1"/>
        <v>2.6066597865325036</v>
      </c>
      <c r="I216">
        <f ca="1"/>
        <v>5.7907938733616623E-3</v>
      </c>
      <c r="J216">
        <f ca="1"/>
        <v>-7.5988674726449497E-3</v>
      </c>
      <c r="K216">
        <f ca="1"/>
        <v>0</v>
      </c>
      <c r="L216">
        <f ca="1"/>
        <v>-0.51959685553785961</v>
      </c>
      <c r="M216">
        <f ca="1"/>
        <v>-17.209606780218166</v>
      </c>
      <c r="N216">
        <f ca="1"/>
        <v>-8.9063321041000965</v>
      </c>
      <c r="O216">
        <f ca="1"/>
        <v>0</v>
      </c>
      <c r="P216">
        <f ca="1"/>
        <v>-26.635535739856124</v>
      </c>
      <c r="Q216">
        <f ca="1"/>
        <v>2226.0434167815483</v>
      </c>
    </row>
    <row r="217" spans="1:17">
      <c r="A217" s="2">
        <f ca="1"/>
        <v>216</v>
      </c>
      <c r="B217" s="2">
        <f ca="1"/>
        <v>0.45762711864406791</v>
      </c>
      <c r="C217" s="7">
        <f ca="1"/>
        <v>5.3749999999999999E-2</v>
      </c>
      <c r="D217" s="4">
        <f ca="1"/>
        <v>2.6186707202688044</v>
      </c>
      <c r="E217" s="4">
        <f ca="1"/>
        <v>47.670456924838689</v>
      </c>
      <c r="F217" s="4">
        <f ca="1"/>
        <v>-2993.2612487689421</v>
      </c>
      <c r="G217">
        <f ca="1"/>
        <v>-83403.963305491125</v>
      </c>
      <c r="H217">
        <f ca="1"/>
        <v>2.6186707202688044</v>
      </c>
      <c r="I217">
        <f ca="1"/>
        <v>5.700205650596403E-3</v>
      </c>
      <c r="J217">
        <f ca="1"/>
        <v>-7.4852533749220325E-3</v>
      </c>
      <c r="K217">
        <f ca="1"/>
        <v>0</v>
      </c>
      <c r="L217">
        <f ca="1"/>
        <v>-0.51357782182619327</v>
      </c>
      <c r="M217">
        <f ca="1"/>
        <v>-17.062204683943968</v>
      </c>
      <c r="N217">
        <f ca="1"/>
        <v>-8.505016088126828</v>
      </c>
      <c r="O217">
        <f ca="1"/>
        <v>0</v>
      </c>
      <c r="P217">
        <f ca="1"/>
        <v>-26.080798593896986</v>
      </c>
      <c r="Q217">
        <f ca="1"/>
        <v>2208.7959213682616</v>
      </c>
    </row>
    <row r="218" spans="1:17">
      <c r="A218" s="2">
        <f ca="1"/>
        <v>217</v>
      </c>
      <c r="B218" s="2">
        <f ca="1"/>
        <v>0.46440677966101696</v>
      </c>
      <c r="C218" s="7">
        <f ca="1"/>
        <v>5.3999999999999999E-2</v>
      </c>
      <c r="D218" s="4">
        <f ca="1"/>
        <v>2.6304945806153945</v>
      </c>
      <c r="E218" s="4">
        <f ca="1"/>
        <v>46.919578906633305</v>
      </c>
      <c r="F218" s="4">
        <f ca="1"/>
        <v>-3013.5875809698837</v>
      </c>
      <c r="G218">
        <f ca="1"/>
        <v>-79196.381601795307</v>
      </c>
      <c r="H218">
        <f ca="1"/>
        <v>2.6304945806153945</v>
      </c>
      <c r="I218">
        <f ca="1"/>
        <v>5.6123880826305927E-3</v>
      </c>
      <c r="J218">
        <f ca="1"/>
        <v>-7.3682464185117324E-3</v>
      </c>
      <c r="K218">
        <f ca="1"/>
        <v>0</v>
      </c>
      <c r="L218">
        <f ca="1"/>
        <v>-0.50731319162655342</v>
      </c>
      <c r="M218">
        <f ca="1"/>
        <v>-16.913423025398931</v>
      </c>
      <c r="N218">
        <f ca="1"/>
        <v>-8.1104015621465084</v>
      </c>
      <c r="O218">
        <f ca="1"/>
        <v>0</v>
      </c>
      <c r="P218">
        <f ca="1"/>
        <v>-25.531137779171992</v>
      </c>
      <c r="Q218">
        <f ca="1"/>
        <v>2183.4152183660062</v>
      </c>
    </row>
    <row r="219" spans="1:17">
      <c r="A219" s="2">
        <f ca="1"/>
        <v>218</v>
      </c>
      <c r="B219" s="2">
        <f ca="1"/>
        <v>0.47118644067796622</v>
      </c>
      <c r="C219" s="7">
        <f ca="1"/>
        <v>5.425E-2</v>
      </c>
      <c r="D219" s="4">
        <f ca="1"/>
        <v>2.6421300972570805</v>
      </c>
      <c r="E219" s="4">
        <f ca="1"/>
        <v>46.163751436849665</v>
      </c>
      <c r="F219" s="4">
        <f ca="1"/>
        <v>-3032.8542832197127</v>
      </c>
      <c r="G219">
        <f ca="1"/>
        <v>-74926.923696574406</v>
      </c>
      <c r="H219">
        <f ca="1"/>
        <v>2.6421300972570805</v>
      </c>
      <c r="I219">
        <f ca="1"/>
        <v>5.5273456989897232E-3</v>
      </c>
      <c r="J219">
        <f ca="1"/>
        <v>-7.2493411465904831E-3</v>
      </c>
      <c r="K219">
        <f ca="1"/>
        <v>0</v>
      </c>
      <c r="L219">
        <f ca="1"/>
        <v>-0.50095063842274612</v>
      </c>
      <c r="M219">
        <f ca="1"/>
        <v>-16.763634078017038</v>
      </c>
      <c r="N219">
        <f ca="1"/>
        <v>-7.7245062682741974</v>
      </c>
      <c r="O219">
        <f ca="1"/>
        <v>0</v>
      </c>
      <c r="P219">
        <f ca="1"/>
        <v>-24.989090984713982</v>
      </c>
      <c r="Q219">
        <f ca="1"/>
        <v>2155.5890909076875</v>
      </c>
    </row>
    <row r="220" spans="1:17">
      <c r="A220" s="2">
        <f ca="1"/>
        <v>219</v>
      </c>
      <c r="B220" s="2">
        <f ca="1"/>
        <v>0.47796610169491527</v>
      </c>
      <c r="C220" s="7">
        <f ca="1"/>
        <v>5.45E-2</v>
      </c>
      <c r="D220" s="4">
        <f ca="1"/>
        <v>2.653576066105539</v>
      </c>
      <c r="E220" s="4">
        <f ca="1"/>
        <v>45.403241356606905</v>
      </c>
      <c r="F220" s="4">
        <f ca="1"/>
        <v>-3051.0458864680445</v>
      </c>
      <c r="G220">
        <f ca="1"/>
        <v>-70595.589589828727</v>
      </c>
      <c r="H220">
        <f ca="1"/>
        <v>2.653576066105539</v>
      </c>
      <c r="I220">
        <f ca="1"/>
        <v>5.4450649845295528E-3</v>
      </c>
      <c r="J220">
        <f ca="1"/>
        <v>-7.1266889781787957E-3</v>
      </c>
      <c r="K220">
        <f ca="1"/>
        <v>0</v>
      </c>
      <c r="L220">
        <f ca="1"/>
        <v>-0.49452820017429033</v>
      </c>
      <c r="M220">
        <f ca="1"/>
        <v>-16.613143122600079</v>
      </c>
      <c r="N220">
        <f ca="1"/>
        <v>-7.3456719109437776</v>
      </c>
      <c r="O220">
        <f ca="1"/>
        <v>0</v>
      </c>
      <c r="P220">
        <f ca="1"/>
        <v>-24.453343233718147</v>
      </c>
      <c r="Q220">
        <f ca="1"/>
        <v>2122.0076662259739</v>
      </c>
    </row>
    <row r="221" spans="1:17">
      <c r="A221" s="2">
        <f ca="1"/>
        <v>220</v>
      </c>
      <c r="B221" s="2">
        <f ca="1"/>
        <v>0.48474576271186454</v>
      </c>
      <c r="C221" s="7">
        <f ca="1"/>
        <v>5.475E-2</v>
      </c>
      <c r="D221" s="4">
        <f ca="1"/>
        <v>2.6648313502661352</v>
      </c>
      <c r="E221" s="4">
        <f ca="1"/>
        <v>44.638319374286631</v>
      </c>
      <c r="F221" s="4">
        <f ca="1"/>
        <v>-3068.1469216644996</v>
      </c>
      <c r="G221">
        <f ca="1"/>
        <v>-66202.379281557951</v>
      </c>
      <c r="H221">
        <f ca="1"/>
        <v>2.6648313502661352</v>
      </c>
      <c r="I221">
        <f ca="1"/>
        <v>5.3655324837125389E-3</v>
      </c>
      <c r="J221">
        <f ca="1"/>
        <v>-7.0039226379941914E-3</v>
      </c>
      <c r="K221">
        <f ca="1"/>
        <v>0</v>
      </c>
      <c r="L221">
        <f ca="1"/>
        <v>-0.48790864650713711</v>
      </c>
      <c r="M221">
        <f ca="1"/>
        <v>-16.462241972993503</v>
      </c>
      <c r="N221">
        <f ca="1"/>
        <v>-6.9779365321003537</v>
      </c>
      <c r="O221">
        <f ca="1"/>
        <v>0</v>
      </c>
      <c r="P221">
        <f ca="1"/>
        <v>-23.928087151600995</v>
      </c>
      <c r="Q221">
        <f ca="1"/>
        <v>2083.4760432670387</v>
      </c>
    </row>
    <row r="222" spans="1:17">
      <c r="A222" s="2">
        <f ca="1"/>
        <v>221</v>
      </c>
      <c r="B222" s="2">
        <f ca="1"/>
        <v>0.49152542372881358</v>
      </c>
      <c r="C222" s="7">
        <f ca="1"/>
        <v>5.5E-2</v>
      </c>
      <c r="D222" s="4">
        <f ca="1"/>
        <v>2.6758948810047372</v>
      </c>
      <c r="E222" s="4">
        <f ca="1"/>
        <v>43.869260065533176</v>
      </c>
      <c r="F222" s="4">
        <f ca="1"/>
        <v>-3084.1419197586965</v>
      </c>
      <c r="G222">
        <f ca="1"/>
        <v>-61747.292771762404</v>
      </c>
      <c r="H222">
        <f ca="1"/>
        <v>2.6758948810047372</v>
      </c>
      <c r="I222">
        <f ca="1"/>
        <v>5.2887355977361385E-3</v>
      </c>
      <c r="J222">
        <f ca="1"/>
        <v>-6.8787789554370649E-3</v>
      </c>
      <c r="K222">
        <f ca="1"/>
        <v>0</v>
      </c>
      <c r="L222">
        <f ca="1"/>
        <v>-0.48124780331147826</v>
      </c>
      <c r="M222">
        <f ca="1"/>
        <v>-16.311211159498093</v>
      </c>
      <c r="N222">
        <f ca="1"/>
        <v>-6.6191462492750546</v>
      </c>
      <c r="O222">
        <f ca="1"/>
        <v>0</v>
      </c>
      <c r="P222">
        <f ca="1"/>
        <v>-23.411605212084627</v>
      </c>
      <c r="Q222">
        <f ca="1"/>
        <v>2045.3724446131484</v>
      </c>
    </row>
    <row r="223" spans="1:17">
      <c r="A223" s="2">
        <f ca="1"/>
        <v>222</v>
      </c>
      <c r="B223" s="2">
        <f ca="1"/>
        <v>0.49830508474576285</v>
      </c>
      <c r="C223" s="7">
        <f ca="1"/>
        <v>5.525E-2</v>
      </c>
      <c r="D223" s="4">
        <f ca="1"/>
        <v>2.6867656587145321</v>
      </c>
      <c r="E223" s="4">
        <f ca="1"/>
        <v>43.096341873253344</v>
      </c>
      <c r="F223" s="4">
        <f ca="1"/>
        <v>-3099.0154117002544</v>
      </c>
      <c r="G223">
        <f ca="1"/>
        <v>-57230.330060441731</v>
      </c>
      <c r="H223">
        <f ca="1"/>
        <v>2.6867656587145321</v>
      </c>
      <c r="I223">
        <f ca="1"/>
        <v>5.2146477457892179E-3</v>
      </c>
      <c r="J223">
        <f ca="1"/>
        <v>-6.752374965707587E-3</v>
      </c>
      <c r="K223">
        <f ca="1"/>
        <v>0</v>
      </c>
      <c r="L223">
        <f ca="1"/>
        <v>-0.4745521382751956</v>
      </c>
      <c r="M223">
        <f ca="1"/>
        <v>-16.160273730788777</v>
      </c>
      <c r="N223">
        <f ca="1"/>
        <v>-6.2705750602304455</v>
      </c>
      <c r="O223">
        <f ca="1"/>
        <v>0</v>
      </c>
      <c r="P223">
        <f ca="1"/>
        <v>-22.905400929294419</v>
      </c>
      <c r="Q223">
        <f ca="1"/>
        <v>2005.8889089534143</v>
      </c>
    </row>
    <row r="224" spans="1:17">
      <c r="A224" s="2">
        <f ca="1"/>
        <v>223</v>
      </c>
      <c r="B224" s="2">
        <f ca="1"/>
        <v>0.5050847457627119</v>
      </c>
      <c r="C224" s="7">
        <f ca="1"/>
        <v>5.5500000000000001E-2</v>
      </c>
      <c r="D224" s="4">
        <f ca="1"/>
        <v>2.6974427538828416</v>
      </c>
      <c r="E224" s="4">
        <f ca="1"/>
        <v>42.319847107616638</v>
      </c>
      <c r="F224" s="4">
        <f ca="1"/>
        <v>-3112.7519284387904</v>
      </c>
      <c r="G224">
        <f ca="1"/>
        <v>-52651.491147596302</v>
      </c>
      <c r="H224">
        <f ca="1"/>
        <v>2.6974427538828416</v>
      </c>
      <c r="I224">
        <f ca="1"/>
        <v>5.1432353197971023E-3</v>
      </c>
      <c r="J224">
        <f ca="1"/>
        <v>-6.6235949196736966E-3</v>
      </c>
      <c r="K224">
        <f ca="1"/>
        <v>0</v>
      </c>
      <c r="L224">
        <f ca="1"/>
        <v>-0.46771699183115611</v>
      </c>
      <c r="M224">
        <f ca="1"/>
        <v>-16.009615660112928</v>
      </c>
      <c r="N224">
        <f ca="1"/>
        <v>-5.9313281056638356</v>
      </c>
      <c r="O224">
        <f ca="1"/>
        <v>0</v>
      </c>
      <c r="P224">
        <f ca="1"/>
        <v>-22.408660757607919</v>
      </c>
      <c r="Q224">
        <f ca="1"/>
        <v>1961.254525125531</v>
      </c>
    </row>
    <row r="225" spans="1:17">
      <c r="A225" s="2">
        <f ca="1"/>
        <v>224</v>
      </c>
      <c r="B225" s="2">
        <f ca="1"/>
        <v>0.51186440677966116</v>
      </c>
      <c r="C225" s="7">
        <f ca="1"/>
        <v>5.5750000000000001E-2</v>
      </c>
      <c r="D225" s="4">
        <f ca="1"/>
        <v>2.7079253080579377</v>
      </c>
      <c r="E225" s="4">
        <f ca="1"/>
        <v>41.540061946055054</v>
      </c>
      <c r="F225" s="4">
        <f ca="1"/>
        <v>-3125.336000923925</v>
      </c>
      <c r="G225">
        <f ca="1"/>
        <v>-48010.77603322576</v>
      </c>
      <c r="H225">
        <f ca="1"/>
        <v>2.7079253080579377</v>
      </c>
      <c r="I225">
        <f ca="1"/>
        <v>5.0744670953856517E-3</v>
      </c>
      <c r="J225">
        <f ca="1"/>
        <v>-6.4957400502893827E-3</v>
      </c>
      <c r="K225">
        <f ca="1"/>
        <v>0</v>
      </c>
      <c r="L225">
        <f ca="1"/>
        <v>-0.46090997703313191</v>
      </c>
      <c r="M225">
        <f ca="1"/>
        <v>-15.859414698712637</v>
      </c>
      <c r="N225">
        <f ca="1"/>
        <v>-5.6044489909858841</v>
      </c>
      <c r="O225">
        <f ca="1"/>
        <v>0</v>
      </c>
      <c r="P225">
        <f ca="1"/>
        <v>-21.924773666731653</v>
      </c>
      <c r="Q225">
        <f ca="1"/>
        <v>1913.8677609768049</v>
      </c>
    </row>
    <row r="226" spans="1:17">
      <c r="A226" s="2">
        <f ca="1"/>
        <v>225</v>
      </c>
      <c r="B226" s="2">
        <f ca="1"/>
        <v>0.51864406779661021</v>
      </c>
      <c r="C226" s="7">
        <f ca="1"/>
        <v>5.6000000000000001E-2</v>
      </c>
      <c r="D226" s="4">
        <f ca="1"/>
        <v>2.7182125348158577</v>
      </c>
      <c r="E226" s="4">
        <f ca="1"/>
        <v>40.757276433263321</v>
      </c>
      <c r="F226" s="4">
        <f ca="1"/>
        <v>-3136.7521601052767</v>
      </c>
      <c r="G226">
        <f ca="1"/>
        <v>-43308.184717330449</v>
      </c>
      <c r="H226">
        <f ca="1"/>
        <v>2.7182125348158577</v>
      </c>
      <c r="I226">
        <f ca="1"/>
        <v>5.0083074232725499E-3</v>
      </c>
      <c r="J226">
        <f ca="1"/>
        <v>-6.3665035303861299E-3</v>
      </c>
      <c r="K226">
        <f ca="1"/>
        <v>0</v>
      </c>
      <c r="L226">
        <f ca="1"/>
        <v>-0.45403130921673507</v>
      </c>
      <c r="M226">
        <f ca="1"/>
        <v>-15.709819128421463</v>
      </c>
      <c r="N226">
        <f ca="1"/>
        <v>-5.2878764394813151</v>
      </c>
      <c r="O226">
        <f ca="1"/>
        <v>0</v>
      </c>
      <c r="P226">
        <f ca="1"/>
        <v>-21.451726877119516</v>
      </c>
      <c r="Q226">
        <f ca="1"/>
        <v>1867.6280735357393</v>
      </c>
    </row>
    <row r="227" spans="1:17">
      <c r="A227" s="2">
        <f ca="1"/>
        <v>226</v>
      </c>
      <c r="B227" s="2">
        <f ca="1"/>
        <v>0.52542372881355948</v>
      </c>
      <c r="C227" s="7">
        <f ca="1"/>
        <v>5.6250000000000001E-2</v>
      </c>
      <c r="D227" s="4">
        <f ca="1"/>
        <v>2.7283037207272205</v>
      </c>
      <c r="E227" s="4">
        <f ca="1"/>
        <v>39.971784481198597</v>
      </c>
      <c r="F227" s="4">
        <f ca="1"/>
        <v>-3146.9849369324625</v>
      </c>
      <c r="G227">
        <f ca="1"/>
        <v>-38543.717199910032</v>
      </c>
      <c r="H227">
        <f ca="1"/>
        <v>2.7283037207272205</v>
      </c>
      <c r="I227">
        <f ca="1"/>
        <v>4.9447117651362314E-3</v>
      </c>
      <c r="J227">
        <f ca="1"/>
        <v>-6.2373982265095064E-3</v>
      </c>
      <c r="K227">
        <f ca="1"/>
        <v>0</v>
      </c>
      <c r="L227">
        <f ca="1"/>
        <v>-0.44714478063229962</v>
      </c>
      <c r="M227">
        <f ca="1"/>
        <v>-15.560933442356449</v>
      </c>
      <c r="N227">
        <f ca="1"/>
        <v>-4.9828814069750367</v>
      </c>
      <c r="O227">
        <f ca="1"/>
        <v>0</v>
      </c>
      <c r="P227">
        <f ca="1"/>
        <v>-20.990959629963783</v>
      </c>
      <c r="Q227">
        <f ca="1"/>
        <v>1819.7129452439269</v>
      </c>
    </row>
    <row r="228" spans="1:17">
      <c r="A228" s="2">
        <f ca="1"/>
        <v>227</v>
      </c>
      <c r="B228" s="2">
        <f ca="1"/>
        <v>0.53220338983050852</v>
      </c>
      <c r="C228" s="7">
        <f ca="1"/>
        <v>5.6500000000000002E-2</v>
      </c>
      <c r="D228" s="4">
        <f ca="1"/>
        <v>2.7381982263240436</v>
      </c>
      <c r="E228" s="4">
        <f ca="1"/>
        <v>39.183883869080795</v>
      </c>
      <c r="F228" s="4">
        <f ca="1"/>
        <v>-3156.0188623551039</v>
      </c>
      <c r="G228">
        <f ca="1"/>
        <v>-33717.373480964845</v>
      </c>
      <c r="H228">
        <f ca="1"/>
        <v>2.7381982263240436</v>
      </c>
      <c r="I228">
        <f ca="1"/>
        <v>4.8836343173882524E-3</v>
      </c>
      <c r="J228">
        <f ca="1"/>
        <v>-6.1076157254511855E-3</v>
      </c>
      <c r="K228">
        <f ca="1"/>
        <v>0</v>
      </c>
      <c r="L228">
        <f ca="1"/>
        <v>-0.44028277511006575</v>
      </c>
      <c r="M228">
        <f ca="1"/>
        <v>-15.412842022522018</v>
      </c>
      <c r="N228">
        <f ca="1"/>
        <v>-4.6887456068654663</v>
      </c>
      <c r="O228">
        <f ca="1"/>
        <v>0</v>
      </c>
      <c r="P228">
        <f ca="1"/>
        <v>-20.541870404497551</v>
      </c>
      <c r="Q228">
        <f ca="1"/>
        <v>1771.1742630040831</v>
      </c>
    </row>
    <row r="229" spans="1:17">
      <c r="A229" s="2">
        <f ca="1"/>
        <v>228</v>
      </c>
      <c r="B229" s="2">
        <f ca="1"/>
        <v>0.53898305084745779</v>
      </c>
      <c r="C229" s="7">
        <f ca="1"/>
        <v>5.6750000000000002E-2</v>
      </c>
      <c r="D229" s="4">
        <f ca="1"/>
        <v>2.7478954870665548</v>
      </c>
      <c r="E229" s="4">
        <f ca="1"/>
        <v>38.393876243392292</v>
      </c>
      <c r="F229" s="4">
        <f ca="1"/>
        <v>-3163.8384673228188</v>
      </c>
      <c r="G229">
        <f ca="1"/>
        <v>-28829.153560494549</v>
      </c>
      <c r="H229">
        <f ca="1"/>
        <v>2.7478954870665548</v>
      </c>
      <c r="I229">
        <f ca="1"/>
        <v>4.8250349120352812E-3</v>
      </c>
      <c r="J229">
        <f ca="1"/>
        <v>-5.9784255698050823E-3</v>
      </c>
      <c r="K229">
        <f ca="1"/>
        <v>0</v>
      </c>
      <c r="L229">
        <f ca="1"/>
        <v>-0.43337356163292728</v>
      </c>
      <c r="M229">
        <f ca="1"/>
        <v>-15.265631060872796</v>
      </c>
      <c r="N229">
        <f ca="1"/>
        <v>-4.4063678759560183</v>
      </c>
      <c r="O229">
        <f ca="1"/>
        <v>0</v>
      </c>
      <c r="P229">
        <f ca="1"/>
        <v>-20.10537249846174</v>
      </c>
      <c r="Q229">
        <f ca="1"/>
        <v>1720.939765440319</v>
      </c>
    </row>
    <row r="230" spans="1:17">
      <c r="A230" s="2">
        <f ca="1"/>
        <v>229</v>
      </c>
      <c r="B230" s="2">
        <f ca="1"/>
        <v>0.54576271186440684</v>
      </c>
      <c r="C230" s="7">
        <f ca="1"/>
        <v>5.7000000000000002E-2</v>
      </c>
      <c r="D230" s="4">
        <f ca="1"/>
        <v>2.7573950143100117</v>
      </c>
      <c r="E230" s="4">
        <f ca="1"/>
        <v>37.602067117878164</v>
      </c>
      <c r="F230" s="4">
        <f ca="1"/>
        <v>-3170.4282827852244</v>
      </c>
      <c r="G230">
        <f ca="1"/>
        <v>-23879.057438499491</v>
      </c>
      <c r="H230">
        <f ca="1"/>
        <v>2.7573950143100117</v>
      </c>
      <c r="I230">
        <f ca="1"/>
        <v>4.7688508674235122E-3</v>
      </c>
      <c r="J230">
        <f ca="1"/>
        <v>-5.8497720412962508E-3</v>
      </c>
      <c r="K230">
        <f ca="1"/>
        <v>0</v>
      </c>
      <c r="L230">
        <f ca="1"/>
        <v>-0.42655931673286968</v>
      </c>
      <c r="M230">
        <f ca="1"/>
        <v>-15.119299666464354</v>
      </c>
      <c r="N230">
        <f ca="1"/>
        <v>-4.1355415385801653</v>
      </c>
      <c r="O230">
        <f ca="1"/>
        <v>0</v>
      </c>
      <c r="P230">
        <f ca="1"/>
        <v>-19.681400521777391</v>
      </c>
      <c r="Q230">
        <f ca="1"/>
        <v>1671.7920405209752</v>
      </c>
    </row>
    <row r="231" spans="1:17">
      <c r="A231" s="2">
        <f ca="1"/>
        <v>230</v>
      </c>
      <c r="B231" s="2">
        <f ca="1"/>
        <v>0.5525423728813561</v>
      </c>
      <c r="C231" s="7">
        <f ca="1"/>
        <v>5.7250000000000002E-2</v>
      </c>
      <c r="D231" s="4">
        <f ca="1"/>
        <v>2.7666963962715165</v>
      </c>
      <c r="E231" s="4">
        <f ca="1"/>
        <v>36.808765873545987</v>
      </c>
      <c r="F231" s="4">
        <f ca="1"/>
        <v>-3175.7728396919415</v>
      </c>
      <c r="G231">
        <f ca="1"/>
        <v>-18867.085114979316</v>
      </c>
      <c r="H231">
        <f ca="1"/>
        <v>2.7666963962715165</v>
      </c>
      <c r="I231">
        <f ca="1"/>
        <v>4.7150353042809384E-3</v>
      </c>
      <c r="J231">
        <f ca="1"/>
        <v>-5.7213915974623697E-3</v>
      </c>
      <c r="K231">
        <f ca="1"/>
        <v>0</v>
      </c>
      <c r="L231">
        <f ca="1"/>
        <v>-0.41968089216087745</v>
      </c>
      <c r="M231">
        <f ca="1"/>
        <v>-14.973881057524032</v>
      </c>
      <c r="N231">
        <f ca="1"/>
        <v>-3.875914528516343</v>
      </c>
      <c r="O231">
        <f ca="1"/>
        <v>0</v>
      </c>
      <c r="P231">
        <f ca="1"/>
        <v>-19.269476478201252</v>
      </c>
      <c r="Q231">
        <f ca="1"/>
        <v>1622.4363952018152</v>
      </c>
    </row>
    <row r="232" spans="1:17">
      <c r="A232" s="2">
        <f ca="1"/>
        <v>231</v>
      </c>
      <c r="B232" s="2">
        <f ca="1"/>
        <v>0.55932203389830515</v>
      </c>
      <c r="C232" s="7">
        <f ca="1"/>
        <v>5.7500000000000002E-2</v>
      </c>
      <c r="D232" s="4">
        <f ca="1"/>
        <v>2.7757992989968301</v>
      </c>
      <c r="E232" s="4">
        <f ca="1"/>
        <v>36.014285758666034</v>
      </c>
      <c r="F232" s="4">
        <f ca="1"/>
        <v>-3179.8566689925874</v>
      </c>
      <c r="G232">
        <f ca="1"/>
        <v>-13793.236589934382</v>
      </c>
      <c r="H232">
        <f ca="1"/>
        <v>2.7757992989968301</v>
      </c>
      <c r="I232">
        <f ca="1"/>
        <v>4.6635336881294632E-3</v>
      </c>
      <c r="J232">
        <f ca="1"/>
        <v>-5.5941474055576802E-3</v>
      </c>
      <c r="K232">
        <f ca="1"/>
        <v>0</v>
      </c>
      <c r="L232">
        <f ca="1"/>
        <v>-0.41292853623811254</v>
      </c>
      <c r="M232">
        <f ca="1"/>
        <v>-14.829368699270072</v>
      </c>
      <c r="N232">
        <f ca="1"/>
        <v>-3.6278850886682998</v>
      </c>
      <c r="O232">
        <f ca="1"/>
        <v>0</v>
      </c>
      <c r="P232">
        <f ca="1"/>
        <v>-18.870182324176483</v>
      </c>
      <c r="Q232">
        <f ca="1"/>
        <v>1573.426812434134</v>
      </c>
    </row>
    <row r="233" spans="1:17">
      <c r="A233" s="2">
        <f ca="1"/>
        <v>232</v>
      </c>
      <c r="B233" s="2">
        <f ca="1"/>
        <v>0.56610169491525442</v>
      </c>
      <c r="C233" s="7">
        <f ca="1"/>
        <v>5.7750000000000003E-2</v>
      </c>
      <c r="D233" s="4">
        <f ca="1"/>
        <v>2.7847034673271889</v>
      </c>
      <c r="E233" s="4">
        <f ca="1"/>
        <v>35.218943888771058</v>
      </c>
      <c r="F233" s="4">
        <f ca="1"/>
        <v>-3182.6643016367807</v>
      </c>
      <c r="G233">
        <f ca="1"/>
        <v>-8657.511863364296</v>
      </c>
      <c r="H233">
        <f ca="1"/>
        <v>2.7847034673271889</v>
      </c>
      <c r="I233">
        <f ca="1"/>
        <v>4.6142836582728749E-3</v>
      </c>
      <c r="J233">
        <f ca="1"/>
        <v>-5.4675457643414546E-3</v>
      </c>
      <c r="K233">
        <f ca="1"/>
        <v>0</v>
      </c>
      <c r="L233">
        <f ca="1"/>
        <v>-0.4061463666025989</v>
      </c>
      <c r="M233">
        <f ca="1"/>
        <v>-14.685715876811049</v>
      </c>
      <c r="N233">
        <f ca="1"/>
        <v>-3.3909008285705369</v>
      </c>
      <c r="O233">
        <f ca="1"/>
        <v>0</v>
      </c>
      <c r="P233">
        <f ca="1"/>
        <v>-18.482763071984184</v>
      </c>
      <c r="Q233">
        <f ca="1"/>
        <v>1524.6549030182935</v>
      </c>
    </row>
    <row r="234" spans="1:17">
      <c r="A234" s="2">
        <f ca="1"/>
        <v>233</v>
      </c>
      <c r="B234" s="2">
        <f ca="1"/>
        <v>0.57288135593220346</v>
      </c>
      <c r="C234" s="7">
        <f ca="1"/>
        <v>5.8000000000000003E-2</v>
      </c>
      <c r="D234" s="4">
        <f ca="1"/>
        <v>2.7934087258661213</v>
      </c>
      <c r="E234" s="4">
        <f ca="1"/>
        <v>34.423061246656545</v>
      </c>
      <c r="F234" s="4">
        <f ca="1"/>
        <v>-3184.1802685741418</v>
      </c>
      <c r="G234">
        <f ca="1"/>
        <v>-3459.9109352694836</v>
      </c>
      <c r="H234">
        <f ca="1"/>
        <v>2.7934087258661213</v>
      </c>
      <c r="I234">
        <f ca="1"/>
        <v>4.5672275432425691E-3</v>
      </c>
      <c r="J234">
        <f ca="1"/>
        <v>-5.3428229896861877E-3</v>
      </c>
      <c r="K234">
        <f ca="1"/>
        <v>0</v>
      </c>
      <c r="L234">
        <f ca="1"/>
        <v>-0.39949762187250315</v>
      </c>
      <c r="M234">
        <f ca="1"/>
        <v>-14.542875825281341</v>
      </c>
      <c r="N234">
        <f ca="1"/>
        <v>-3.1654814255134913</v>
      </c>
      <c r="O234">
        <f ca="1"/>
        <v>0</v>
      </c>
      <c r="P234">
        <f ca="1"/>
        <v>-18.107854872667335</v>
      </c>
      <c r="Q234">
        <f ca="1"/>
        <v>1476.4324247476907</v>
      </c>
    </row>
    <row r="235" spans="1:17">
      <c r="A235" s="2">
        <f ca="1"/>
        <v>234</v>
      </c>
      <c r="B235" s="2">
        <f ca="1"/>
        <v>0.57966101694915273</v>
      </c>
      <c r="C235" s="7">
        <f ca="1"/>
        <v>5.8250000000000003E-2</v>
      </c>
      <c r="D235" s="4">
        <f ca="1"/>
        <v>2.8019149799462619</v>
      </c>
      <c r="E235" s="4">
        <f ca="1"/>
        <v>33.626962682380437</v>
      </c>
      <c r="F235" s="4">
        <f ca="1"/>
        <v>-3184.3891007542888</v>
      </c>
      <c r="G235">
        <f ca="1"/>
        <v>1799.5661943504435</v>
      </c>
      <c r="H235">
        <f ca="1"/>
        <v>2.8019149799462619</v>
      </c>
      <c r="I235">
        <f ca="1"/>
        <v>4.5223041684799414E-3</v>
      </c>
      <c r="J235">
        <f ca="1"/>
        <v>-5.2193103500536254E-3</v>
      </c>
      <c r="K235">
        <f ca="1"/>
        <v>0</v>
      </c>
      <c r="L235">
        <f ca="1"/>
        <v>-0.39284413762307718</v>
      </c>
      <c r="M235">
        <f ca="1"/>
        <v>-14.400776104403212</v>
      </c>
      <c r="N235">
        <f ca="1"/>
        <v>-2.9509266175840478</v>
      </c>
      <c r="O235">
        <f ca="1"/>
        <v>0</v>
      </c>
      <c r="P235">
        <f ca="1"/>
        <v>-17.744546859610338</v>
      </c>
      <c r="Q235">
        <f ca="1"/>
        <v>1430.3648460115342</v>
      </c>
    </row>
    <row r="236" spans="1:17">
      <c r="A236" s="2">
        <f ca="1"/>
        <v>235</v>
      </c>
      <c r="B236" s="2">
        <f ca="1"/>
        <v>0.58644067796610178</v>
      </c>
      <c r="C236" s="7">
        <f ca="1"/>
        <v>5.8500000000000003E-2</v>
      </c>
      <c r="D236" s="4">
        <f ca="1"/>
        <v>2.8102222165961659</v>
      </c>
      <c r="E236" s="4">
        <f ca="1"/>
        <v>32.830976913263363</v>
      </c>
      <c r="F236" s="4">
        <f ca="1"/>
        <v>-3183.2753291268396</v>
      </c>
      <c r="G236">
        <f ca="1"/>
        <v>7120.9195254951674</v>
      </c>
      <c r="H236">
        <f ca="1"/>
        <v>2.8102222165961659</v>
      </c>
      <c r="I236">
        <f ca="1"/>
        <v>4.4794485100293404E-3</v>
      </c>
      <c r="J236">
        <f ca="1"/>
        <v>-5.097099136430909E-3</v>
      </c>
      <c r="K236">
        <f ca="1"/>
        <v>0</v>
      </c>
      <c r="L236">
        <f ca="1"/>
        <v>-0.38634163596343718</v>
      </c>
      <c r="M236">
        <f ca="1"/>
        <v>-14.259317930070379</v>
      </c>
      <c r="N236">
        <f ca="1"/>
        <v>-2.7470128836277539</v>
      </c>
      <c r="O236">
        <f ca="1"/>
        <v>0</v>
      </c>
      <c r="P236">
        <f ca="1"/>
        <v>-17.392672449661568</v>
      </c>
      <c r="Q236">
        <f ca="1"/>
        <v>1385.3365082640312</v>
      </c>
    </row>
    <row r="237" spans="1:17">
      <c r="A237" s="2">
        <f ca="1"/>
        <v>236</v>
      </c>
      <c r="B237" s="2">
        <f ca="1"/>
        <v>0.59322033898305104</v>
      </c>
      <c r="C237" s="7">
        <f ca="1"/>
        <v>5.8750000000000004E-2</v>
      </c>
      <c r="D237" s="4">
        <f ca="1"/>
        <v>2.8183305055071295</v>
      </c>
      <c r="E237" s="4">
        <f ca="1"/>
        <v>32.035436523888499</v>
      </c>
      <c r="F237" s="4">
        <f ca="1"/>
        <v>-3180.8234846414143</v>
      </c>
      <c r="G237">
        <f ca="1"/>
        <v>12504.14905816497</v>
      </c>
      <c r="H237">
        <f ca="1"/>
        <v>2.8183305055071295</v>
      </c>
      <c r="I237">
        <f ca="1"/>
        <v>4.438608229257273E-3</v>
      </c>
      <c r="J237">
        <f ca="1"/>
        <v>-4.9764853722008232E-3</v>
      </c>
      <c r="K237">
        <f ca="1"/>
        <v>0</v>
      </c>
      <c r="L237">
        <f ca="1"/>
        <v>-0.37984249659474545</v>
      </c>
      <c r="M237">
        <f ca="1"/>
        <v>-14.118429294744177</v>
      </c>
      <c r="N237">
        <f ca="1"/>
        <v>-2.5536068141393988</v>
      </c>
      <c r="O237">
        <f ca="1"/>
        <v>0</v>
      </c>
      <c r="P237">
        <f ca="1"/>
        <v>-17.051878605478322</v>
      </c>
      <c r="Q237">
        <f ca="1"/>
        <v>1340.863764612769</v>
      </c>
    </row>
    <row r="238" spans="1:17">
      <c r="A238" s="2">
        <f ca="1"/>
        <v>237</v>
      </c>
      <c r="B238" s="2">
        <f ca="1"/>
        <v>0.60000000000000009</v>
      </c>
      <c r="C238" s="7">
        <f ca="1"/>
        <v>5.9000000000000004E-2</v>
      </c>
      <c r="D238" s="4">
        <f ca="1"/>
        <v>2.8262400000000003</v>
      </c>
      <c r="E238" s="4">
        <f ca="1"/>
        <v>31.240677966101689</v>
      </c>
      <c r="F238" s="4">
        <f ca="1"/>
        <v>-3177.0180982476304</v>
      </c>
      <c r="G238">
        <f ca="1"/>
        <v>17949.25479235957</v>
      </c>
      <c r="H238">
        <f ca="1"/>
        <v>2.8262400000000003</v>
      </c>
      <c r="I238">
        <f ca="1"/>
        <v>4.3997145254931549E-3</v>
      </c>
      <c r="J238">
        <f ca="1"/>
        <v>-4.8582251501154677E-3</v>
      </c>
      <c r="K238">
        <f ca="1"/>
        <v>0</v>
      </c>
      <c r="L238">
        <f ca="1"/>
        <v>-0.37350269943044362</v>
      </c>
      <c r="M238">
        <f ca="1"/>
        <v>-13.977972674614739</v>
      </c>
      <c r="N238">
        <f ca="1"/>
        <v>-2.3707651933099996</v>
      </c>
      <c r="O238">
        <f ca="1"/>
        <v>0</v>
      </c>
      <c r="P238">
        <f ca="1"/>
        <v>-16.722240567355183</v>
      </c>
      <c r="Q238">
        <f ca="1"/>
        <v>1298.16811239447</v>
      </c>
    </row>
    <row r="239" spans="1:17">
      <c r="A239" s="2">
        <f ca="1"/>
        <v>238</v>
      </c>
      <c r="B239" s="2">
        <f ca="1"/>
        <v>0.60677966101694936</v>
      </c>
      <c r="C239" s="7">
        <f ca="1"/>
        <v>5.9250000000000004E-2</v>
      </c>
      <c r="D239" s="4">
        <f ca="1"/>
        <v>2.8339509379919958</v>
      </c>
      <c r="E239" s="4">
        <f ca="1"/>
        <v>30.44704155901125</v>
      </c>
      <c r="F239" s="4">
        <f ca="1"/>
        <v>-3171.8437008951068</v>
      </c>
      <c r="G239">
        <f ca="1"/>
        <v>23456.236728079253</v>
      </c>
      <c r="H239">
        <f ca="1"/>
        <v>2.8339509379919958</v>
      </c>
      <c r="I239">
        <f ca="1"/>
        <v>4.3627021796330857E-3</v>
      </c>
      <c r="J239">
        <f ca="1"/>
        <v>-4.7415936516685886E-3</v>
      </c>
      <c r="K239">
        <f ca="1"/>
        <v>0</v>
      </c>
      <c r="L239">
        <f ca="1"/>
        <v>-0.36720350150139763</v>
      </c>
      <c r="M239">
        <f ca="1"/>
        <v>-13.837809427350557</v>
      </c>
      <c r="N239">
        <f ca="1"/>
        <v>-2.1977816204291329</v>
      </c>
      <c r="O239">
        <f ca="1"/>
        <v>0</v>
      </c>
      <c r="P239">
        <f ca="1"/>
        <v>-16.402794549281086</v>
      </c>
      <c r="Q239">
        <f ca="1"/>
        <v>1257.8016175919647</v>
      </c>
    </row>
    <row r="240" spans="1:17">
      <c r="A240" s="2">
        <f ca="1"/>
        <v>239</v>
      </c>
      <c r="B240" s="2">
        <f ca="1"/>
        <v>0.6135593220338984</v>
      </c>
      <c r="C240" s="7">
        <f ca="1"/>
        <v>5.9500000000000004E-2</v>
      </c>
      <c r="D240" s="4">
        <f ca="1"/>
        <v>2.8414636429635189</v>
      </c>
      <c r="E240" s="4">
        <f ca="1"/>
        <v>29.654871488988221</v>
      </c>
      <c r="F240" s="4">
        <f ca="1"/>
        <v>-3165.2848235334632</v>
      </c>
      <c r="G240">
        <f ca="1"/>
        <v>29025.094865323728</v>
      </c>
      <c r="H240">
        <f ca="1"/>
        <v>2.8414636429635189</v>
      </c>
      <c r="I240">
        <f ca="1"/>
        <v>4.3275059582947905E-3</v>
      </c>
      <c r="J240">
        <f ca="1"/>
        <v>-4.626971457938822E-3</v>
      </c>
      <c r="K240">
        <f ca="1"/>
        <v>0</v>
      </c>
      <c r="L240">
        <f ca="1"/>
        <v>-0.36104509421887715</v>
      </c>
      <c r="M240">
        <f ca="1"/>
        <v>-13.697788933541137</v>
      </c>
      <c r="N240">
        <f ca="1"/>
        <v>-2.0345057307991854</v>
      </c>
      <c r="O240">
        <f ca="1"/>
        <v>0</v>
      </c>
      <c r="P240">
        <f ca="1"/>
        <v>-16.0933397585592</v>
      </c>
      <c r="Q240">
        <f ca="1"/>
        <v>1218.5404938143615</v>
      </c>
    </row>
    <row r="241" spans="1:17">
      <c r="A241" s="2">
        <f ca="1"/>
        <v>240</v>
      </c>
      <c r="B241" s="2">
        <f ca="1"/>
        <v>0.62033898305084767</v>
      </c>
      <c r="C241" s="7">
        <f ca="1"/>
        <v>5.9750000000000004E-2</v>
      </c>
      <c r="D241" s="4">
        <f ca="1"/>
        <v>2.8487785249249726</v>
      </c>
      <c r="E241" s="4">
        <f ca="1"/>
        <v>28.864515809666141</v>
      </c>
      <c r="F241" s="4">
        <f ca="1"/>
        <v>-3157.3259971123184</v>
      </c>
      <c r="G241">
        <f ca="1"/>
        <v>34655.829204093287</v>
      </c>
      <c r="H241">
        <f ca="1"/>
        <v>2.8487785249249726</v>
      </c>
      <c r="I241">
        <f ca="1"/>
        <v>4.294073901962704E-3</v>
      </c>
      <c r="J241">
        <f ca="1"/>
        <v>-4.514738746887903E-3</v>
      </c>
      <c r="K241">
        <f ca="1"/>
        <v>0</v>
      </c>
      <c r="L241">
        <f ca="1"/>
        <v>-0.35498265491111641</v>
      </c>
      <c r="M241">
        <f ca="1"/>
        <v>-13.557791164188378</v>
      </c>
      <c r="N241">
        <f ca="1"/>
        <v>-1.8807504832744095</v>
      </c>
      <c r="O241">
        <f ca="1"/>
        <v>0</v>
      </c>
      <c r="P241">
        <f ca="1"/>
        <v>-15.793524302373905</v>
      </c>
      <c r="Q241">
        <f ca="1"/>
        <v>1181.4646764482586</v>
      </c>
    </row>
    <row r="242" spans="1:17">
      <c r="A242" s="2">
        <f ca="1"/>
        <v>241</v>
      </c>
      <c r="B242" s="2">
        <f ca="1"/>
        <v>0.62711864406779672</v>
      </c>
      <c r="C242" s="7">
        <f ca="1"/>
        <v>0.06</v>
      </c>
      <c r="D242" s="4">
        <f ca="1"/>
        <v>2.8558960813835759</v>
      </c>
      <c r="E242" s="4">
        <f ca="1"/>
        <v>28.07632644194123</v>
      </c>
      <c r="F242" s="4">
        <f ca="1"/>
        <v>-3147.9517525812903</v>
      </c>
      <c r="G242">
        <f ca="1"/>
        <v>40348.439744387601</v>
      </c>
      <c r="H242">
        <f ca="1"/>
        <v>2.8558960813835759</v>
      </c>
      <c r="I242">
        <f ca="1"/>
        <v>4.2623327316020625E-3</v>
      </c>
      <c r="J242">
        <f ca="1"/>
        <v>-4.4044306280704324E-3</v>
      </c>
      <c r="K242">
        <f ca="1"/>
        <v>0</v>
      </c>
      <c r="L242">
        <f ca="1"/>
        <v>-0.34902710557642586</v>
      </c>
      <c r="M242">
        <f ca="1"/>
        <v>-13.417617792531312</v>
      </c>
      <c r="N242">
        <f ca="1"/>
        <v>-1.7359625222273409</v>
      </c>
      <c r="O242">
        <f ca="1"/>
        <v>0</v>
      </c>
      <c r="P242">
        <f ca="1"/>
        <v>-15.502607420335078</v>
      </c>
      <c r="Q242">
        <f ca="1"/>
        <v>1146.2911436096065</v>
      </c>
    </row>
    <row r="243" spans="1:17">
      <c r="A243" s="2">
        <f ca="1"/>
        <v>242</v>
      </c>
      <c r="B243" s="2">
        <f ca="1"/>
        <v>0.63389830508474576</v>
      </c>
      <c r="C243" s="7">
        <f ca="1"/>
        <v>6.0249999999999998E-2</v>
      </c>
      <c r="D243" s="4">
        <f ca="1"/>
        <v>2.8628168983101805</v>
      </c>
      <c r="E243" s="4">
        <f ca="1"/>
        <v>27.290659173972205</v>
      </c>
      <c r="F243" s="4">
        <f ca="1"/>
        <v>-3137.1466208899974</v>
      </c>
      <c r="G243">
        <f ca="1"/>
        <v>46102.926486206932</v>
      </c>
      <c r="H243">
        <f ca="1"/>
        <v>2.8628168983101805</v>
      </c>
      <c r="I243">
        <f ca="1"/>
        <v>4.2322217291119067E-3</v>
      </c>
      <c r="J243">
        <f ca="1"/>
        <v>-4.2967046167021027E-3</v>
      </c>
      <c r="K243">
        <f ca="1"/>
        <v>0</v>
      </c>
      <c r="L243">
        <f ca="1"/>
        <v>-0.34322863412122728</v>
      </c>
      <c r="M243">
        <f ca="1"/>
        <v>-13.277100096340639</v>
      </c>
      <c r="N243">
        <f ca="1"/>
        <v>-1.6000500001072426</v>
      </c>
      <c r="O243">
        <f ca="1"/>
        <v>0</v>
      </c>
      <c r="P243">
        <f ca="1"/>
        <v>-15.220378730569109</v>
      </c>
      <c r="Q243">
        <f ca="1"/>
        <v>1112.8206794354928</v>
      </c>
    </row>
    <row r="244" spans="1:17">
      <c r="A244" s="2">
        <f ca="1"/>
        <v>243</v>
      </c>
      <c r="B244" s="2">
        <f ca="1"/>
        <v>0.64067796610169503</v>
      </c>
      <c r="C244" s="7">
        <f ca="1"/>
        <v>6.0499999999999998E-2</v>
      </c>
      <c r="D244" s="4">
        <f ca="1"/>
        <v>2.8695416511060845</v>
      </c>
      <c r="E244" s="4">
        <f ca="1"/>
        <v>26.507873661180444</v>
      </c>
      <c r="F244" s="4">
        <f ca="1"/>
        <v>-3124.8951329880592</v>
      </c>
      <c r="G244">
        <f ca="1"/>
        <v>51919.289429551303</v>
      </c>
      <c r="H244">
        <f ca="1"/>
        <v>2.8695416511060845</v>
      </c>
      <c r="I244">
        <f ca="1"/>
        <v>4.2036781523900136E-3</v>
      </c>
      <c r="J244">
        <f ca="1"/>
        <v>-4.1915943118028733E-3</v>
      </c>
      <c r="K244">
        <f ca="1"/>
        <v>0</v>
      </c>
      <c r="L244">
        <f ca="1"/>
        <v>-0.33749541428022228</v>
      </c>
      <c r="M244">
        <f ca="1"/>
        <v>-13.136053399051791</v>
      </c>
      <c r="N244">
        <f ca="1"/>
        <v>-1.4726482672853161</v>
      </c>
      <c r="O244">
        <f ca="1"/>
        <v>0</v>
      </c>
      <c r="P244">
        <f ca="1"/>
        <v>-14.946197080617331</v>
      </c>
      <c r="Q244">
        <f ca="1"/>
        <v>1081.7440609623884</v>
      </c>
    </row>
    <row r="245" spans="1:17">
      <c r="A245" s="2">
        <f ca="1"/>
        <v>244</v>
      </c>
      <c r="B245" s="2">
        <f ca="1"/>
        <v>0.64745762711864407</v>
      </c>
      <c r="C245" s="7">
        <f ca="1"/>
        <v>6.0749999999999998E-2</v>
      </c>
      <c r="D245" s="4">
        <f ca="1"/>
        <v>2.8760711055698502</v>
      </c>
      <c r="E245" s="4">
        <f ca="1"/>
        <v>25.728333426249939</v>
      </c>
      <c r="F245" s="4">
        <f ca="1"/>
        <v>-3111.1818198250949</v>
      </c>
      <c r="G245">
        <f ca="1"/>
        <v>57797.52857442043</v>
      </c>
      <c r="H245">
        <f ca="1"/>
        <v>2.8760711055698502</v>
      </c>
      <c r="I245">
        <f ca="1"/>
        <v>4.1766447866851695E-3</v>
      </c>
      <c r="J245">
        <f ca="1"/>
        <v>-4.0887756478695803E-3</v>
      </c>
      <c r="K245">
        <f ca="1"/>
        <v>0</v>
      </c>
      <c r="L245">
        <f ca="1"/>
        <v>-0.33192869695711097</v>
      </c>
      <c r="M245">
        <f ca="1"/>
        <v>-12.994301328202161</v>
      </c>
      <c r="N245">
        <f ca="1"/>
        <v>-1.3532766749286445</v>
      </c>
      <c r="O245">
        <f ca="1"/>
        <v>0</v>
      </c>
      <c r="P245">
        <f ca="1"/>
        <v>-14.679506700087915</v>
      </c>
      <c r="Q245">
        <f ca="1"/>
        <v>1052.666724748362</v>
      </c>
    </row>
    <row r="246" spans="1:17">
      <c r="A246" s="2">
        <f ca="1"/>
        <v>245</v>
      </c>
      <c r="B246" s="2">
        <f ca="1"/>
        <v>0.65423728813559334</v>
      </c>
      <c r="C246" s="7">
        <f ca="1"/>
        <v>6.0999999999999999E-2</v>
      </c>
      <c r="D246" s="4">
        <f ca="1"/>
        <v>2.8824061188641177</v>
      </c>
      <c r="E246" s="4">
        <f ca="1"/>
        <v>24.952405859127175</v>
      </c>
      <c r="F246" s="4">
        <f ca="1"/>
        <v>-3095.9912123507215</v>
      </c>
      <c r="G246">
        <f ca="1"/>
        <v>63737.64392081472</v>
      </c>
      <c r="H246">
        <f ca="1"/>
        <v>2.8824061188641177</v>
      </c>
      <c r="I246">
        <f ca="1"/>
        <v>4.1510622303847977E-3</v>
      </c>
      <c r="J246">
        <f ca="1"/>
        <v>-3.9886828234170744E-3</v>
      </c>
      <c r="K246">
        <f ca="1"/>
        <v>0</v>
      </c>
      <c r="L246">
        <f ca="1"/>
        <v>-0.32648957945121831</v>
      </c>
      <c r="M246">
        <f ca="1"/>
        <v>-12.85165218719232</v>
      </c>
      <c r="N246">
        <f ca="1"/>
        <v>-1.2417219515996114</v>
      </c>
      <c r="O246">
        <f ca="1"/>
        <v>0</v>
      </c>
      <c r="P246">
        <f ca="1"/>
        <v>-14.41986371824315</v>
      </c>
      <c r="Q246">
        <f ca="1"/>
        <v>1025.8519991196192</v>
      </c>
    </row>
    <row r="247" spans="1:17">
      <c r="A247" s="2">
        <f ca="1"/>
        <v>246</v>
      </c>
      <c r="B247" s="2">
        <f ca="1"/>
        <v>0.66101694915254239</v>
      </c>
      <c r="C247" s="7">
        <f ca="1"/>
        <v>6.1249999999999999E-2</v>
      </c>
      <c r="D247" s="4">
        <f ca="1"/>
        <v>2.8885476404824226</v>
      </c>
      <c r="E247" s="4">
        <f ca="1"/>
        <v>24.180462217021393</v>
      </c>
      <c r="F247" s="4">
        <f ca="1"/>
        <v>-3079.3078415145601</v>
      </c>
      <c r="G247">
        <f ca="1"/>
        <v>69739.635468733759</v>
      </c>
      <c r="H247">
        <f ca="1"/>
        <v>2.8885476404824226</v>
      </c>
      <c r="I247">
        <f ca="1"/>
        <v>4.1268596427302146E-3</v>
      </c>
      <c r="J247">
        <f ca="1"/>
        <v>-3.8910750031219596E-3</v>
      </c>
      <c r="K247">
        <f ca="1"/>
        <v>0</v>
      </c>
      <c r="L247">
        <f ca="1"/>
        <v>-0.32116387285551423</v>
      </c>
      <c r="M247">
        <f ca="1"/>
        <v>-12.707871258689126</v>
      </c>
      <c r="N247">
        <f ca="1"/>
        <v>-1.1375455689834639</v>
      </c>
      <c r="O247">
        <f ca="1"/>
        <v>0</v>
      </c>
      <c r="P247">
        <f ca="1"/>
        <v>-14.166580700528105</v>
      </c>
      <c r="Q247">
        <f ca="1"/>
        <v>1001.1153426936934</v>
      </c>
    </row>
    <row r="248" spans="1:17">
      <c r="A248" s="2">
        <f ca="1"/>
        <v>247</v>
      </c>
      <c r="B248" s="2">
        <f ca="1"/>
        <v>0.66779661016949166</v>
      </c>
      <c r="C248" s="7">
        <f ca="1"/>
        <v>6.1499999999999999E-2</v>
      </c>
      <c r="D248" s="4">
        <f ca="1"/>
        <v>2.89449671321601</v>
      </c>
      <c r="E248" s="4">
        <f ca="1"/>
        <v>23.412877624404238</v>
      </c>
      <c r="F248" s="4">
        <f ca="1"/>
        <v>-3061.1162382662278</v>
      </c>
      <c r="G248">
        <f ca="1"/>
        <v>75803.503218177924</v>
      </c>
      <c r="H248">
        <f ca="1"/>
        <v>2.89449671321601</v>
      </c>
      <c r="I248">
        <f ca="1"/>
        <v>4.1039984682300131E-3</v>
      </c>
      <c r="J248">
        <f ca="1"/>
        <v>-3.7962611457613036E-3</v>
      </c>
      <c r="K248">
        <f ca="1"/>
        <v>0</v>
      </c>
      <c r="L248">
        <f ca="1"/>
        <v>-0.31600505100896115</v>
      </c>
      <c r="M248">
        <f ca="1"/>
        <v>-12.562816352918619</v>
      </c>
      <c r="N248">
        <f ca="1"/>
        <v>-1.0404846429687233</v>
      </c>
      <c r="O248">
        <f ca="1"/>
        <v>0</v>
      </c>
      <c r="P248">
        <f ca="1"/>
        <v>-13.919306046896303</v>
      </c>
      <c r="Q248">
        <f ca="1"/>
        <v>978.49748941338805</v>
      </c>
    </row>
    <row r="249" spans="1:17">
      <c r="A249" s="2">
        <f ca="1"/>
        <v>248</v>
      </c>
      <c r="B249" s="2">
        <f ca="1"/>
        <v>0.6745762711864407</v>
      </c>
      <c r="C249" s="7">
        <f ca="1"/>
        <v>6.1749999999999999E-2</v>
      </c>
      <c r="D249" s="4">
        <f ca="1"/>
        <v>2.9002544741206506</v>
      </c>
      <c r="E249" s="4">
        <f ca="1"/>
        <v>22.650031073010155</v>
      </c>
      <c r="F249" s="4">
        <f ca="1"/>
        <v>-3041.4009335553442</v>
      </c>
      <c r="G249">
        <f ca="1"/>
        <v>81929.247169146809</v>
      </c>
      <c r="H249">
        <f ca="1"/>
        <v>2.9002544741206506</v>
      </c>
      <c r="I249">
        <f ca="1"/>
        <v>4.0824048161859691E-3</v>
      </c>
      <c r="J249">
        <f ca="1"/>
        <v>-3.7040390959286042E-3</v>
      </c>
      <c r="K249">
        <f ca="1"/>
        <v>0</v>
      </c>
      <c r="L249">
        <f ca="1"/>
        <v>-0.3109718312589197</v>
      </c>
      <c r="M249">
        <f ca="1"/>
        <v>-12.41622981909884</v>
      </c>
      <c r="N249">
        <f ca="1"/>
        <v>-0.95013030546365096</v>
      </c>
      <c r="O249">
        <f ca="1"/>
        <v>0</v>
      </c>
      <c r="P249">
        <f ca="1"/>
        <v>-13.67733195582141</v>
      </c>
      <c r="Q249">
        <f ca="1"/>
        <v>958.25472715456704</v>
      </c>
    </row>
    <row r="250" spans="1:17">
      <c r="A250" s="2">
        <f ca="1"/>
        <v>249</v>
      </c>
      <c r="B250" s="2">
        <f ca="1"/>
        <v>0.68135593220338997</v>
      </c>
      <c r="C250" s="7">
        <f ca="1"/>
        <v>6.2E-2</v>
      </c>
      <c r="D250" s="4">
        <f ca="1"/>
        <v>2.9058221554834578</v>
      </c>
      <c r="E250" s="4">
        <f ca="1"/>
        <v>21.892305421835982</v>
      </c>
      <c r="F250" s="4">
        <f ca="1"/>
        <v>-3020.1464583315274</v>
      </c>
      <c r="G250">
        <f ca="1"/>
        <v>88116.867321640879</v>
      </c>
      <c r="H250">
        <f ca="1"/>
        <v>2.9058221554834578</v>
      </c>
      <c r="I250">
        <f ca="1"/>
        <v>4.0620275071308757E-3</v>
      </c>
      <c r="J250">
        <f ca="1"/>
        <v>-3.6146057837470923E-3</v>
      </c>
      <c r="K250">
        <f ca="1"/>
        <v>0</v>
      </c>
      <c r="L250">
        <f ca="1"/>
        <v>-0.30606914881835084</v>
      </c>
      <c r="M250">
        <f ca="1"/>
        <v>-12.267917989306557</v>
      </c>
      <c r="N250">
        <f ca="1"/>
        <v>-0.86619154519411012</v>
      </c>
      <c r="O250">
        <f ca="1"/>
        <v>0</v>
      </c>
      <c r="P250">
        <f ca="1"/>
        <v>-13.440178683319019</v>
      </c>
      <c r="Q250">
        <f ca="1"/>
        <v>939.95568355891646</v>
      </c>
    </row>
    <row r="251" spans="1:17">
      <c r="A251" s="2">
        <f ca="1"/>
        <v>250</v>
      </c>
      <c r="B251" s="2">
        <f ca="1"/>
        <v>0.68813559322033901</v>
      </c>
      <c r="C251" s="7">
        <f ca="1"/>
        <v>6.225E-2</v>
      </c>
      <c r="D251" s="4">
        <f ca="1"/>
        <v>2.9112010857896999</v>
      </c>
      <c r="E251" s="4">
        <f ca="1"/>
        <v>21.140087397141325</v>
      </c>
      <c r="F251" s="4">
        <f ca="1"/>
        <v>-2997.3373435443968</v>
      </c>
      <c r="G251">
        <f ca="1"/>
        <v>94366.363675659639</v>
      </c>
      <c r="H251">
        <f ca="1"/>
        <v>2.9112010857896999</v>
      </c>
      <c r="I251">
        <f ca="1"/>
        <v>4.042815639489817E-3</v>
      </c>
      <c r="J251">
        <f ca="1"/>
        <v>-3.5280077819883275E-3</v>
      </c>
      <c r="K251">
        <f ca="1"/>
        <v>0</v>
      </c>
      <c r="L251">
        <f ca="1"/>
        <v>-0.3013326731756138</v>
      </c>
      <c r="M251">
        <f ca="1"/>
        <v>-12.117682289308149</v>
      </c>
      <c r="N251">
        <f ca="1"/>
        <v>-0.78833915155818968</v>
      </c>
      <c r="O251">
        <f ca="1"/>
        <v>0</v>
      </c>
      <c r="P251">
        <f ca="1"/>
        <v>-13.207354114041951</v>
      </c>
      <c r="Q251">
        <f ca="1"/>
        <v>923.79877149412971</v>
      </c>
    </row>
    <row r="252" spans="1:17">
      <c r="A252" s="2">
        <f ca="1"/>
        <v>251</v>
      </c>
      <c r="B252" s="2">
        <f ca="1"/>
        <v>0.69491525423728828</v>
      </c>
      <c r="C252" s="7">
        <f ca="1"/>
        <v>6.25E-2</v>
      </c>
      <c r="D252" s="4">
        <f ca="1"/>
        <v>2.9163926906896194</v>
      </c>
      <c r="E252" s="4">
        <f ca="1"/>
        <v>20.393767592448249</v>
      </c>
      <c r="F252" s="4">
        <f ca="1"/>
        <v>-2972.9581201435708</v>
      </c>
      <c r="G252">
        <f ca="1"/>
        <v>100677.73623120355</v>
      </c>
      <c r="H252">
        <f ca="1"/>
        <v>2.9163926906896194</v>
      </c>
      <c r="I252">
        <f ca="1"/>
        <v>4.0247177345307458E-3</v>
      </c>
      <c r="J252">
        <f ca="1"/>
        <v>-3.444152838970249E-3</v>
      </c>
      <c r="K252">
        <f ca="1"/>
        <v>0</v>
      </c>
      <c r="L252">
        <f ca="1"/>
        <v>-0.29674053121848276</v>
      </c>
      <c r="M252">
        <f ca="1"/>
        <v>-11.965317270159018</v>
      </c>
      <c r="N252">
        <f ca="1"/>
        <v>-0.71622149619445341</v>
      </c>
      <c r="O252">
        <f ca="1"/>
        <v>0</v>
      </c>
      <c r="P252">
        <f ca="1"/>
        <v>-12.978279297571953</v>
      </c>
      <c r="Q252">
        <f ca="1"/>
        <v>909.87309551448016</v>
      </c>
    </row>
    <row r="253" spans="1:17">
      <c r="A253" s="2">
        <f ca="1"/>
        <v>252</v>
      </c>
      <c r="B253" s="2">
        <f ca="1"/>
        <v>0.70169491525423733</v>
      </c>
      <c r="C253" s="7">
        <f ca="1"/>
        <v>6.275E-2</v>
      </c>
      <c r="D253" s="4">
        <f ca="1"/>
        <v>2.9213984939652473</v>
      </c>
      <c r="E253" s="4">
        <f ca="1"/>
        <v>19.65374046854155</v>
      </c>
      <c r="F253" s="4">
        <f ca="1"/>
        <v>-2946.9933190786674</v>
      </c>
      <c r="G253">
        <f ca="1"/>
        <v>107050.98498827223</v>
      </c>
      <c r="H253">
        <f ca="1"/>
        <v>2.9213984939652473</v>
      </c>
      <c r="I253">
        <f ca="1"/>
        <v>4.0076824489789793E-3</v>
      </c>
      <c r="J253">
        <f ca="1"/>
        <v>-3.3631052457893411E-3</v>
      </c>
      <c r="K253">
        <f ca="1"/>
        <v>0</v>
      </c>
      <c r="L253">
        <f ca="1"/>
        <v>-0.29227164906320646</v>
      </c>
      <c r="M253">
        <f ca="1"/>
        <v>-11.810613402129883</v>
      </c>
      <c r="N253">
        <f ca="1"/>
        <v>-0.64953251509162169</v>
      </c>
      <c r="O253">
        <f ca="1"/>
        <v>0</v>
      </c>
      <c r="P253">
        <f ca="1"/>
        <v>-12.752417566284711</v>
      </c>
      <c r="Q253">
        <f ca="1"/>
        <v>897.99470852448155</v>
      </c>
    </row>
    <row r="254" spans="1:17">
      <c r="A254" s="2">
        <f ca="1"/>
        <v>253</v>
      </c>
      <c r="B254" s="2">
        <f ca="1"/>
        <v>0.7084745762711866</v>
      </c>
      <c r="C254" s="7">
        <f ca="1"/>
        <v>6.3E-2</v>
      </c>
      <c r="D254" s="4">
        <f ca="1"/>
        <v>2.9262201184972172</v>
      </c>
      <c r="E254" s="4">
        <f ca="1"/>
        <v>18.920404353468459</v>
      </c>
      <c r="F254" s="4">
        <f ca="1"/>
        <v>-2919.4274712993069</v>
      </c>
      <c r="G254">
        <f ca="1"/>
        <v>113486.10994686601</v>
      </c>
      <c r="H254">
        <f ca="1"/>
        <v>2.9262201184972172</v>
      </c>
      <c r="I254">
        <f ca="1"/>
        <v>3.9916579645850438E-3</v>
      </c>
      <c r="J254">
        <f ca="1"/>
        <v>-3.2848541325130442E-3</v>
      </c>
      <c r="K254">
        <f ca="1"/>
        <v>0</v>
      </c>
      <c r="L254">
        <f ca="1"/>
        <v>-0.2879671906888091</v>
      </c>
      <c r="M254">
        <f ca="1"/>
        <v>-11.653355917840253</v>
      </c>
      <c r="N254">
        <f ca="1"/>
        <v>-0.58795883478065081</v>
      </c>
      <c r="O254">
        <f ca="1"/>
        <v>0</v>
      </c>
      <c r="P254">
        <f ca="1"/>
        <v>-12.529281943309712</v>
      </c>
      <c r="Q254">
        <f ca="1"/>
        <v>888.12378166225085</v>
      </c>
    </row>
    <row r="255" spans="1:17">
      <c r="A255" s="2">
        <f ca="1"/>
        <v>254</v>
      </c>
      <c r="B255" s="2">
        <f ca="1"/>
        <v>0.71525423728813564</v>
      </c>
      <c r="C255" s="7">
        <f ca="1"/>
        <v>6.3250000000000001E-2</v>
      </c>
      <c r="D255" s="4">
        <f ca="1"/>
        <v>2.9308592872315842</v>
      </c>
      <c r="E255" s="4">
        <f ca="1"/>
        <v>18.194161442538963</v>
      </c>
      <c r="F255" s="4">
        <f ca="1"/>
        <v>-2890.2451077551073</v>
      </c>
      <c r="G255">
        <f ca="1"/>
        <v>119983.11110698456</v>
      </c>
      <c r="H255">
        <f ca="1"/>
        <v>2.9308592872315842</v>
      </c>
      <c r="I255">
        <f ca="1"/>
        <v>3.9765926930474269E-3</v>
      </c>
      <c r="J255">
        <f ca="1"/>
        <v>-3.2094159178993843E-3</v>
      </c>
      <c r="K255">
        <f ca="1"/>
        <v>0</v>
      </c>
      <c r="L255">
        <f ca="1"/>
        <v>-0.28382561795196842</v>
      </c>
      <c r="M255">
        <f ca="1"/>
        <v>-11.493327576615032</v>
      </c>
      <c r="N255">
        <f ca="1"/>
        <v>-0.53120248088658462</v>
      </c>
      <c r="O255">
        <f ca="1"/>
        <v>0</v>
      </c>
      <c r="P255">
        <f ca="1"/>
        <v>-12.308355675453585</v>
      </c>
      <c r="Q255">
        <f ca="1"/>
        <v>880.32883696286672</v>
      </c>
    </row>
    <row r="256" spans="1:17">
      <c r="A256" s="2">
        <f ca="1"/>
        <v>255</v>
      </c>
      <c r="B256" s="2">
        <f ca="1"/>
        <v>0.72203389830508491</v>
      </c>
      <c r="C256" s="7">
        <f ca="1"/>
        <v>6.3500000000000001E-2</v>
      </c>
      <c r="D256" s="4">
        <f ca="1"/>
        <v>2.9353178241466376</v>
      </c>
      <c r="E256" s="4">
        <f ca="1"/>
        <v>17.475417798325502</v>
      </c>
      <c r="F256" s="4">
        <f ca="1"/>
        <v>-2859.4307593956878</v>
      </c>
      <c r="G256">
        <f ca="1"/>
        <v>126541.98846862823</v>
      </c>
      <c r="H256">
        <f ca="1"/>
        <v>2.9353178241466376</v>
      </c>
      <c r="I256">
        <f ca="1"/>
        <v>3.9624442553807988E-3</v>
      </c>
      <c r="J256">
        <f ca="1"/>
        <v>-3.1367861608758148E-3</v>
      </c>
      <c r="K256">
        <f ca="1"/>
        <v>0</v>
      </c>
      <c r="L256">
        <f ca="1"/>
        <v>-0.27981061938701157</v>
      </c>
      <c r="M256">
        <f ca="1"/>
        <v>-11.330334986226598</v>
      </c>
      <c r="N256">
        <f ca="1"/>
        <v>-0.47897191921466842</v>
      </c>
      <c r="O256">
        <f ca="1"/>
        <v>0</v>
      </c>
      <c r="P256">
        <f ca="1"/>
        <v>-12.089117524828279</v>
      </c>
      <c r="Q256">
        <f ca="1"/>
        <v>874.49201918302595</v>
      </c>
    </row>
    <row r="257" spans="1:17">
      <c r="A257" s="2">
        <f ca="1"/>
        <v>256</v>
      </c>
      <c r="B257" s="2">
        <f ca="1"/>
        <v>0.72881355932203395</v>
      </c>
      <c r="C257" s="7">
        <f ca="1"/>
        <v>6.3750000000000001E-2</v>
      </c>
      <c r="D257" s="4">
        <f ca="1"/>
        <v>2.9395976552197172</v>
      </c>
      <c r="E257" s="4">
        <f ca="1"/>
        <v>16.764583350663251</v>
      </c>
      <c r="F257" s="4">
        <f ca="1"/>
        <v>-2826.9689571706667</v>
      </c>
      <c r="G257">
        <f ca="1"/>
        <v>133162.74203179666</v>
      </c>
      <c r="H257">
        <f ca="1"/>
        <v>2.9395976552197172</v>
      </c>
      <c r="I257">
        <f ca="1"/>
        <v>3.9491697936788949E-3</v>
      </c>
      <c r="J257">
        <f ca="1"/>
        <v>-3.0669588389123557E-3</v>
      </c>
      <c r="K257">
        <f ca="1"/>
        <v>0</v>
      </c>
      <c r="L257">
        <f ca="1"/>
        <v>-0.27594293730154934</v>
      </c>
      <c r="M257">
        <f ca="1"/>
        <v>-11.164180413326322</v>
      </c>
      <c r="N257">
        <f ca="1"/>
        <v>-0.43098631523419978</v>
      </c>
      <c r="O257">
        <f ca="1"/>
        <v>0</v>
      </c>
      <c r="P257">
        <f ca="1"/>
        <v>-11.871109665862072</v>
      </c>
      <c r="Q257">
        <f ca="1"/>
        <v>870.49777477533678</v>
      </c>
    </row>
    <row r="258" spans="1:17">
      <c r="A258" s="2">
        <f ca="1"/>
        <v>257</v>
      </c>
      <c r="B258" s="2">
        <f ca="1"/>
        <v>0.73559322033898322</v>
      </c>
      <c r="C258" s="7">
        <f ca="1"/>
        <v>6.4000000000000001E-2</v>
      </c>
      <c r="D258" s="4">
        <f ca="1"/>
        <v>2.9437008093940307</v>
      </c>
      <c r="E258" s="4">
        <f ca="1"/>
        <v>16.062071896649829</v>
      </c>
      <c r="F258" s="4">
        <f ca="1"/>
        <v>-2792.8442320296622</v>
      </c>
      <c r="G258">
        <f ca="1"/>
        <v>139845.37179649019</v>
      </c>
      <c r="H258">
        <f ca="1"/>
        <v>2.9437008093940307</v>
      </c>
      <c r="I258">
        <f ca="1"/>
        <v>3.9367240582402927E-3</v>
      </c>
      <c r="J258">
        <f ca="1"/>
        <v>-2.9999334067174308E-3</v>
      </c>
      <c r="K258">
        <f ca="1"/>
        <v>0</v>
      </c>
      <c r="L258">
        <f ca="1"/>
        <v>-0.27223491807768252</v>
      </c>
      <c r="M258">
        <f ca="1"/>
        <v>-10.994657079148805</v>
      </c>
      <c r="N258">
        <f ca="1"/>
        <v>-0.38697664021412259</v>
      </c>
      <c r="O258">
        <f ca="1"/>
        <v>0</v>
      </c>
      <c r="P258">
        <f ca="1"/>
        <v>-11.65386863744061</v>
      </c>
      <c r="Q258">
        <f ca="1"/>
        <v>868.37918716331251</v>
      </c>
    </row>
    <row r="259" spans="1:17">
      <c r="A259" s="2">
        <f ca="1"/>
        <v>258</v>
      </c>
      <c r="B259" s="2">
        <f ca="1"/>
        <v>0.74237288135593227</v>
      </c>
      <c r="C259" s="7">
        <f ca="1"/>
        <v>6.4250000000000002E-2</v>
      </c>
      <c r="D259" s="4">
        <f ca="1"/>
        <v>2.9476294195454673</v>
      </c>
      <c r="E259" s="4">
        <f ca="1"/>
        <v>15.368301100645613</v>
      </c>
      <c r="F259" s="4">
        <f ca="1"/>
        <v>-2757.0411149222941</v>
      </c>
      <c r="G259">
        <f ca="1"/>
        <v>146589.87776270849</v>
      </c>
      <c r="H259">
        <f ca="1"/>
        <v>2.9476294195454673</v>
      </c>
      <c r="I259">
        <f ca="1"/>
        <v>3.9250617466042182E-3</v>
      </c>
      <c r="J259">
        <f ca="1"/>
        <v>-2.9356588744574633E-3</v>
      </c>
      <c r="K259">
        <f ca="1"/>
        <v>0</v>
      </c>
      <c r="L259">
        <f ca="1"/>
        <v>-0.26868463423609545</v>
      </c>
      <c r="M259">
        <f ca="1"/>
        <v>-10.82155661399654</v>
      </c>
      <c r="N259">
        <f ca="1"/>
        <v>-0.34667882404778078</v>
      </c>
      <c r="O259">
        <f ca="1"/>
        <v>0</v>
      </c>
      <c r="P259">
        <f ca="1"/>
        <v>-11.436920072280415</v>
      </c>
      <c r="Q259">
        <f ca="1"/>
        <v>868.10017945616653</v>
      </c>
    </row>
    <row r="260" spans="1:17">
      <c r="A260" s="2">
        <f ca="1"/>
        <v>259</v>
      </c>
      <c r="B260" s="2">
        <f ca="1"/>
        <v>0.74915254237288154</v>
      </c>
      <c r="C260" s="7">
        <f ca="1"/>
        <v>6.4500000000000002E-2</v>
      </c>
      <c r="D260" s="4">
        <f ca="1"/>
        <v>2.9513857234494139</v>
      </c>
      <c r="E260" s="4">
        <f ca="1"/>
        <v>14.683692494273417</v>
      </c>
      <c r="F260" s="4">
        <f ca="1"/>
        <v>-2719.5441367981803</v>
      </c>
      <c r="G260">
        <f ca="1"/>
        <v>153396.25993045198</v>
      </c>
      <c r="H260">
        <f ca="1"/>
        <v>2.9513857234494139</v>
      </c>
      <c r="I260">
        <f ca="1"/>
        <v>3.9141475319822714E-3</v>
      </c>
      <c r="J260">
        <f ca="1"/>
        <v>-2.8741492195678308E-3</v>
      </c>
      <c r="K260">
        <f ca="1"/>
        <v>0</v>
      </c>
      <c r="L260">
        <f ca="1"/>
        <v>-0.2652727339621988</v>
      </c>
      <c r="M260">
        <f ca="1"/>
        <v>-10.644696971165454</v>
      </c>
      <c r="N260">
        <f ca="1"/>
        <v>-0.30984884258487316</v>
      </c>
      <c r="O260">
        <f ca="1"/>
        <v>0</v>
      </c>
      <c r="P260">
        <f ca="1"/>
        <v>-11.219818547712526</v>
      </c>
      <c r="Q260">
        <f ca="1"/>
        <v>869.55976547076045</v>
      </c>
    </row>
    <row r="261" spans="1:17">
      <c r="A261" s="2">
        <f ca="1"/>
        <v>260</v>
      </c>
      <c r="B261" s="2">
        <f ca="1"/>
        <v>0.75593220338983058</v>
      </c>
      <c r="C261" s="7">
        <f ca="1"/>
        <v>6.4750000000000002E-2</v>
      </c>
      <c r="D261" s="4">
        <f ca="1"/>
        <v>2.9549720647475715</v>
      </c>
      <c r="E261" s="4">
        <f ca="1"/>
        <v>14.00867147641878</v>
      </c>
      <c r="F261" s="4">
        <f ca="1"/>
        <v>-2680.3378286069419</v>
      </c>
      <c r="G261">
        <f ca="1"/>
        <v>160264.5182997201</v>
      </c>
      <c r="H261">
        <f ca="1"/>
        <v>2.9549720647475715</v>
      </c>
      <c r="I261">
        <f ca="1"/>
        <v>3.9039465450097744E-3</v>
      </c>
      <c r="J261">
        <f ca="1"/>
        <v>-2.8153659393697515E-3</v>
      </c>
      <c r="K261">
        <f ca="1"/>
        <v>0</v>
      </c>
      <c r="L261">
        <f ca="1"/>
        <v>-0.26199682887675807</v>
      </c>
      <c r="M261">
        <f ca="1"/>
        <v>-10.463895605449071</v>
      </c>
      <c r="N261">
        <f ca="1"/>
        <v>-0.27624775521920603</v>
      </c>
      <c r="O261">
        <f ca="1"/>
        <v>0</v>
      </c>
      <c r="P261">
        <f ca="1"/>
        <v>-11.002140189545035</v>
      </c>
      <c r="Q261">
        <f ca="1"/>
        <v>872.70129190353805</v>
      </c>
    </row>
    <row r="262" spans="1:17">
      <c r="A262" s="2">
        <f ca="1"/>
        <v>261</v>
      </c>
      <c r="B262" s="2">
        <f ca="1"/>
        <v>0.76271186440677985</v>
      </c>
      <c r="C262" s="7">
        <f ca="1"/>
        <v>6.5000000000000002E-2</v>
      </c>
      <c r="D262" s="4">
        <f ca="1"/>
        <v>2.9583908939147694</v>
      </c>
      <c r="E262" s="4">
        <f ca="1"/>
        <v>13.343667313229748</v>
      </c>
      <c r="F262" s="4">
        <f ca="1"/>
        <v>-2639.4067212981936</v>
      </c>
      <c r="G262">
        <f ca="1"/>
        <v>167194.65287051347</v>
      </c>
      <c r="H262">
        <f ca="1"/>
        <v>2.9583908939147694</v>
      </c>
      <c r="I262">
        <f ca="1"/>
        <v>3.8944162912511126E-3</v>
      </c>
      <c r="J262">
        <f ca="1"/>
        <v>-2.7592323651345506E-3</v>
      </c>
      <c r="K262">
        <f ca="1"/>
        <v>0</v>
      </c>
      <c r="L262">
        <f ca="1"/>
        <v>-0.25887393595498553</v>
      </c>
      <c r="M262">
        <f ca="1"/>
        <v>-10.278948534661369</v>
      </c>
      <c r="N262">
        <f ca="1"/>
        <v>-0.24564543114440127</v>
      </c>
      <c r="O262">
        <f ca="1"/>
        <v>0</v>
      </c>
      <c r="P262">
        <f ca="1"/>
        <v>-10.783467901760757</v>
      </c>
      <c r="Q262">
        <f ca="1"/>
        <v>877.42663250940029</v>
      </c>
    </row>
    <row r="263" spans="1:17">
      <c r="A263" s="2">
        <f ca="1"/>
        <v>262</v>
      </c>
      <c r="B263" s="2">
        <f ca="1"/>
        <v>0.76949152542372889</v>
      </c>
      <c r="C263" s="7">
        <f ca="1"/>
        <v>6.5250000000000002E-2</v>
      </c>
      <c r="D263" s="4">
        <f ca="1"/>
        <v>2.9616447692257832</v>
      </c>
      <c r="E263" s="4">
        <f ca="1"/>
        <v>12.689113138117017</v>
      </c>
      <c r="F263" s="4">
        <f ca="1"/>
        <v>-2596.735345821558</v>
      </c>
      <c r="G263">
        <f ca="1"/>
        <v>174186.66364283147</v>
      </c>
      <c r="H263">
        <f ca="1"/>
        <v>2.9616447692257832</v>
      </c>
      <c r="I263">
        <f ca="1"/>
        <v>3.8855263951480794E-3</v>
      </c>
      <c r="J263">
        <f ca="1"/>
        <v>-2.7058762493136707E-3</v>
      </c>
      <c r="K263">
        <f ca="1"/>
        <v>0</v>
      </c>
      <c r="L263">
        <f ca="1"/>
        <v>-0.25590171836816067</v>
      </c>
      <c r="M263">
        <f ca="1"/>
        <v>-10.08968372740364</v>
      </c>
      <c r="N263">
        <f ca="1"/>
        <v>-0.21784142751853305</v>
      </c>
      <c r="O263">
        <f ca="1"/>
        <v>0</v>
      </c>
      <c r="P263">
        <f ca="1"/>
        <v>-10.563426873290334</v>
      </c>
      <c r="Q263">
        <f ca="1"/>
        <v>883.71704247501543</v>
      </c>
    </row>
    <row r="264" spans="1:17">
      <c r="A264" s="2">
        <f ca="1"/>
        <v>263</v>
      </c>
      <c r="B264" s="2">
        <f ca="1"/>
        <v>0.77627118644067816</v>
      </c>
      <c r="C264" s="7">
        <f ca="1"/>
        <v>6.5500000000000003E-2</v>
      </c>
      <c r="D264" s="4">
        <f ca="1"/>
        <v>2.9647363577221482</v>
      </c>
      <c r="E264" s="4">
        <f ca="1"/>
        <v>12.045445951753823</v>
      </c>
      <c r="F264" s="4">
        <f ca="1"/>
        <v>-2552.3082331266505</v>
      </c>
      <c r="G264">
        <f ca="1"/>
        <v>181240.55061667471</v>
      </c>
      <c r="H264">
        <f ca="1"/>
        <v>2.9647363577221482</v>
      </c>
      <c r="I264">
        <f ca="1"/>
        <v>3.8772427485586633E-3</v>
      </c>
      <c r="J264">
        <f ca="1"/>
        <v>-2.6550331078688937E-3</v>
      </c>
      <c r="K264">
        <f ca="1"/>
        <v>0</v>
      </c>
      <c r="L264">
        <f ca="1"/>
        <v>-0.25307773993573013</v>
      </c>
      <c r="M264">
        <f ca="1"/>
        <v>-9.8959185889768797</v>
      </c>
      <c r="N264">
        <f ca="1"/>
        <v>-0.19261305161063957</v>
      </c>
      <c r="O264">
        <f ca="1"/>
        <v>0</v>
      </c>
      <c r="P264">
        <f ca="1"/>
        <v>-10.341609380523249</v>
      </c>
      <c r="Q264">
        <f ca="1"/>
        <v>891.57041588290576</v>
      </c>
    </row>
    <row r="265" spans="1:17">
      <c r="A265" s="2">
        <f ca="1"/>
        <v>264</v>
      </c>
      <c r="B265" s="2">
        <f ca="1"/>
        <v>0.78305084745762721</v>
      </c>
      <c r="C265" s="7">
        <f ca="1"/>
        <v>6.5750000000000003E-2</v>
      </c>
      <c r="D265" s="4">
        <f ca="1"/>
        <v>2.9676684361789754</v>
      </c>
      <c r="E265" s="4">
        <f ca="1"/>
        <v>11.41310662207608</v>
      </c>
      <c r="F265" s="4">
        <f ca="1"/>
        <v>-2506.109914163093</v>
      </c>
      <c r="G265">
        <f ca="1"/>
        <v>188356.31379204255</v>
      </c>
      <c r="H265">
        <f ca="1"/>
        <v>2.9676684361789754</v>
      </c>
      <c r="I265">
        <f ca="1"/>
        <v>3.8695287519615322E-3</v>
      </c>
      <c r="J265">
        <f ca="1"/>
        <v>-2.6068527576942262E-3</v>
      </c>
      <c r="K265">
        <f ca="1"/>
        <v>0</v>
      </c>
      <c r="L265">
        <f ca="1"/>
        <v>-0.25039427663027902</v>
      </c>
      <c r="M265">
        <f ca="1"/>
        <v>-9.6974643684299355</v>
      </c>
      <c r="N265">
        <f ca="1"/>
        <v>-0.1697830202886664</v>
      </c>
      <c r="O265">
        <f ca="1"/>
        <v>0</v>
      </c>
      <c r="P265">
        <f ca="1"/>
        <v>-10.117641665348881</v>
      </c>
      <c r="Q265">
        <f ca="1"/>
        <v>900.93626317513213</v>
      </c>
    </row>
    <row r="266" spans="1:17">
      <c r="A266" s="2">
        <f ca="1"/>
        <v>265</v>
      </c>
      <c r="B266" s="2">
        <f ca="1"/>
        <v>0.78983050847457648</v>
      </c>
      <c r="C266" s="7">
        <f ca="1"/>
        <v>6.6000000000000003E-2</v>
      </c>
      <c r="D266" s="4">
        <f ca="1"/>
        <v>2.9704438920717675</v>
      </c>
      <c r="E266" s="4">
        <f ca="1"/>
        <v>10.792539884282192</v>
      </c>
      <c r="F266" s="4">
        <f ca="1"/>
        <v>-2458.1249198805017</v>
      </c>
      <c r="G266">
        <f ca="1"/>
        <v>195533.95316893567</v>
      </c>
      <c r="H266">
        <f ca="1"/>
        <v>2.9704438920717675</v>
      </c>
      <c r="I266">
        <f ca="1"/>
        <v>3.8623526843794514E-3</v>
      </c>
      <c r="J266">
        <f ca="1"/>
        <v>-2.5611579668458973E-3</v>
      </c>
      <c r="K266">
        <f ca="1"/>
        <v>0</v>
      </c>
      <c r="L266">
        <f ca="1"/>
        <v>-0.24783541277615739</v>
      </c>
      <c r="M266">
        <f ca="1"/>
        <v>-9.4941453828404789</v>
      </c>
      <c r="N266">
        <f ca="1"/>
        <v>-0.14916045331904706</v>
      </c>
      <c r="O266">
        <f ca="1"/>
        <v>0</v>
      </c>
      <c r="P266">
        <f ca="1"/>
        <v>-9.891141248935682</v>
      </c>
      <c r="Q266">
        <f ca="1"/>
        <v>911.62557498146327</v>
      </c>
    </row>
    <row r="267" spans="1:17">
      <c r="A267" s="2">
        <f ca="1"/>
        <v>266</v>
      </c>
      <c r="B267" s="2">
        <f ca="1"/>
        <v>0.79661016949152552</v>
      </c>
      <c r="C267" s="7">
        <f ca="1"/>
        <v>6.6250000000000003E-2</v>
      </c>
      <c r="D267" s="4">
        <f ca="1"/>
        <v>2.9730657245432361</v>
      </c>
      <c r="E267" s="4">
        <f ca="1"/>
        <v>10.184194340833276</v>
      </c>
      <c r="F267" s="4">
        <f ca="1"/>
        <v>-2408.3377812284984</v>
      </c>
      <c r="G267">
        <f ca="1"/>
        <v>202773.46874735347</v>
      </c>
      <c r="H267">
        <f ca="1"/>
        <v>2.9730657245432361</v>
      </c>
      <c r="I267">
        <f ca="1"/>
        <v>3.855698979516084E-3</v>
      </c>
      <c r="J267">
        <f ca="1"/>
        <v>-2.5180856232547054E-3</v>
      </c>
      <c r="K267">
        <f ca="1"/>
        <v>0</v>
      </c>
      <c r="L267">
        <f ca="1"/>
        <v>-0.24541818382280722</v>
      </c>
      <c r="M267">
        <f ca="1"/>
        <v>-9.2858255254127506</v>
      </c>
      <c r="N267">
        <f ca="1"/>
        <v>-0.13058516862259112</v>
      </c>
      <c r="O267">
        <f ca="1"/>
        <v>0</v>
      </c>
      <c r="P267">
        <f ca="1"/>
        <v>-9.6618288778581487</v>
      </c>
      <c r="Q267">
        <f ca="1"/>
        <v>923.63505074894465</v>
      </c>
    </row>
    <row r="268" spans="1:17">
      <c r="A268" s="2">
        <f ca="1"/>
        <v>267</v>
      </c>
      <c r="B268" s="2">
        <f ca="1"/>
        <v>0.80338983050847479</v>
      </c>
      <c r="C268" s="7">
        <f ca="1"/>
        <v>6.6500000000000004E-2</v>
      </c>
      <c r="D268" s="4">
        <f ca="1"/>
        <v>2.9755370453701144</v>
      </c>
      <c r="E268" s="4">
        <f ca="1"/>
        <v>9.5885224614529267</v>
      </c>
      <c r="F268" s="4">
        <f ca="1"/>
        <v>-2356.7330291566977</v>
      </c>
      <c r="G268">
        <f ca="1"/>
        <v>210074.86052729649</v>
      </c>
      <c r="H268">
        <f ca="1"/>
        <v>2.9755370453701144</v>
      </c>
      <c r="I268">
        <f ca="1"/>
        <v>3.8495230471059538E-3</v>
      </c>
      <c r="J268">
        <f ca="1"/>
        <v>-2.4774023209719557E-3</v>
      </c>
      <c r="K268">
        <f ca="1"/>
        <v>0</v>
      </c>
      <c r="L268">
        <f ca="1"/>
        <v>-0.2431397208314624</v>
      </c>
      <c r="M268">
        <f ca="1"/>
        <v>-9.0722981116145363</v>
      </c>
      <c r="N268">
        <f ca="1"/>
        <v>-0.11388589111521008</v>
      </c>
      <c r="O268">
        <f ca="1"/>
        <v>0</v>
      </c>
      <c r="P268">
        <f ca="1"/>
        <v>-9.4293237235612093</v>
      </c>
      <c r="Q268">
        <f ca="1"/>
        <v>936.97398713689768</v>
      </c>
    </row>
    <row r="269" spans="1:17">
      <c r="A269" s="2">
        <f ca="1"/>
        <v>268</v>
      </c>
      <c r="B269" s="2">
        <f ca="1"/>
        <v>0.81016949152542383</v>
      </c>
      <c r="C269" s="7">
        <f ca="1"/>
        <v>6.6750000000000004E-2</v>
      </c>
      <c r="D269" s="4">
        <f ca="1"/>
        <v>2.9778610799299745</v>
      </c>
      <c r="E269" s="4">
        <f ca="1"/>
        <v>9.0059805831274424</v>
      </c>
      <c r="F269" s="4">
        <f ca="1"/>
        <v>-2303.2951946147232</v>
      </c>
      <c r="G269">
        <f ca="1"/>
        <v>217438.12850876409</v>
      </c>
      <c r="H269">
        <f ca="1"/>
        <v>2.9778610799299745</v>
      </c>
      <c r="I269">
        <f ca="1"/>
        <v>3.8438108241101035E-3</v>
      </c>
      <c r="J269">
        <f ca="1"/>
        <v>-2.4390742366770064E-3</v>
      </c>
      <c r="K269">
        <f ca="1"/>
        <v>0</v>
      </c>
      <c r="L269">
        <f ca="1"/>
        <v>-0.24099705012774142</v>
      </c>
      <c r="M269">
        <f ca="1"/>
        <v>-8.8534310001808603</v>
      </c>
      <c r="N269">
        <f ca="1"/>
        <v>-9.8913833981097696E-2</v>
      </c>
      <c r="O269">
        <f ca="1"/>
        <v>0</v>
      </c>
      <c r="P269">
        <f ca="1"/>
        <v>-9.1933418842896995</v>
      </c>
      <c r="Q269">
        <f ca="1"/>
        <v>951.48586391229901</v>
      </c>
    </row>
    <row r="270" spans="1:17">
      <c r="A270" s="2">
        <f ca="1"/>
        <v>269</v>
      </c>
      <c r="B270" s="2">
        <f ca="1"/>
        <v>0.8169491525423731</v>
      </c>
      <c r="C270" s="7">
        <f ca="1"/>
        <v>6.7000000000000004E-2</v>
      </c>
      <c r="D270" s="4">
        <f ca="1"/>
        <v>2.9800411681680439</v>
      </c>
      <c r="E270" s="4">
        <f ca="1"/>
        <v>8.437028910105612</v>
      </c>
      <c r="F270" s="4">
        <f ca="1"/>
        <v>-2248.0088085521888</v>
      </c>
      <c r="G270">
        <f ca="1"/>
        <v>224863.27269175698</v>
      </c>
      <c r="H270">
        <f ca="1"/>
        <v>2.9800411681680439</v>
      </c>
      <c r="I270">
        <f ca="1"/>
        <v>3.8385348832052496E-3</v>
      </c>
      <c r="J270">
        <f ca="1"/>
        <v>-2.4031839313128915E-3</v>
      </c>
      <c r="K270">
        <f ca="1"/>
        <v>0</v>
      </c>
      <c r="L270">
        <f ca="1"/>
        <v>-0.23898709241027999</v>
      </c>
      <c r="M270">
        <f ca="1"/>
        <v>-8.629060229380249</v>
      </c>
      <c r="N270">
        <f ca="1"/>
        <v>-8.5533469814529847E-2</v>
      </c>
      <c r="O270">
        <f ca="1"/>
        <v>0</v>
      </c>
      <c r="P270">
        <f ca="1"/>
        <v>-8.9535807916050594</v>
      </c>
      <c r="Q270">
        <f ca="1"/>
        <v>967.20777088477223</v>
      </c>
    </row>
    <row r="271" spans="1:17">
      <c r="A271" s="2">
        <f ca="1"/>
        <v>270</v>
      </c>
      <c r="B271" s="2">
        <f ca="1"/>
        <v>0.82372881355932215</v>
      </c>
      <c r="C271" s="7">
        <f ca="1"/>
        <v>6.7250000000000004E-2</v>
      </c>
      <c r="D271" s="4">
        <f ca="1"/>
        <v>2.9820807655640196</v>
      </c>
      <c r="E271" s="4">
        <f ca="1"/>
        <v>7.8821315138989236</v>
      </c>
      <c r="F271" s="4">
        <f ca="1"/>
        <v>-2190.8584019187174</v>
      </c>
      <c r="G271">
        <f ca="1"/>
        <v>232350.29307627454</v>
      </c>
      <c r="H271">
        <f ca="1"/>
        <v>2.9820807655640196</v>
      </c>
      <c r="I271">
        <f ca="1"/>
        <v>3.8336674202961388E-3</v>
      </c>
      <c r="J271">
        <f ca="1"/>
        <v>-2.3695873803978129E-3</v>
      </c>
      <c r="K271">
        <f ca="1"/>
        <v>0</v>
      </c>
      <c r="L271">
        <f ca="1"/>
        <v>-0.23710666185936519</v>
      </c>
      <c r="M271">
        <f ca="1"/>
        <v>-8.3990224779178515</v>
      </c>
      <c r="N271">
        <f ca="1"/>
        <v>-7.3608859070097107E-2</v>
      </c>
      <c r="O271">
        <f ca="1"/>
        <v>0</v>
      </c>
      <c r="P271">
        <f ca="1"/>
        <v>-8.7097379988473129</v>
      </c>
      <c r="Q271">
        <f ca="1"/>
        <v>984.07639146627719</v>
      </c>
    </row>
    <row r="272" spans="1:17">
      <c r="A272" s="2">
        <f ca="1"/>
        <v>271</v>
      </c>
      <c r="B272" s="2">
        <f ca="1"/>
        <v>0.83050847457627142</v>
      </c>
      <c r="C272" s="7">
        <f ca="1"/>
        <v>6.7500000000000004E-2</v>
      </c>
      <c r="D272" s="4">
        <f ca="1"/>
        <v>2.9839834440988833</v>
      </c>
      <c r="E272" s="4">
        <f ca="1"/>
        <v>7.3417563332813582</v>
      </c>
      <c r="F272" s="4">
        <f ca="1"/>
        <v>-2131.8285056639238</v>
      </c>
      <c r="G272">
        <f ca="1"/>
        <v>239899.18966231728</v>
      </c>
      <c r="H272">
        <f ca="1"/>
        <v>2.9839834440988833</v>
      </c>
      <c r="I272">
        <f ca="1"/>
        <v>3.829187993047622E-3</v>
      </c>
      <c r="J272">
        <f ca="1"/>
        <v>-2.3382706127235806E-3</v>
      </c>
      <c r="K272">
        <f ca="1"/>
        <v>0</v>
      </c>
      <c r="L272">
        <f ca="1"/>
        <v>-0.2353524652455693</v>
      </c>
      <c r="M272">
        <f ca="1"/>
        <v>-8.1631721171249509</v>
      </c>
      <c r="N272">
        <f ca="1"/>
        <v>-6.30180135013996E-2</v>
      </c>
      <c r="O272">
        <f ca="1"/>
        <v>0</v>
      </c>
      <c r="P272">
        <f ca="1"/>
        <v>-8.4615425958719204</v>
      </c>
      <c r="Q272">
        <f ca="1"/>
        <v>1002.0327167047532</v>
      </c>
    </row>
    <row r="273" spans="1:17">
      <c r="A273" s="2">
        <f ca="1"/>
        <v>272</v>
      </c>
      <c r="B273" s="2">
        <f ca="1"/>
        <v>0.83728813559322046</v>
      </c>
      <c r="C273" s="7">
        <f ca="1"/>
        <v>6.7750000000000005E-2</v>
      </c>
      <c r="D273" s="4">
        <f ca="1"/>
        <v>2.9857528932217203</v>
      </c>
      <c r="E273" s="4">
        <f ca="1"/>
        <v>6.8163751742895959</v>
      </c>
      <c r="F273" s="4">
        <f ca="1"/>
        <v>-2070.9036507374321</v>
      </c>
      <c r="G273">
        <f ca="1"/>
        <v>247509.96244988465</v>
      </c>
      <c r="H273">
        <f ca="1"/>
        <v>2.9857528932217203</v>
      </c>
      <c r="I273">
        <f ca="1"/>
        <v>3.8250761399275233E-3</v>
      </c>
      <c r="J273">
        <f ca="1"/>
        <v>-2.3091705032444519E-3</v>
      </c>
      <c r="K273">
        <f ca="1"/>
        <v>0</v>
      </c>
      <c r="L273">
        <f ca="1"/>
        <v>-0.23371203746527514</v>
      </c>
      <c r="M273">
        <f ca="1"/>
        <v>-7.9213641425245527</v>
      </c>
      <c r="N273">
        <f ca="1"/>
        <v>-5.3645460505107254E-2</v>
      </c>
      <c r="O273">
        <f ca="1"/>
        <v>0</v>
      </c>
      <c r="P273">
        <f ca="1"/>
        <v>-8.2087216404949359</v>
      </c>
      <c r="Q273">
        <f ca="1"/>
        <v>1021.0350938855272</v>
      </c>
    </row>
    <row r="274" spans="1:17">
      <c r="A274" s="2">
        <f ca="1"/>
        <v>273</v>
      </c>
      <c r="B274" s="2">
        <f ca="1"/>
        <v>0.84406779661016973</v>
      </c>
      <c r="C274" s="7">
        <f ca="1"/>
        <v>6.8000000000000005E-2</v>
      </c>
      <c r="D274" s="4">
        <f ca="1"/>
        <v>2.98739292081653</v>
      </c>
      <c r="E274" s="4">
        <f ca="1"/>
        <v>6.3064637102228227</v>
      </c>
      <c r="F274" s="4">
        <f ca="1"/>
        <v>-2008.0683680888546</v>
      </c>
      <c r="G274">
        <f ca="1"/>
        <v>255182.61143897727</v>
      </c>
      <c r="H274">
        <f ca="1"/>
        <v>2.98739292081653</v>
      </c>
      <c r="I274">
        <f ca="1"/>
        <v>3.8213117046277385E-3</v>
      </c>
      <c r="J274">
        <f ca="1"/>
        <v>-2.2821317633745738E-3</v>
      </c>
      <c r="K274">
        <f ca="1"/>
        <v>0</v>
      </c>
      <c r="L274">
        <f ca="1"/>
        <v>-0.23218800619913157</v>
      </c>
      <c r="M274">
        <f ca="1"/>
        <v>-7.6734551586706621</v>
      </c>
      <c r="N274">
        <f ca="1"/>
        <v>-4.5381884059362443E-2</v>
      </c>
      <c r="O274">
        <f ca="1"/>
        <v>0</v>
      </c>
      <c r="P274">
        <f ca="1"/>
        <v>-7.9510250489291563</v>
      </c>
      <c r="Q274">
        <f ca="1"/>
        <v>1041.0176142004141</v>
      </c>
    </row>
    <row r="275" spans="1:17">
      <c r="A275" s="2">
        <f ca="1"/>
        <v>274</v>
      </c>
      <c r="B275" s="2">
        <f ca="1"/>
        <v>0.85084745762711878</v>
      </c>
      <c r="C275" s="7">
        <f ca="1"/>
        <v>6.8250000000000005E-2</v>
      </c>
      <c r="D275" s="4">
        <f ca="1"/>
        <v>2.9889074541690461</v>
      </c>
      <c r="E275" s="4">
        <f ca="1"/>
        <v>5.8125014816428857</v>
      </c>
      <c r="F275" s="4">
        <f ca="1"/>
        <v>-1943.3071886678158</v>
      </c>
      <c r="G275">
        <f ca="1"/>
        <v>262917.13662959461</v>
      </c>
      <c r="H275">
        <f ca="1"/>
        <v>2.9889074541690461</v>
      </c>
      <c r="I275">
        <f ca="1"/>
        <v>3.8178748403149033E-3</v>
      </c>
      <c r="J275">
        <f ca="1"/>
        <v>-2.2571213152105477E-3</v>
      </c>
      <c r="K275">
        <f ca="1"/>
        <v>0</v>
      </c>
      <c r="L275">
        <f ca="1"/>
        <v>-0.23078059318354766</v>
      </c>
      <c r="M275">
        <f ca="1"/>
        <v>-7.4193036226179414</v>
      </c>
      <c r="N275">
        <f ca="1"/>
        <v>-3.8128617593239392E-2</v>
      </c>
      <c r="O275">
        <f ca="1"/>
        <v>0</v>
      </c>
      <c r="P275">
        <f ca="1"/>
        <v>-7.6882128333947284</v>
      </c>
      <c r="Q275">
        <f ca="1"/>
        <v>1061.951393879192</v>
      </c>
    </row>
    <row r="276" spans="1:17">
      <c r="A276" s="2">
        <f ca="1"/>
        <v>275</v>
      </c>
      <c r="B276" s="2">
        <f ca="1"/>
        <v>0.85762711864406804</v>
      </c>
      <c r="C276" s="7">
        <f ca="1"/>
        <v>6.8500000000000005E-2</v>
      </c>
      <c r="D276" s="4">
        <f ca="1"/>
        <v>2.9903005409335512</v>
      </c>
      <c r="E276" s="4">
        <f ca="1"/>
        <v>5.3349718963741397</v>
      </c>
      <c r="F276" s="4">
        <f ca="1"/>
        <v>-1876.6046434239306</v>
      </c>
      <c r="G276">
        <f ca="1"/>
        <v>270713.53802173707</v>
      </c>
      <c r="H276">
        <f ca="1"/>
        <v>2.9903005409335512</v>
      </c>
      <c r="I276">
        <f ca="1"/>
        <v>3.8147456682180647E-3</v>
      </c>
      <c r="J276">
        <f ca="1"/>
        <v>-2.2341342218726102E-3</v>
      </c>
      <c r="K276">
        <f ca="1"/>
        <v>0</v>
      </c>
      <c r="L276">
        <f ca="1"/>
        <v>-0.22948603704786077</v>
      </c>
      <c r="M276">
        <f ca="1"/>
        <v>-7.1587694344593453</v>
      </c>
      <c r="N276">
        <f ca="1"/>
        <v>-3.1793880482353667E-2</v>
      </c>
      <c r="O276">
        <f ca="1"/>
        <v>0</v>
      </c>
      <c r="P276">
        <f ca="1"/>
        <v>-7.4200493519895598</v>
      </c>
      <c r="Q276">
        <f ca="1"/>
        <v>1083.8131115347139</v>
      </c>
    </row>
    <row r="277" spans="1:17">
      <c r="A277" s="2">
        <f ca="1"/>
        <v>276</v>
      </c>
      <c r="B277" s="2">
        <f ca="1"/>
        <v>0.86440677966101709</v>
      </c>
      <c r="C277" s="7">
        <f ca="1"/>
        <v>6.8750000000000006E-2</v>
      </c>
      <c r="D277" s="4">
        <f ca="1"/>
        <v>2.9915763500996908</v>
      </c>
      <c r="E277" s="4">
        <f ca="1"/>
        <v>4.874362229503685</v>
      </c>
      <c r="F277" s="4">
        <f ca="1"/>
        <v>-1807.9452633068202</v>
      </c>
      <c r="G277">
        <f ca="1"/>
        <v>278571.81561540428</v>
      </c>
      <c r="H277">
        <f ca="1"/>
        <v>2.9915763500996908</v>
      </c>
      <c r="I277">
        <f ca="1"/>
        <v>3.8119044589736755E-3</v>
      </c>
      <c r="J277">
        <f ca="1"/>
        <v>-2.2131194621212171E-3</v>
      </c>
      <c r="K277">
        <f ca="1"/>
        <v>0</v>
      </c>
      <c r="L277">
        <f ca="1"/>
        <v>-0.2283004636678867</v>
      </c>
      <c r="M277">
        <f ca="1"/>
        <v>-6.8917146107796032</v>
      </c>
      <c r="N277">
        <f ca="1"/>
        <v>-2.6291203179880193E-2</v>
      </c>
      <c r="O277">
        <f ca="1"/>
        <v>0</v>
      </c>
      <c r="P277">
        <f ca="1"/>
        <v>-7.1463062776273709</v>
      </c>
      <c r="Q277">
        <f ca="1"/>
        <v>1106.5219991780041</v>
      </c>
    </row>
    <row r="278" spans="1:17">
      <c r="A278" s="2">
        <f ca="1"/>
        <v>277</v>
      </c>
      <c r="B278" s="2">
        <f ca="1"/>
        <v>0.87118644067796636</v>
      </c>
      <c r="C278" s="7">
        <f ca="1"/>
        <v>6.9000000000000006E-2</v>
      </c>
      <c r="D278" s="4">
        <f ca="1"/>
        <v>2.9927391729592898</v>
      </c>
      <c r="E278" s="4">
        <f ca="1"/>
        <v>4.4311636233810416</v>
      </c>
      <c r="F278" s="4">
        <f ca="1"/>
        <v>-1737.3135792661012</v>
      </c>
      <c r="G278">
        <f ca="1"/>
        <v>286491.96941059659</v>
      </c>
      <c r="H278">
        <f ca="1"/>
        <v>2.9927391729592898</v>
      </c>
      <c r="I278">
        <f ca="1"/>
        <v>3.809346126923456E-3</v>
      </c>
      <c r="J278">
        <f ca="1"/>
        <v>-2.1939884059818436E-3</v>
      </c>
      <c r="K278">
        <f ca="1"/>
        <v>0</v>
      </c>
      <c r="L278">
        <f ca="1"/>
        <v>-0.22721988526748418</v>
      </c>
      <c r="M278">
        <f ca="1"/>
        <v>-6.618028754428849</v>
      </c>
      <c r="N278">
        <f ca="1"/>
        <v>-2.1539712704224664E-2</v>
      </c>
      <c r="O278">
        <f ca="1"/>
        <v>0</v>
      </c>
      <c r="P278">
        <f ca="1"/>
        <v>-6.8667883524005573</v>
      </c>
      <c r="Q278">
        <f ca="1"/>
        <v>1130.0808102353956</v>
      </c>
    </row>
    <row r="279" spans="1:17">
      <c r="A279" s="2">
        <f ca="1"/>
        <v>278</v>
      </c>
      <c r="B279" s="2">
        <f ca="1"/>
        <v>0.87796610169491562</v>
      </c>
      <c r="C279" s="7">
        <f ca="1"/>
        <v>6.9250000000000006E-2</v>
      </c>
      <c r="D279" s="4">
        <f ca="1"/>
        <v>2.9937934240731687</v>
      </c>
      <c r="E279" s="4">
        <f ca="1"/>
        <v>4.0058710876184431</v>
      </c>
      <c r="F279" s="4">
        <f ca="1"/>
        <v>-1664.6941222513924</v>
      </c>
      <c r="G279">
        <f ca="1"/>
        <v>294473.99940731394</v>
      </c>
      <c r="H279">
        <f ca="1"/>
        <v>2.9937934240731687</v>
      </c>
      <c r="I279">
        <f ca="1"/>
        <v>3.8070425575272822E-3</v>
      </c>
      <c r="J279">
        <f ca="1"/>
        <v>-2.1766437168722337E-3</v>
      </c>
      <c r="K279">
        <f ca="1"/>
        <v>0</v>
      </c>
      <c r="L279">
        <f ca="1"/>
        <v>-0.22624019952012051</v>
      </c>
      <c r="M279">
        <f ca="1"/>
        <v>-6.3375613686765755</v>
      </c>
      <c r="N279">
        <f ca="1"/>
        <v>-1.7464304312976554E-2</v>
      </c>
      <c r="O279">
        <f ca="1"/>
        <v>0</v>
      </c>
      <c r="P279">
        <f ca="1"/>
        <v>-6.5812658725096727</v>
      </c>
      <c r="Q279">
        <f ca="1"/>
        <v>1154.4938988287015</v>
      </c>
    </row>
    <row r="280" spans="1:17">
      <c r="A280" s="2">
        <f ca="1"/>
        <v>279</v>
      </c>
      <c r="B280" s="2">
        <f ca="1"/>
        <v>0.88474576271186467</v>
      </c>
      <c r="C280" s="7">
        <f ca="1"/>
        <v>6.9500000000000006E-2</v>
      </c>
      <c r="D280" s="4">
        <f ca="1"/>
        <v>2.9947436422379594</v>
      </c>
      <c r="E280" s="4">
        <f ca="1"/>
        <v>3.5989834990906995</v>
      </c>
      <c r="F280" s="4">
        <f ca="1"/>
        <v>-1590.0714232123173</v>
      </c>
      <c r="G280">
        <f ca="1"/>
        <v>302517.90560555598</v>
      </c>
      <c r="H280">
        <f ca="1"/>
        <v>2.9947436422379594</v>
      </c>
      <c r="I280">
        <f ca="1"/>
        <v>3.804979250395784E-3</v>
      </c>
      <c r="J280">
        <f ca="1"/>
        <v>-2.1610106880767242E-3</v>
      </c>
      <c r="K280">
        <f ca="1"/>
        <v>0</v>
      </c>
      <c r="L280">
        <f ca="1"/>
        <v>-0.22535718865043652</v>
      </c>
      <c r="M280">
        <f ca="1"/>
        <v>-6.0501887719701601</v>
      </c>
      <c r="N280">
        <f ca="1"/>
        <v>-1.399544236560938E-2</v>
      </c>
      <c r="O280">
        <f ca="1"/>
        <v>0</v>
      </c>
      <c r="P280">
        <f ca="1"/>
        <v>-6.289541402986206</v>
      </c>
      <c r="Q280">
        <f ca="1"/>
        <v>1179.661554772397</v>
      </c>
    </row>
    <row r="281" spans="1:17">
      <c r="A281" s="2">
        <f ca="1"/>
        <v>280</v>
      </c>
      <c r="B281" s="2">
        <f ca="1"/>
        <v>0.89152542372881394</v>
      </c>
      <c r="C281" s="7">
        <f ca="1"/>
        <v>6.9750000000000006E-2</v>
      </c>
      <c r="D281" s="4">
        <f ca="1"/>
        <v>2.9955944914529198</v>
      </c>
      <c r="E281" s="4">
        <f ca="1"/>
        <v>3.211003601935186</v>
      </c>
      <c r="F281" s="4">
        <f ca="1"/>
        <v>-1513.4300130984871</v>
      </c>
      <c r="G281">
        <f ca="1"/>
        <v>310623.68800532311</v>
      </c>
      <c r="H281">
        <f ca="1"/>
        <v>2.9955944914529198</v>
      </c>
      <c r="I281">
        <f ca="1"/>
        <v>3.8031492225269847E-3</v>
      </c>
      <c r="J281">
        <f ca="1"/>
        <v>-2.1470057800691321E-3</v>
      </c>
      <c r="K281">
        <f ca="1"/>
        <v>0</v>
      </c>
      <c r="L281">
        <f ca="1"/>
        <v>-0.22456651853581336</v>
      </c>
      <c r="M281">
        <f ca="1"/>
        <v>-5.7558001776645149</v>
      </c>
      <c r="N281">
        <f ca="1"/>
        <v>-1.1068398923145267E-2</v>
      </c>
      <c r="O281">
        <f ca="1"/>
        <v>0</v>
      </c>
      <c r="P281">
        <f ca="1"/>
        <v>-5.9914350951234736</v>
      </c>
      <c r="Q281">
        <f ca="1"/>
        <v>1205.5888286177819</v>
      </c>
    </row>
    <row r="282" spans="1:17">
      <c r="A282" s="2">
        <f ca="1"/>
        <v>281</v>
      </c>
      <c r="B282" s="2">
        <f ca="1"/>
        <v>0.89830508474576298</v>
      </c>
      <c r="C282" s="7">
        <f ca="1"/>
        <v>7.0000000000000007E-2</v>
      </c>
      <c r="D282" s="4">
        <f ca="1"/>
        <v>2.9963507618867489</v>
      </c>
      <c r="E282" s="4">
        <f ca="1"/>
        <v>2.8424380075518814</v>
      </c>
      <c r="F282" s="4">
        <f ca="1"/>
        <v>-1434.7544228595279</v>
      </c>
      <c r="G282">
        <f ca="1"/>
        <v>318791.34660661506</v>
      </c>
      <c r="H282">
        <f ca="1"/>
        <v>2.9963507618867489</v>
      </c>
      <c r="I282">
        <f ca="1"/>
        <v>3.8015287798291299E-3</v>
      </c>
      <c r="J282">
        <f ca="1"/>
        <v>-2.1345552723305997E-3</v>
      </c>
      <c r="K282">
        <f ca="1"/>
        <v>0</v>
      </c>
      <c r="L282">
        <f ca="1"/>
        <v>-0.22386373780793831</v>
      </c>
      <c r="M282">
        <f ca="1"/>
        <v>-5.4542602304876286</v>
      </c>
      <c r="N282">
        <f ca="1"/>
        <v>-8.6230203817476512E-3</v>
      </c>
      <c r="O282">
        <f ca="1"/>
        <v>0</v>
      </c>
      <c r="P282">
        <f ca="1"/>
        <v>-5.6867469886773145</v>
      </c>
      <c r="Q282">
        <f ca="1"/>
        <v>1232.2588790316142</v>
      </c>
    </row>
    <row r="283" spans="1:17">
      <c r="A283" s="2">
        <f ca="1"/>
        <v>282</v>
      </c>
      <c r="B283" s="2">
        <f ca="1"/>
        <v>0.90508474576271225</v>
      </c>
      <c r="C283" s="7">
        <f ca="1"/>
        <v>7.0250000000000007E-2</v>
      </c>
      <c r="D283" s="4">
        <f ca="1"/>
        <v>2.9970173708444059</v>
      </c>
      <c r="E283" s="4">
        <f ca="1"/>
        <v>2.4937971946033768</v>
      </c>
      <c r="F283" s="4">
        <f ca="1"/>
        <v>-1354.0291834450527</v>
      </c>
      <c r="G283">
        <f ca="1"/>
        <v>327020.8814094321</v>
      </c>
      <c r="H283">
        <f ca="1"/>
        <v>2.9970173708444059</v>
      </c>
      <c r="I283">
        <f ca="1"/>
        <v>3.8001087021821865E-3</v>
      </c>
      <c r="J283">
        <f ca="1"/>
        <v>-2.1235792496160887E-3</v>
      </c>
      <c r="K283">
        <f ca="1"/>
        <v>0</v>
      </c>
      <c r="L283">
        <f ca="1"/>
        <v>-0.22324427695436735</v>
      </c>
      <c r="M283">
        <f ca="1"/>
        <v>-5.1454580830181849</v>
      </c>
      <c r="N283">
        <f ca="1"/>
        <v>-6.6032956351140103E-3</v>
      </c>
      <c r="O283">
        <f ca="1"/>
        <v>0</v>
      </c>
      <c r="P283">
        <f ca="1"/>
        <v>-5.3753056556076659</v>
      </c>
      <c r="Q283">
        <f ca="1"/>
        <v>1259.6094138529963</v>
      </c>
    </row>
    <row r="284" spans="1:17">
      <c r="A284" s="2">
        <f ca="1"/>
        <v>283</v>
      </c>
      <c r="B284" s="2">
        <f ca="1"/>
        <v>0.9118644067796613</v>
      </c>
      <c r="C284" s="7">
        <f ca="1"/>
        <v>7.0500000000000007E-2</v>
      </c>
      <c r="D284" s="4">
        <f ca="1"/>
        <v>2.9975993637339218</v>
      </c>
      <c r="E284" s="4">
        <f ca="1"/>
        <v>2.1655955090148553</v>
      </c>
      <c r="F284" s="4">
        <f ca="1"/>
        <v>-1271.2388258046849</v>
      </c>
      <c r="G284">
        <f ca="1"/>
        <v>335312.29241377383</v>
      </c>
      <c r="H284">
        <f ca="1"/>
        <v>2.9975993637339218</v>
      </c>
      <c r="I284">
        <f ca="1"/>
        <v>3.7988784060255208E-3</v>
      </c>
      <c r="J284">
        <f ca="1"/>
        <v>-2.1139946047235491E-3</v>
      </c>
      <c r="K284">
        <f ca="1"/>
        <v>0</v>
      </c>
      <c r="L284">
        <f ca="1"/>
        <v>-0.22270344742009457</v>
      </c>
      <c r="M284">
        <f ca="1"/>
        <v>-4.8292817242506558</v>
      </c>
      <c r="N284">
        <f ca="1"/>
        <v>-4.9571100800649397E-3</v>
      </c>
      <c r="O284">
        <f ca="1"/>
        <v>0</v>
      </c>
      <c r="P284">
        <f ca="1"/>
        <v>-5.0569422817508158</v>
      </c>
      <c r="Q284">
        <f ca="1"/>
        <v>1287.6524518589772</v>
      </c>
    </row>
    <row r="285" spans="1:17">
      <c r="A285" s="2">
        <f ca="1"/>
        <v>284</v>
      </c>
      <c r="B285" s="2">
        <f ca="1"/>
        <v>0.91864406779661056</v>
      </c>
      <c r="C285" s="7">
        <f ca="1"/>
        <v>7.0750000000000007E-2</v>
      </c>
      <c r="D285" s="4">
        <f ca="1"/>
        <v>2.9981019150332164</v>
      </c>
      <c r="E285" s="4">
        <f ca="1"/>
        <v>1.8583511639740649</v>
      </c>
      <c r="F285" s="4">
        <f ca="1"/>
        <v>-1186.3678808880381</v>
      </c>
      <c r="G285">
        <f ca="1"/>
        <v>343665.57961964078</v>
      </c>
      <c r="H285">
        <f ca="1"/>
        <v>2.9981019150332164</v>
      </c>
      <c r="I285">
        <f ca="1"/>
        <v>3.7978160443658043E-3</v>
      </c>
      <c r="J285">
        <f ca="1"/>
        <v>-2.105718256625842E-3</v>
      </c>
      <c r="K285">
        <f ca="1"/>
        <v>0</v>
      </c>
      <c r="L285">
        <f ca="1"/>
        <v>-0.222236440709116</v>
      </c>
      <c r="M285">
        <f ca="1"/>
        <v>-4.5056069725568504</v>
      </c>
      <c r="N285">
        <f ca="1"/>
        <v>-3.6360164122107236E-3</v>
      </c>
      <c r="O285">
        <f ca="1"/>
        <v>0</v>
      </c>
      <c r="P285">
        <f ca="1"/>
        <v>-4.7314794296781768</v>
      </c>
      <c r="Q285">
        <f ca="1"/>
        <v>1316.3611344453982</v>
      </c>
    </row>
    <row r="286" spans="1:17">
      <c r="A286" s="2">
        <f ca="1"/>
        <v>285</v>
      </c>
      <c r="B286" s="2">
        <f ca="1"/>
        <v>0.92542372881355961</v>
      </c>
      <c r="C286" s="7">
        <f ca="1"/>
        <v>7.1000000000000008E-2</v>
      </c>
      <c r="D286" s="4">
        <f ca="1"/>
        <v>2.9985303292569165</v>
      </c>
      <c r="E286" s="4">
        <f ca="1"/>
        <v>1.5725862399313912</v>
      </c>
      <c r="F286" s="4">
        <f ca="1"/>
        <v>-1099.4008796447379</v>
      </c>
      <c r="G286">
        <f ca="1"/>
        <v>352080.74302703241</v>
      </c>
      <c r="H286">
        <f ca="1"/>
        <v>2.9985303292569165</v>
      </c>
      <c r="I286">
        <f ca="1"/>
        <v>3.7969119755163656E-3</v>
      </c>
      <c r="J286">
        <f ca="1"/>
        <v>-2.0986594323399517E-3</v>
      </c>
      <c r="K286">
        <f ca="1"/>
        <v>0</v>
      </c>
      <c r="L286">
        <f ca="1"/>
        <v>-0.22183832748599344</v>
      </c>
      <c r="M286">
        <f ca="1"/>
        <v>-4.1743283658163319</v>
      </c>
      <c r="N286">
        <f ca="1"/>
        <v>-2.5950212257902245E-3</v>
      </c>
      <c r="O286">
        <f ca="1"/>
        <v>0</v>
      </c>
      <c r="P286">
        <f ca="1"/>
        <v>-4.3987617145281162</v>
      </c>
      <c r="Q286">
        <f ca="1"/>
        <v>1345.6714121987497</v>
      </c>
    </row>
    <row r="287" spans="1:17">
      <c r="A287" s="2">
        <f ca="1"/>
        <v>286</v>
      </c>
      <c r="B287" s="2">
        <f ca="1"/>
        <v>0.93220338983050888</v>
      </c>
      <c r="C287" s="7">
        <f ca="1"/>
        <v>7.1250000000000008E-2</v>
      </c>
      <c r="D287" s="4">
        <f ca="1"/>
        <v>2.9988900419231657</v>
      </c>
      <c r="E287" s="4">
        <f ca="1"/>
        <v>1.3088266845997751</v>
      </c>
      <c r="F287" s="4">
        <f ca="1"/>
        <v>-1010.3223530243947</v>
      </c>
      <c r="G287">
        <f ca="1"/>
        <v>360557.78263594926</v>
      </c>
      <c r="H287">
        <f ca="1"/>
        <v>2.9988900419231657</v>
      </c>
      <c r="I287">
        <f ca="1"/>
        <v>3.7961619063439766E-3</v>
      </c>
      <c r="J287">
        <f ca="1"/>
        <v>-2.0927129795141495E-3</v>
      </c>
      <c r="K287">
        <f ca="1"/>
        <v>0</v>
      </c>
      <c r="L287">
        <f ca="1"/>
        <v>-0.22150405667742504</v>
      </c>
      <c r="M287">
        <f ca="1"/>
        <v>-3.8353472296790185</v>
      </c>
      <c r="N287">
        <f ca="1"/>
        <v>-1.7924372223577683E-3</v>
      </c>
      <c r="O287">
        <f ca="1"/>
        <v>0</v>
      </c>
      <c r="P287">
        <f ca="1"/>
        <v>-4.0586437235788013</v>
      </c>
      <c r="Q287">
        <f ca="1"/>
        <v>1375.5910819522687</v>
      </c>
    </row>
    <row r="288" spans="1:17">
      <c r="A288" s="2">
        <f ca="1"/>
        <v>287</v>
      </c>
      <c r="B288" s="2">
        <f ca="1"/>
        <v>0.93898305084745792</v>
      </c>
      <c r="C288" s="7">
        <f ca="1"/>
        <v>7.1500000000000008E-2</v>
      </c>
      <c r="D288" s="4">
        <f ca="1"/>
        <v>2.9991866205204474</v>
      </c>
      <c r="E288" s="4">
        <f ca="1"/>
        <v>1.0676023129548065</v>
      </c>
      <c r="F288" s="4">
        <f ca="1"/>
        <v>-919.11683197663581</v>
      </c>
      <c r="G288">
        <f ca="1"/>
        <v>369096.69844639074</v>
      </c>
      <c r="H288">
        <f ca="1"/>
        <v>2.9991866205204474</v>
      </c>
      <c r="I288">
        <f ca="1"/>
        <v>3.79554348368644E-3</v>
      </c>
      <c r="J288">
        <f ca="1"/>
        <v>-2.0878102034838581E-3</v>
      </c>
      <c r="K288">
        <f ca="1"/>
        <v>0</v>
      </c>
      <c r="L288">
        <f ca="1"/>
        <v>-0.22122845457380386</v>
      </c>
      <c r="M288">
        <f ca="1"/>
        <v>-3.4885479023554447</v>
      </c>
      <c r="N288">
        <f ca="1"/>
        <v>-1.1898166227325235E-3</v>
      </c>
      <c r="O288">
        <f ca="1"/>
        <v>0</v>
      </c>
      <c r="P288">
        <f ca="1"/>
        <v>-3.7109661735519812</v>
      </c>
      <c r="Q288">
        <f ca="1"/>
        <v>1406.1117959388275</v>
      </c>
    </row>
    <row r="289" spans="1:17">
      <c r="A289" s="2">
        <f ca="1"/>
        <v>288</v>
      </c>
      <c r="B289" s="2">
        <f ca="1"/>
        <v>0.94576271186440719</v>
      </c>
      <c r="C289" s="7">
        <f ca="1"/>
        <v>7.1750000000000008E-2</v>
      </c>
      <c r="D289" s="4">
        <f ca="1"/>
        <v>2.9994257654743945</v>
      </c>
      <c r="E289" s="4">
        <f ca="1"/>
        <v>0.84944680723460564</v>
      </c>
      <c r="F289" s="4">
        <f ca="1"/>
        <v>-825.7688474510727</v>
      </c>
      <c r="G289">
        <f ca="1"/>
        <v>377697.49045835744</v>
      </c>
      <c r="H289">
        <f ca="1"/>
        <v>2.9994257654743945</v>
      </c>
      <c r="I289">
        <f ca="1"/>
        <v>3.7950448210745322E-3</v>
      </c>
      <c r="J289">
        <f ca="1"/>
        <v>-2.083856869835633E-3</v>
      </c>
      <c r="K289">
        <f ca="1"/>
        <v>0</v>
      </c>
      <c r="L289">
        <f ca="1"/>
        <v>-0.22100622393078942</v>
      </c>
      <c r="M289">
        <f ca="1"/>
        <v>-3.133829787923879</v>
      </c>
      <c r="N289">
        <f ca="1"/>
        <v>-7.5181375471855766E-4</v>
      </c>
      <c r="O289">
        <f ca="1"/>
        <v>0</v>
      </c>
      <c r="P289">
        <f ca="1"/>
        <v>-3.355587825609387</v>
      </c>
      <c r="Q289">
        <f ca="1"/>
        <v>1437.1861044114387</v>
      </c>
    </row>
    <row r="290" spans="1:17">
      <c r="A290" s="2">
        <f ca="1"/>
        <v>289</v>
      </c>
      <c r="B290" s="2">
        <f ca="1"/>
        <v>0.95254237288135624</v>
      </c>
      <c r="C290" s="7">
        <f ca="1"/>
        <v>7.2000000000000008E-2</v>
      </c>
      <c r="D290" s="4">
        <f ca="1"/>
        <v>2.9996133111146079</v>
      </c>
      <c r="E290" s="4">
        <f ca="1"/>
        <v>0.65489771693994292</v>
      </c>
      <c r="F290" s="4">
        <f ca="1"/>
        <v>-730.26293039733002</v>
      </c>
      <c r="G290">
        <f ca="1"/>
        <v>386360.15867184888</v>
      </c>
      <c r="H290">
        <f ca="1"/>
        <v>2.9996133111146079</v>
      </c>
      <c r="I290">
        <f ca="1"/>
        <v>3.7946537528238452E-3</v>
      </c>
      <c r="J290">
        <f ca="1"/>
        <v>-2.0807565305736245E-3</v>
      </c>
      <c r="K290">
        <f ca="1"/>
        <v>0</v>
      </c>
      <c r="L290">
        <f ca="1"/>
        <v>-0.22083194307087053</v>
      </c>
      <c r="M290">
        <f ca="1"/>
        <v>-2.7710949693803668</v>
      </c>
      <c r="N290">
        <f ca="1"/>
        <v>-4.4620889502383588E-4</v>
      </c>
      <c r="O290">
        <f ca="1"/>
        <v>0</v>
      </c>
      <c r="P290">
        <f ca="1"/>
        <v>-2.9923731213462612</v>
      </c>
      <c r="Q290">
        <f ca="1"/>
        <v>1468.7904783637484</v>
      </c>
    </row>
    <row r="291" spans="1:17">
      <c r="A291" s="2">
        <f ca="1"/>
        <v>290</v>
      </c>
      <c r="B291" s="2">
        <f ca="1"/>
        <v>0.95932203389830506</v>
      </c>
      <c r="C291" s="7">
        <f ca="1"/>
        <v>7.2249999999999995E-2</v>
      </c>
      <c r="D291" s="4">
        <f ca="1"/>
        <v>2.9997552266414713</v>
      </c>
      <c r="E291" s="4">
        <f ca="1"/>
        <v>0.48449645883417874</v>
      </c>
      <c r="F291" s="4">
        <f ca="1"/>
        <v>-632.58361176502672</v>
      </c>
      <c r="G291">
        <f ca="1"/>
        <v>395084.70308686484</v>
      </c>
      <c r="H291">
        <f ca="1"/>
        <v>2.9997552266414713</v>
      </c>
      <c r="I291">
        <f ca="1"/>
        <v>3.7943578320187941E-3</v>
      </c>
      <c r="J291">
        <f ca="1"/>
        <v>-2.078410508137046E-3</v>
      </c>
      <c r="K291">
        <f ca="1"/>
        <v>0</v>
      </c>
      <c r="L291">
        <f ca="1"/>
        <v>-0.2207000649849313</v>
      </c>
      <c r="M291">
        <f ca="1"/>
        <v>-2.4002485817073653</v>
      </c>
      <c r="N291">
        <f ca="1"/>
        <v>-2.4393973523620504E-4</v>
      </c>
      <c r="O291">
        <f ca="1"/>
        <v>0</v>
      </c>
      <c r="P291">
        <f ca="1"/>
        <v>-2.6211925864275325</v>
      </c>
      <c r="Q291">
        <f ca="1"/>
        <v>1500.8996512985307</v>
      </c>
    </row>
    <row r="292" spans="1:17">
      <c r="A292" s="2">
        <f ca="1"/>
        <v>291</v>
      </c>
      <c r="B292" s="2">
        <f ca="1"/>
        <v>0.96610169491525411</v>
      </c>
      <c r="C292" s="7">
        <f ca="1"/>
        <v>7.2499999999999995E-2</v>
      </c>
      <c r="D292" s="4">
        <f ca="1"/>
        <v>2.9998576170929674</v>
      </c>
      <c r="E292" s="4">
        <f ca="1"/>
        <v>0.33878831694317929</v>
      </c>
      <c r="F292" s="4">
        <f ca="1"/>
        <v>-532.71542250377809</v>
      </c>
      <c r="G292">
        <f ca="1"/>
        <v>403871.12370340613</v>
      </c>
      <c r="H292">
        <f ca="1"/>
        <v>2.9998576170929674</v>
      </c>
      <c r="I292">
        <f ca="1"/>
        <v>3.7941443284966216E-3</v>
      </c>
      <c r="J292">
        <f ca="1"/>
        <v>-2.0767178794176217E-3</v>
      </c>
      <c r="K292">
        <f ca="1"/>
        <v>0</v>
      </c>
      <c r="L292">
        <f ca="1"/>
        <v>-0.22060491643381641</v>
      </c>
      <c r="M292">
        <f ca="1"/>
        <v>-2.021199198995391</v>
      </c>
      <c r="N292">
        <f ca="1"/>
        <v>-1.191802678086193E-4</v>
      </c>
      <c r="O292">
        <f ca="1"/>
        <v>0</v>
      </c>
      <c r="P292">
        <f ca="1"/>
        <v>-2.2419232956970161</v>
      </c>
      <c r="Q292">
        <f ca="1"/>
        <v>1533.4863753724298</v>
      </c>
    </row>
    <row r="293" spans="1:17">
      <c r="A293" s="2">
        <f ca="1"/>
        <v>292</v>
      </c>
      <c r="B293" s="2">
        <f ca="1"/>
        <v>0.97288135593220337</v>
      </c>
      <c r="C293" s="7">
        <f ca="1"/>
        <v>7.2749999999999995E-2</v>
      </c>
      <c r="D293" s="4">
        <f ca="1"/>
        <v>2.9999267243114929</v>
      </c>
      <c r="E293" s="4">
        <f ca="1"/>
        <v>0.21832244255555716</v>
      </c>
      <c r="F293" s="4">
        <f ca="1"/>
        <v>-430.64289356319779</v>
      </c>
      <c r="G293">
        <f ca="1"/>
        <v>412719.42052147258</v>
      </c>
      <c r="H293">
        <f ca="1"/>
        <v>2.9999267243114929</v>
      </c>
      <c r="I293">
        <f ca="1"/>
        <v>3.7940002268314066E-3</v>
      </c>
      <c r="J293">
        <f ca="1"/>
        <v>-2.0755754597770529E-3</v>
      </c>
      <c r="K293">
        <f ca="1"/>
        <v>0</v>
      </c>
      <c r="L293">
        <f ca="1"/>
        <v>-0.22054069704989729</v>
      </c>
      <c r="M293">
        <f ca="1"/>
        <v>-1.6338592358621058</v>
      </c>
      <c r="N293">
        <f ca="1"/>
        <v>-4.9465829313683564E-5</v>
      </c>
      <c r="O293">
        <f ca="1"/>
        <v>0</v>
      </c>
      <c r="P293">
        <f ca="1"/>
        <v>-1.8544493987413169</v>
      </c>
      <c r="Q293">
        <f ca="1"/>
        <v>1566.5211832594389</v>
      </c>
    </row>
    <row r="294" spans="1:17">
      <c r="A294" s="2">
        <f ca="1"/>
        <v>293</v>
      </c>
      <c r="B294" s="2">
        <f ca="1"/>
        <v>0.97966101694915242</v>
      </c>
      <c r="C294" s="7">
        <f ca="1"/>
        <v>7.2999999999999995E-2</v>
      </c>
      <c r="D294" s="4">
        <f ca="1"/>
        <v>2.9999689279106736</v>
      </c>
      <c r="E294" s="4">
        <f ca="1"/>
        <v>0.12365185422240671</v>
      </c>
      <c r="F294" s="4">
        <f ca="1"/>
        <v>-326.35055589291312</v>
      </c>
      <c r="G294">
        <f ca="1"/>
        <v>421629.59354106378</v>
      </c>
      <c r="H294">
        <f ca="1"/>
        <v>2.9999689279106736</v>
      </c>
      <c r="I294">
        <f ca="1"/>
        <v>3.7939122243180689E-3</v>
      </c>
      <c r="J294">
        <f ca="1"/>
        <v>-2.0748777870644845E-3</v>
      </c>
      <c r="K294">
        <f ca="1"/>
        <v>0</v>
      </c>
      <c r="L294">
        <f ca="1"/>
        <v>-0.22050147843863807</v>
      </c>
      <c r="M294">
        <f ca="1"/>
        <v>-1.2381453634151203</v>
      </c>
      <c r="N294">
        <f ca="1"/>
        <v>-1.5862213537600378E-5</v>
      </c>
      <c r="O294">
        <f ca="1"/>
        <v>0</v>
      </c>
      <c r="P294">
        <f ca="1"/>
        <v>-1.4586627040672959</v>
      </c>
      <c r="Q294">
        <f ca="1"/>
        <v>1599.9721591753637</v>
      </c>
    </row>
    <row r="295" spans="1:17">
      <c r="A295" s="2">
        <f ca="1"/>
        <v>294</v>
      </c>
      <c r="B295" s="2">
        <f ca="1"/>
        <v>0.98644067796610169</v>
      </c>
      <c r="C295" s="7">
        <f ca="1"/>
        <v>7.3249999999999996E-2</v>
      </c>
      <c r="D295" s="4">
        <f ca="1"/>
        <v>2.9999907462421835</v>
      </c>
      <c r="E295" s="4">
        <f ca="1"/>
        <v>5.53334377574363E-2</v>
      </c>
      <c r="F295" s="4">
        <f ca="1"/>
        <v>-219.822940442538</v>
      </c>
      <c r="G295">
        <f ca="1"/>
        <v>430601.64276218013</v>
      </c>
      <c r="H295">
        <f ca="1"/>
        <v>2.9999907462421835</v>
      </c>
      <c r="I295">
        <f ca="1"/>
        <v>3.79386672895637E-3</v>
      </c>
      <c r="J295">
        <f ca="1"/>
        <v>-2.0745171056339015E-3</v>
      </c>
      <c r="K295">
        <f ca="1"/>
        <v>0</v>
      </c>
      <c r="L295">
        <f ca="1"/>
        <v>-0.22048120328015813</v>
      </c>
      <c r="M295">
        <f ca="1"/>
        <v>-0.83397894000630257</v>
      </c>
      <c r="N295">
        <f ca="1"/>
        <v>-3.1758671736733821E-6</v>
      </c>
      <c r="O295">
        <f ca="1"/>
        <v>0</v>
      </c>
      <c r="P295">
        <f ca="1"/>
        <v>-1.0544633191536343</v>
      </c>
      <c r="Q295">
        <f ca="1"/>
        <v>1633.8047228128132</v>
      </c>
    </row>
    <row r="296" spans="1:17">
      <c r="A296" s="2">
        <f ca="1"/>
        <v>295</v>
      </c>
      <c r="B296" s="2">
        <f ca="1"/>
        <v>0.99322033898305073</v>
      </c>
      <c r="C296" s="7">
        <f ca="1"/>
        <v>7.3499999999999996E-2</v>
      </c>
      <c r="D296" s="4">
        <f ca="1"/>
        <v>2.9999988373625555</v>
      </c>
      <c r="E296" s="4">
        <f ca="1"/>
        <v>1.392794623700459E-2</v>
      </c>
      <c r="F296" s="4">
        <f ca="1"/>
        <v>-111.04457816169617</v>
      </c>
      <c r="G296">
        <f ca="1"/>
        <v>439635.56818482117</v>
      </c>
      <c r="H296">
        <f ca="1"/>
        <v>2.9999988373625555</v>
      </c>
      <c r="I296">
        <f ca="1"/>
        <v>3.7938498574349297E-3</v>
      </c>
      <c r="J296">
        <f ca="1"/>
        <v>-2.0743833503616693E-3</v>
      </c>
      <c r="K296">
        <f ca="1"/>
        <v>0</v>
      </c>
      <c r="L296">
        <f ca="1"/>
        <v>-0.2204736844308022</v>
      </c>
      <c r="M296">
        <f ca="1"/>
        <v>-0.42128645702767292</v>
      </c>
      <c r="N296">
        <f ca="1"/>
        <v>-2.0120241340185E-7</v>
      </c>
      <c r="O296">
        <f ca="1"/>
        <v>0</v>
      </c>
      <c r="P296">
        <f ca="1"/>
        <v>-0.64176034266088855</v>
      </c>
      <c r="Q296">
        <f ca="1"/>
        <v>1667.9814302578616</v>
      </c>
    </row>
    <row r="297" spans="1:17">
      <c r="A297" s="2">
        <f ca="1"/>
        <v>296</v>
      </c>
      <c r="B297" s="2">
        <f ca="1"/>
        <v>1</v>
      </c>
      <c r="C297" s="7">
        <f ca="1"/>
        <v>7.3749999999999996E-2</v>
      </c>
      <c r="D297" s="4">
        <f ca="1"/>
        <v>3</v>
      </c>
      <c r="E297" s="4">
        <f ca="1"/>
        <v>0</v>
      </c>
      <c r="F297" s="4">
        <f ca="1"/>
        <v>0</v>
      </c>
      <c r="G297">
        <f ca="1"/>
        <v>448731.36980898731</v>
      </c>
      <c r="H297">
        <f ca="1"/>
        <v>3</v>
      </c>
      <c r="I297">
        <f ca="1"/>
        <v>3.793847433115222E-3</v>
      </c>
      <c r="J297">
        <f ca="1"/>
        <v>-2.0743641306639323E-3</v>
      </c>
      <c r="K297">
        <f ca="1"/>
        <v>0</v>
      </c>
      <c r="L297">
        <f ca="1"/>
        <v>-0.22047260402470278</v>
      </c>
      <c r="M297">
        <f ca="1"/>
        <v>0</v>
      </c>
      <c r="N297">
        <f ca="1"/>
        <v>0</v>
      </c>
      <c r="O297">
        <f ca="1"/>
        <v>0</v>
      </c>
      <c r="P297">
        <f ca="1"/>
        <v>-0.22047260402470278</v>
      </c>
      <c r="Q297">
        <f ca="1"/>
        <v>1685.1509545447414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D1EE-6BAA-47B6-97F9-59F2B0331D5F}">
  <sheetPr codeName="Sheet4"/>
  <dimension ref="A1:Q297"/>
  <sheetViews>
    <sheetView topLeftCell="B1" zoomScaleNormal="100" workbookViewId="0">
      <selection activeCell="G2" sqref="G2"/>
    </sheetView>
  </sheetViews>
  <sheetFormatPr defaultRowHeight="14.4"/>
  <cols>
    <col min="1" max="1" width="7" style="2" bestFit="1" customWidth="1"/>
    <col min="2" max="2" width="8.88671875" style="2"/>
    <col min="3" max="3" width="8.88671875" style="7"/>
    <col min="4" max="4" width="9.5546875" style="4" bestFit="1" customWidth="1"/>
    <col min="5" max="5" width="10.5546875" style="4" customWidth="1"/>
    <col min="6" max="6" width="12" style="4" customWidth="1"/>
    <col min="7" max="7" width="13.5546875" bestFit="1" customWidth="1"/>
    <col min="8" max="8" width="12.88671875" customWidth="1"/>
    <col min="10" max="10" width="12" bestFit="1" customWidth="1"/>
    <col min="11" max="11" width="10.5546875" customWidth="1"/>
    <col min="13" max="13" width="12.5546875" bestFit="1" customWidth="1"/>
    <col min="14" max="15" width="8.88671875" customWidth="1"/>
    <col min="21" max="21" width="8.88671875" customWidth="1"/>
  </cols>
  <sheetData>
    <row r="1" spans="1:17" s="8" customFormat="1" ht="35.1" customHeight="1">
      <c r="A1" s="9" t="s">
        <v>114</v>
      </c>
      <c r="B1" s="9" t="s">
        <v>121</v>
      </c>
      <c r="C1" s="9" t="s">
        <v>115</v>
      </c>
      <c r="D1" s="9" t="s">
        <v>122</v>
      </c>
      <c r="E1" s="9" t="s">
        <v>123</v>
      </c>
      <c r="F1" s="9" t="s">
        <v>124</v>
      </c>
      <c r="G1" s="9" t="s">
        <v>125</v>
      </c>
      <c r="H1" s="9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0" t="s">
        <v>131</v>
      </c>
      <c r="N1" s="10" t="s">
        <v>132</v>
      </c>
      <c r="O1" s="10" t="s">
        <v>133</v>
      </c>
      <c r="P1" s="10" t="s">
        <v>134</v>
      </c>
      <c r="Q1" s="10" t="s">
        <v>135</v>
      </c>
    </row>
    <row r="2" spans="1:17">
      <c r="A2" s="13" cm="1">
        <f t="array" aca="1" ref="A2:A297" ca="1">time_i</f>
        <v>1</v>
      </c>
      <c r="B2" s="12" cm="1">
        <f t="array" aca="1" ref="B2:B297" ca="1">time_x</f>
        <v>-1</v>
      </c>
      <c r="C2" s="33" cm="1">
        <f t="array" aca="1" ref="C2:C297" ca="1">time_t</f>
        <v>0</v>
      </c>
      <c r="D2" s="4" cm="1">
        <f t="array" aca="1" ref="D2:D297" ca="1">p_0 + time_x*(p_1 + time_x*(p_2 + time_x*(p_3 + time_x*(p_4 + time_x*(p_5 + time_x*(p_6 + time_x*(p_7 + time_x*(p_8 + time_x*(p_9 + time_x*(p_10 + time_x*(p_11 + time_x*(p_12 + time_x*(p_13 + time_x*(p_14 + time_x*(p_15 + time_x*(p_16 + time_x*(p_17 + time_x*(p_18 + p_19*time_x))))))))))))))))))</f>
        <v>0</v>
      </c>
      <c r="E2" s="4" cm="1">
        <f t="array" aca="1" ref="E2:E297" ca="1">(p_1 + time_x*(2*p_2 + time_x*(3*p_3 + time_x*(4*p_4 + time_x*(5*p_5 + time_x*(6*p_6 + time_x*(7*p_7 + time_x*(8*p_8 + time_x*(9*p_9 + time_x*(10*p_10 + time_x*(11*p_11 + time_x*(12*p_12 + time_x*(13*p_13 + time_x*(14*p_14 + time_x*(15*p_15 + time_x*(16*p_16 + time_x*(17*p_17 + time_x*(18*p_18 + 19*p_19*time_x))))))))))))))))))/(0.5*tAB)</f>
        <v>0</v>
      </c>
      <c r="F2" s="4" cm="1">
        <f t="array" aca="1" ref="F2:F297" ca="1">(2*p_2 + time_x*(6*p_3 + time_x*(12*p_4 + time_x*(20*p_5 + time_x*(30*p_6 + time_x*(42*p_7 + time_x*(56*p_8 + time_x*(72*p_9 + time_x*(90*p_10 + time_x*(110*p_11 + time_x*(132*p_12 + time_x*(156*p_13 + time_x*(182*p_14 + time_x*(210*p_15 + time_x*(240*p_16 + time_x*(272*p_17 + time_x*(306*p_18 + 342*p_19*time_x)))))))))))))))))/(0.5*tAB)^2</f>
        <v>0</v>
      </c>
      <c r="G2" s="4" cm="1">
        <f t="array" aca="1" ref="G2:G297" ca="1">(6*p_3 + time_x*(24*p_4 + time_x*(60*p_5 + time_x*(120*p_6 + time_x*(210*p_7 + time_x*(336*p_8 + time_x*(504*p_9 + time_x*(720*p_10 + time_x*(990*p_11 + time_x*(1320*p_12 + time_x*(1716*p_13 + time_x*(2184*p_14 + time_x*(2730*p_15 + time_x*(3360*p_16 + time_x*(4080*p_17 + time_x*(4896*p_18 + 5814*p_19*time_x))))))))))))))))/(0.5*tAB)^3</f>
        <v>448731.36980898731</v>
      </c>
      <c r="H2" cm="1">
        <f t="array" aca="1" ref="H2:H297" ca="1">MOD(optipoly.q,2*PI())</f>
        <v>0</v>
      </c>
      <c r="I2" cm="1">
        <f t="array" aca="1" ref="I2:I297" ca="1">_xlfn.XLOOKUP(optipoly.qmod,prop.J_x,prop.J_y,,-1,2)+(optipoly.qmod-_xlfn.XLOOKUP(optipoly.qmod,prop.J_x,prop.J_x,,-1,2))*IFERROR((_xlfn.XLOOKUP(optipoly.qmod,prop.J_x,prop.J_y,,1,2)-_xlfn.XLOOKUP(optipoly.qmod,prop.J_x,prop.J_y,,-1,2))/(_xlfn.XLOOKUP(optipoly.qmod,prop.J_x,prop.J_x,,1,2)-_xlfn.XLOOKUP(optipoly.qmod,prop.J_x,prop.J_x,,-1,2)),0)</f>
        <v>3.6499468900000002E-3</v>
      </c>
      <c r="J2" cm="1">
        <f t="array" aca="1" ref="J2:J297" ca="1">_xlfn.XLOOKUP(optipoly.qmod,prop.dJ_x,prop.dJ_y,,-1,2)+(optipoly.qmod-_xlfn.XLOOKUP(optipoly.qmod,prop.dJ_x,prop.dJ_x,,-1,2))*IFERROR((_xlfn.XLOOKUP(optipoly.qmod,prop.dJ_x,prop.dJ_y,,1,2)-_xlfn.XLOOKUP(optipoly.qmod,prop.dJ_x,prop.dJ_y,,-1,2))/(_xlfn.XLOOKUP(optipoly.qmod,prop.dJ_x,prop.dJ_x,,1,2)-_xlfn.XLOOKUP(optipoly.qmod,prop.dJ_x,prop.dJ_x,,-1,2)),0)</f>
        <v>6.4224695402142974E-5</v>
      </c>
      <c r="K2" cm="1">
        <f t="array" aca="1" ref="K2:K297" ca="1">_xlfn.XLOOKUP(optipoly.qmod,prop.fw_x,prop.fw_y,,-1,2)+(optipoly.qmod-_xlfn.XLOOKUP(optipoly.qmod,prop.fw_x,prop.fw_x,,-1,2))*IFERROR((_xlfn.XLOOKUP(optipoly.qmod,prop.fw_x,prop.fw_y,,1,2)-_xlfn.XLOOKUP(optipoly.qmod,prop.fw_x,prop.fw_y,,-1,2))/(_xlfn.XLOOKUP(optipoly.qmod,prop.fw_x,prop.fw_x,,1,2)-_xlfn.XLOOKUP(optipoly.qmod,prop.fw_x,prop.fw_x,,-1,2)),0)</f>
        <v>0</v>
      </c>
      <c r="L2" cm="1">
        <f t="array" aca="1" ref="L2:L297" ca="1">_xlfn.XLOOKUP(optipoly.qmod,prop.Tl_x,prop.Tl_y,,-1,2)+(optipoly.qmod-_xlfn.XLOOKUP(optipoly.qmod,prop.Tl_x,prop.Tl_x,,-1,2))*IFERROR((_xlfn.XLOOKUP(optipoly.qmod,prop.Tl_x,prop.Tl_y,,1,2)-_xlfn.XLOOKUP(optipoly.qmod,prop.Tl_x,prop.Tl_y,,-1,2))/(_xlfn.XLOOKUP(optipoly.qmod,prop.Tl_x,prop.Tl_x,,1,2)-_xlfn.XLOOKUP(optipoly.qmod,prop.Tl_x,prop.Tl_x,,-1,2)),0)</f>
        <v>0.1025359665978</v>
      </c>
      <c r="M2" cm="1">
        <f t="array" aca="1" ref="M2:M297" ca="1">optipoly.J*optipoly.qd2</f>
        <v>0</v>
      </c>
      <c r="N2" cm="1">
        <f t="array" aca="1" ref="N2:N297" ca="1">0.5*optipoly.dJ*optipoly.qd1^2</f>
        <v>0</v>
      </c>
      <c r="O2" cm="1">
        <f t="array" aca="1" ref="O2:O297" ca="1">optipoly.fw*optipoly.qd1</f>
        <v>0</v>
      </c>
      <c r="P2" cm="1">
        <f t="array" aca="1" ref="P2:P297" ca="1">optipoly.Tl+optipoly.Tacc+optipoly.Tvar+optipoly.Tf</f>
        <v>0.1025359665978</v>
      </c>
      <c r="Q2" cm="1">
        <f t="array" aca="1" ref="Q2:Q297" ca="1">(IFERROR(INDEX(optipoly.Tm,time_i+1),INDEX(optipoly.Tm,n))-INDEX(optipoly.Tm,time_i-1))/(IFERROR(INDEX(time_t,time_i+1),INDEX(time_t,n))-INDEX(time_t,time_i-1))</f>
        <v>1621.2329764736776</v>
      </c>
    </row>
    <row r="3" spans="1:17">
      <c r="A3" s="2">
        <f ca="1"/>
        <v>2</v>
      </c>
      <c r="B3" s="2">
        <f ca="1"/>
        <v>-0.99322033898305084</v>
      </c>
      <c r="C3" s="7">
        <f ca="1"/>
        <v>2.5000000000000001E-4</v>
      </c>
      <c r="D3" s="4">
        <f ca="1"/>
        <v>1.1626374445405929E-6</v>
      </c>
      <c r="E3" s="4">
        <f ca="1"/>
        <v>1.392794623700459E-2</v>
      </c>
      <c r="F3" s="4">
        <f ca="1"/>
        <v>111.04457816169487</v>
      </c>
      <c r="G3">
        <f ca="1"/>
        <v>439635.56818482117</v>
      </c>
      <c r="H3">
        <f ca="1"/>
        <v>1.1626374445405929E-6</v>
      </c>
      <c r="I3">
        <f ca="1"/>
        <v>3.649946964670036E-3</v>
      </c>
      <c r="J3">
        <f ca="1"/>
        <v>6.4239677823897616E-5</v>
      </c>
      <c r="K3">
        <f ca="1"/>
        <v>0</v>
      </c>
      <c r="L3">
        <f ca="1"/>
        <v>0.10253738348102333</v>
      </c>
      <c r="M3">
        <f ca="1"/>
        <v>0.40530682100434279</v>
      </c>
      <c r="N3">
        <f ca="1"/>
        <v>6.2308532374558425E-9</v>
      </c>
      <c r="O3">
        <f ca="1"/>
        <v>0</v>
      </c>
      <c r="P3">
        <f ca="1"/>
        <v>0.50784421071621944</v>
      </c>
      <c r="Q3">
        <f ca="1"/>
        <v>1604.7071286783312</v>
      </c>
    </row>
    <row r="4" spans="1:17">
      <c r="A4" s="2">
        <f ca="1"/>
        <v>3</v>
      </c>
      <c r="B4" s="2">
        <f ca="1"/>
        <v>-0.98644067796610169</v>
      </c>
      <c r="C4" s="7">
        <f ca="1"/>
        <v>5.0000000000000001E-4</v>
      </c>
      <c r="D4" s="4">
        <f ca="1"/>
        <v>9.2537578164630929E-6</v>
      </c>
      <c r="E4" s="4">
        <f ca="1"/>
        <v>5.5333437757448346E-2</v>
      </c>
      <c r="F4" s="4">
        <f ca="1"/>
        <v>219.822940442538</v>
      </c>
      <c r="G4">
        <f ca="1"/>
        <v>430601.64276218013</v>
      </c>
      <c r="H4">
        <f ca="1"/>
        <v>9.2537578164630929E-6</v>
      </c>
      <c r="I4">
        <f ca="1"/>
        <v>3.6499474843197772E-3</v>
      </c>
      <c r="J4">
        <f ca="1"/>
        <v>6.4343944703008519E-5</v>
      </c>
      <c r="K4">
        <f ca="1"/>
        <v>0</v>
      </c>
      <c r="L4">
        <f ca="1"/>
        <v>0.10254724396914605</v>
      </c>
      <c r="M4">
        <f ca="1"/>
        <v>0.80234218846401772</v>
      </c>
      <c r="N4">
        <f ca="1"/>
        <v>9.8503801801425649E-8</v>
      </c>
      <c r="O4">
        <f ca="1"/>
        <v>0</v>
      </c>
      <c r="P4">
        <f ca="1"/>
        <v>0.90488953093696556</v>
      </c>
      <c r="Q4">
        <f ca="1"/>
        <v>1571.7859293360409</v>
      </c>
    </row>
    <row r="5" spans="1:17">
      <c r="A5" s="2">
        <f ca="1"/>
        <v>4</v>
      </c>
      <c r="B5" s="2">
        <f ca="1"/>
        <v>-0.97966101694915253</v>
      </c>
      <c r="C5" s="7">
        <f ca="1"/>
        <v>7.5000000000000002E-4</v>
      </c>
      <c r="D5" s="4">
        <f ca="1"/>
        <v>3.1072089326178443E-5</v>
      </c>
      <c r="E5" s="4">
        <f ca="1"/>
        <v>0.12365185422240671</v>
      </c>
      <c r="F5" s="4">
        <f ca="1"/>
        <v>326.35055589291187</v>
      </c>
      <c r="G5">
        <f ca="1"/>
        <v>421629.59354106389</v>
      </c>
      <c r="H5">
        <f ca="1"/>
        <v>3.1072089326178443E-5</v>
      </c>
      <c r="I5">
        <f ca="1"/>
        <v>3.6499488855954725E-3</v>
      </c>
      <c r="J5">
        <f ca="1"/>
        <v>6.4625108402144627E-5</v>
      </c>
      <c r="K5">
        <f ca="1"/>
        <v>0</v>
      </c>
      <c r="L5">
        <f ca="1"/>
        <v>0.10257383353756426</v>
      </c>
      <c r="M5">
        <f ca="1"/>
        <v>1.1911628477947966</v>
      </c>
      <c r="N5">
        <f ca="1"/>
        <v>4.9405187898593649E-7</v>
      </c>
      <c r="O5">
        <f ca="1"/>
        <v>0</v>
      </c>
      <c r="P5">
        <f ca="1"/>
        <v>1.2937371753842399</v>
      </c>
      <c r="Q5">
        <f ca="1"/>
        <v>1539.126010268247</v>
      </c>
    </row>
    <row r="6" spans="1:17">
      <c r="A6" s="2">
        <f ca="1"/>
        <v>5</v>
      </c>
      <c r="B6" s="2">
        <f ca="1"/>
        <v>-0.97288135593220337</v>
      </c>
      <c r="C6" s="7">
        <f ca="1"/>
        <v>1E-3</v>
      </c>
      <c r="D6" s="4">
        <f ca="1"/>
        <v>7.3275688507568049E-5</v>
      </c>
      <c r="E6" s="4">
        <f ca="1"/>
        <v>0.21832244255555716</v>
      </c>
      <c r="F6" s="4">
        <f ca="1"/>
        <v>430.64289356319779</v>
      </c>
      <c r="G6">
        <f ca="1"/>
        <v>412719.42052147258</v>
      </c>
      <c r="H6">
        <f ca="1"/>
        <v>7.3275688507568049E-5</v>
      </c>
      <c r="I6">
        <f ca="1"/>
        <v>3.649951596108775E-3</v>
      </c>
      <c r="J6">
        <f ca="1"/>
        <v>6.5168968507002458E-5</v>
      </c>
      <c r="K6">
        <f ca="1"/>
        <v>0</v>
      </c>
      <c r="L6">
        <f ca="1"/>
        <v>0.10262526622788838</v>
      </c>
      <c r="M6">
        <f ca="1"/>
        <v>1.5718257167138951</v>
      </c>
      <c r="N6">
        <f ca="1"/>
        <v>1.5531293056733619E-6</v>
      </c>
      <c r="O6">
        <f ca="1"/>
        <v>0</v>
      </c>
      <c r="P6">
        <f ca="1"/>
        <v>1.6744525360710891</v>
      </c>
      <c r="Q6">
        <f ca="1"/>
        <v>1506.7279451089921</v>
      </c>
    </row>
    <row r="7" spans="1:17">
      <c r="A7" s="2">
        <f ca="1"/>
        <v>6</v>
      </c>
      <c r="B7" s="2">
        <f ca="1"/>
        <v>-0.96610169491525422</v>
      </c>
      <c r="C7" s="7">
        <f ca="1"/>
        <v>1.25E-3</v>
      </c>
      <c r="D7" s="4">
        <f ca="1"/>
        <v>1.4238290703283418E-4</v>
      </c>
      <c r="E7" s="4">
        <f ca="1"/>
        <v>0.33878831694320338</v>
      </c>
      <c r="F7" s="4">
        <f ca="1"/>
        <v>532.71542250377433</v>
      </c>
      <c r="G7">
        <f ca="1"/>
        <v>403871.12370340625</v>
      </c>
      <c r="H7">
        <f ca="1"/>
        <v>1.4238290703283418E-4</v>
      </c>
      <c r="I7">
        <f ca="1"/>
        <v>3.649956034498835E-3</v>
      </c>
      <c r="J7">
        <f ca="1"/>
        <v>6.6059524285244192E-5</v>
      </c>
      <c r="K7">
        <f ca="1"/>
        <v>0</v>
      </c>
      <c r="L7">
        <f ca="1"/>
        <v>0.10270948582618128</v>
      </c>
      <c r="M7">
        <f ca="1"/>
        <v>1.9443878710382476</v>
      </c>
      <c r="N7">
        <f ca="1"/>
        <v>3.7910743070379654E-6</v>
      </c>
      <c r="O7">
        <f ca="1"/>
        <v>0</v>
      </c>
      <c r="P7">
        <f ca="1"/>
        <v>2.047101147938736</v>
      </c>
      <c r="Q7">
        <f ca="1"/>
        <v>1474.592340177001</v>
      </c>
    </row>
    <row r="8" spans="1:17">
      <c r="A8" s="2">
        <f ca="1"/>
        <v>7</v>
      </c>
      <c r="B8" s="2">
        <f ca="1"/>
        <v>-0.95932203389830506</v>
      </c>
      <c r="C8" s="7">
        <f ca="1"/>
        <v>1.5E-3</v>
      </c>
      <c r="D8" s="4">
        <f ca="1"/>
        <v>2.4477335852868265E-4</v>
      </c>
      <c r="E8" s="4">
        <f ca="1"/>
        <v>0.48449645883417874</v>
      </c>
      <c r="F8" s="4">
        <f ca="1"/>
        <v>632.58361176502672</v>
      </c>
      <c r="G8">
        <f ca="1"/>
        <v>395084.70308686479</v>
      </c>
      <c r="H8">
        <f ca="1"/>
        <v>2.4477335852868265E-4</v>
      </c>
      <c r="I8">
        <f ca="1"/>
        <v>3.6499626104943943E-3</v>
      </c>
      <c r="J8">
        <f ca="1"/>
        <v>6.7378987145452773E-5</v>
      </c>
      <c r="K8">
        <f ca="1"/>
        <v>0</v>
      </c>
      <c r="L8">
        <f ca="1"/>
        <v>0.10283426704119801</v>
      </c>
      <c r="M8">
        <f ca="1"/>
        <v>2.3089065309538492</v>
      </c>
      <c r="N8">
        <f ca="1"/>
        <v>7.9081645422770504E-6</v>
      </c>
      <c r="O8">
        <f ca="1"/>
        <v>0</v>
      </c>
      <c r="P8">
        <f ca="1"/>
        <v>2.4117487061595897</v>
      </c>
      <c r="Q8">
        <f ca="1"/>
        <v>1442.7199155853277</v>
      </c>
    </row>
    <row r="9" spans="1:17">
      <c r="A9" s="2">
        <f ca="1"/>
        <v>8</v>
      </c>
      <c r="B9" s="2">
        <f ca="1"/>
        <v>-0.9525423728813559</v>
      </c>
      <c r="C9" s="7">
        <f ca="1"/>
        <v>1.75E-3</v>
      </c>
      <c r="D9" s="4">
        <f ca="1"/>
        <v>3.8668888539206137E-4</v>
      </c>
      <c r="E9" s="4">
        <f ca="1"/>
        <v>0.65489771693995491</v>
      </c>
      <c r="F9" s="4">
        <f ca="1"/>
        <v>730.26293039733469</v>
      </c>
      <c r="G9">
        <f ca="1"/>
        <v>386360.15867184848</v>
      </c>
      <c r="H9">
        <f ca="1"/>
        <v>3.8668888539206137E-4</v>
      </c>
      <c r="I9">
        <f ca="1"/>
        <v>3.6499717249758798E-3</v>
      </c>
      <c r="J9">
        <f ca="1"/>
        <v>6.920779309608142E-5</v>
      </c>
      <c r="K9">
        <f ca="1"/>
        <v>0</v>
      </c>
      <c r="L9">
        <f ca="1"/>
        <v>0.10300721668262497</v>
      </c>
      <c r="M9">
        <f ca="1"/>
        <v>2.6654390477483005</v>
      </c>
      <c r="N9">
        <f ca="1"/>
        <v>1.4841300474461827E-5</v>
      </c>
      <c r="O9">
        <f ca="1"/>
        <v>0</v>
      </c>
      <c r="P9">
        <f ca="1"/>
        <v>2.7684611057313999</v>
      </c>
      <c r="Q9">
        <f ca="1"/>
        <v>1411.1116008061008</v>
      </c>
    </row>
    <row r="10" spans="1:17">
      <c r="A10" s="2">
        <f ca="1"/>
        <v>9</v>
      </c>
      <c r="B10" s="2">
        <f ca="1"/>
        <v>-0.94576271186440675</v>
      </c>
      <c r="C10" s="7">
        <f ca="1"/>
        <v>2E-3</v>
      </c>
      <c r="D10" s="4">
        <f ca="1"/>
        <v>5.7423452560545485E-4</v>
      </c>
      <c r="E10" s="4">
        <f ca="1"/>
        <v>0.84944680723462973</v>
      </c>
      <c r="F10" s="4">
        <f ca="1"/>
        <v>825.76884745107839</v>
      </c>
      <c r="G10">
        <f ca="1"/>
        <v>377697.49045835692</v>
      </c>
      <c r="H10">
        <f ca="1"/>
        <v>5.7423452560545485E-4</v>
      </c>
      <c r="I10">
        <f ca="1"/>
        <v>3.6499837700374967E-3</v>
      </c>
      <c r="J10">
        <f ca="1"/>
        <v>7.162461520439733E-5</v>
      </c>
      <c r="K10">
        <f ca="1"/>
        <v>0</v>
      </c>
      <c r="L10">
        <f ca="1"/>
        <v>0.10323577483931858</v>
      </c>
      <c r="M10">
        <f ca="1"/>
        <v>3.0140428909990056</v>
      </c>
      <c r="N10">
        <f ca="1"/>
        <v>2.5840724315840497E-5</v>
      </c>
      <c r="O10">
        <f ca="1"/>
        <v>0</v>
      </c>
      <c r="P10">
        <f ca="1"/>
        <v>3.1173045065626401</v>
      </c>
      <c r="Q10">
        <f ca="1"/>
        <v>1379.7686415081582</v>
      </c>
    </row>
    <row r="11" spans="1:17">
      <c r="A11" s="2">
        <f ca="1"/>
        <v>10</v>
      </c>
      <c r="B11" s="2">
        <f ca="1"/>
        <v>-0.93898305084745759</v>
      </c>
      <c r="C11" s="7">
        <f ca="1"/>
        <v>2.2500000000000003E-3</v>
      </c>
      <c r="D11" s="4">
        <f ca="1"/>
        <v>8.1337947955240075E-4</v>
      </c>
      <c r="E11" s="4">
        <f ca="1"/>
        <v>1.0676023129548184</v>
      </c>
      <c r="F11" s="4">
        <f ca="1"/>
        <v>919.11683197664036</v>
      </c>
      <c r="G11">
        <f ca="1"/>
        <v>369096.69844639028</v>
      </c>
      <c r="H11">
        <f ca="1"/>
        <v>8.1337947955240075E-4</v>
      </c>
      <c r="I11">
        <f ca="1"/>
        <v>3.6499991290493208E-3</v>
      </c>
      <c r="J11">
        <f ca="1"/>
        <v>7.4706376055428265E-5</v>
      </c>
      <c r="K11">
        <f ca="1"/>
        <v>0</v>
      </c>
      <c r="L11">
        <f ca="1"/>
        <v>0.10352721605754417</v>
      </c>
      <c r="M11">
        <f ca="1"/>
        <v>3.3547756362093084</v>
      </c>
      <c r="N11">
        <f ca="1"/>
        <v>4.2574218627026045E-5</v>
      </c>
      <c r="O11">
        <f ca="1"/>
        <v>0</v>
      </c>
      <c r="P11">
        <f ca="1"/>
        <v>3.4583454264854794</v>
      </c>
      <c r="Q11">
        <f ca="1"/>
        <v>1348.692714735904</v>
      </c>
    </row>
    <row r="12" spans="1:17">
      <c r="A12" s="2">
        <f ca="1"/>
        <v>11</v>
      </c>
      <c r="B12" s="2">
        <f ca="1"/>
        <v>-0.93220338983050843</v>
      </c>
      <c r="C12" s="7">
        <f ca="1"/>
        <v>2.5000000000000001E-3</v>
      </c>
      <c r="D12" s="4">
        <f ca="1"/>
        <v>1.1099580768338946E-3</v>
      </c>
      <c r="E12" s="4">
        <f ca="1"/>
        <v>1.3088266845997871</v>
      </c>
      <c r="F12" s="4">
        <f ca="1"/>
        <v>1010.3223530244017</v>
      </c>
      <c r="G12">
        <f ca="1"/>
        <v>360557.78263594868</v>
      </c>
      <c r="H12">
        <f ca="1"/>
        <v>1.1099580768338946E-3</v>
      </c>
      <c r="I12">
        <f ca="1"/>
        <v>3.650018176719394E-3</v>
      </c>
      <c r="J12">
        <f ca="1"/>
        <v>7.8528260210920591E-5</v>
      </c>
      <c r="K12">
        <f ca="1"/>
        <v>0</v>
      </c>
      <c r="L12">
        <f ca="1"/>
        <v>0.10388865051921603</v>
      </c>
      <c r="M12">
        <f ca="1"/>
        <v>3.6876949528849745</v>
      </c>
      <c r="N12">
        <f ca="1"/>
        <v>6.7260526401347062E-5</v>
      </c>
      <c r="O12">
        <f ca="1"/>
        <v>0</v>
      </c>
      <c r="P12">
        <f ca="1"/>
        <v>3.7916508639305921</v>
      </c>
      <c r="Q12">
        <f ca="1"/>
        <v>1317.8860497379212</v>
      </c>
    </row>
    <row r="13" spans="1:17">
      <c r="A13" s="2">
        <f ca="1"/>
        <v>12</v>
      </c>
      <c r="B13" s="2">
        <f ca="1"/>
        <v>-0.92542372881355928</v>
      </c>
      <c r="C13" s="7">
        <f ca="1"/>
        <v>2.7499999999999998E-3</v>
      </c>
      <c r="D13" s="4">
        <f ca="1"/>
        <v>1.4696707430839062E-3</v>
      </c>
      <c r="E13" s="4">
        <f ca="1"/>
        <v>1.5725862399313912</v>
      </c>
      <c r="F13" s="4">
        <f ca="1"/>
        <v>1099.4008796447422</v>
      </c>
      <c r="G13">
        <f ca="1"/>
        <v>352080.74302703206</v>
      </c>
      <c r="H13">
        <f ca="1"/>
        <v>1.4696707430839062E-3</v>
      </c>
      <c r="I13">
        <f ca="1"/>
        <v>3.6500412791558162E-3</v>
      </c>
      <c r="J13">
        <f ca="1"/>
        <v>8.3163726668285918E-5</v>
      </c>
      <c r="K13">
        <f ca="1"/>
        <v>0</v>
      </c>
      <c r="L13">
        <f ca="1"/>
        <v>0.1043270252201363</v>
      </c>
      <c r="M13">
        <f ca="1"/>
        <v>4.0128585930435241</v>
      </c>
      <c r="N13">
        <f ca="1"/>
        <v>1.0283309077899982E-4</v>
      </c>
      <c r="O13">
        <f ca="1"/>
        <v>0</v>
      </c>
      <c r="P13">
        <f ca="1"/>
        <v>4.1172884513544394</v>
      </c>
      <c r="Q13">
        <f ca="1"/>
        <v>1287.3746475277158</v>
      </c>
    </row>
    <row r="14" spans="1:17">
      <c r="A14" s="2">
        <f ca="1"/>
        <v>13</v>
      </c>
      <c r="B14" s="2">
        <f ca="1"/>
        <v>-0.91864406779661012</v>
      </c>
      <c r="C14" s="7">
        <f ca="1"/>
        <v>3.0000000000000001E-3</v>
      </c>
      <c r="D14" s="4">
        <f ca="1"/>
        <v>1.8980849667833422E-3</v>
      </c>
      <c r="E14" s="4">
        <f ca="1"/>
        <v>1.8583511639740768</v>
      </c>
      <c r="F14" s="4">
        <f ca="1"/>
        <v>1186.3678808880447</v>
      </c>
      <c r="G14">
        <f ca="1"/>
        <v>343665.57961964025</v>
      </c>
      <c r="H14">
        <f ca="1"/>
        <v>1.8980849667833422E-3</v>
      </c>
      <c r="I14">
        <f ca="1"/>
        <v>3.6500756652863057E-3</v>
      </c>
      <c r="J14">
        <f ca="1"/>
        <v>9.0651132110087487E-5</v>
      </c>
      <c r="K14">
        <f ca="1"/>
        <v>0</v>
      </c>
      <c r="L14">
        <f ca="1"/>
        <v>0.10484912514823194</v>
      </c>
      <c r="M14">
        <f ca="1"/>
        <v>4.330332532106735</v>
      </c>
      <c r="N14">
        <f ca="1"/>
        <v>1.5653043948335392E-4</v>
      </c>
      <c r="O14">
        <f ca="1"/>
        <v>0</v>
      </c>
      <c r="P14">
        <f ca="1"/>
        <v>4.43533818769445</v>
      </c>
      <c r="Q14">
        <f ca="1"/>
        <v>1257.2074397164836</v>
      </c>
    </row>
    <row r="15" spans="1:17">
      <c r="A15" s="2">
        <f ca="1"/>
        <v>14</v>
      </c>
      <c r="B15" s="2">
        <f ca="1"/>
        <v>-0.91186440677966096</v>
      </c>
      <c r="C15" s="7">
        <f ca="1"/>
        <v>3.2500000000000003E-3</v>
      </c>
      <c r="D15" s="4">
        <f ca="1"/>
        <v>2.4006362660782266E-3</v>
      </c>
      <c r="E15" s="4">
        <f ca="1"/>
        <v>2.1655955090148673</v>
      </c>
      <c r="F15" s="4">
        <f ca="1"/>
        <v>1271.2388258046892</v>
      </c>
      <c r="G15">
        <f ca="1"/>
        <v>335312.29241377336</v>
      </c>
      <c r="H15">
        <f ca="1"/>
        <v>2.4006362660782266E-3</v>
      </c>
      <c r="I15">
        <f ca="1"/>
        <v>3.650130547581646E-3</v>
      </c>
      <c r="J15">
        <f ca="1"/>
        <v>1.0359725655801705E-4</v>
      </c>
      <c r="K15">
        <f ca="1"/>
        <v>0</v>
      </c>
      <c r="L15">
        <f ca="1"/>
        <v>0.10546157446179702</v>
      </c>
      <c r="M15">
        <f ca="1"/>
        <v>4.6401876713415184</v>
      </c>
      <c r="N15">
        <f ca="1"/>
        <v>2.4292540936639835E-4</v>
      </c>
      <c r="O15">
        <f ca="1"/>
        <v>0</v>
      </c>
      <c r="P15">
        <f ca="1"/>
        <v>4.7458921712126818</v>
      </c>
      <c r="Q15">
        <f ca="1"/>
        <v>1227.3415013104393</v>
      </c>
    </row>
    <row r="16" spans="1:17">
      <c r="A16" s="2">
        <f ca="1"/>
        <v>15</v>
      </c>
      <c r="B16" s="2">
        <f ca="1"/>
        <v>-0.90508474576271181</v>
      </c>
      <c r="C16" s="7">
        <f ca="1"/>
        <v>3.5000000000000001E-3</v>
      </c>
      <c r="D16" s="4">
        <f ca="1"/>
        <v>2.9826291555941076E-3</v>
      </c>
      <c r="E16" s="4">
        <f ca="1"/>
        <v>2.4937971946034008</v>
      </c>
      <c r="F16" s="4">
        <f ca="1"/>
        <v>1354.0291834450579</v>
      </c>
      <c r="G16">
        <f ca="1"/>
        <v>327020.88140943152</v>
      </c>
      <c r="H16">
        <f ca="1"/>
        <v>2.9826291555941076E-3</v>
      </c>
      <c r="I16">
        <f ca="1"/>
        <v>3.6501941054824876E-3</v>
      </c>
      <c r="J16">
        <f ca="1"/>
        <v>1.1858986007143792E-4</v>
      </c>
      <c r="K16">
        <f ca="1"/>
        <v>0</v>
      </c>
      <c r="L16">
        <f ca="1"/>
        <v>0.10617083766773017</v>
      </c>
      <c r="M16">
        <f ca="1"/>
        <v>4.9424693440624159</v>
      </c>
      <c r="N16">
        <f ca="1"/>
        <v>3.6875661952342597E-4</v>
      </c>
      <c r="O16">
        <f ca="1"/>
        <v>0</v>
      </c>
      <c r="P16">
        <f ca="1"/>
        <v>5.0490089383496697</v>
      </c>
      <c r="Q16">
        <f ca="1"/>
        <v>1197.7725726454153</v>
      </c>
    </row>
    <row r="17" spans="1:17">
      <c r="A17" s="2">
        <f ca="1"/>
        <v>16</v>
      </c>
      <c r="B17" s="2">
        <f ca="1"/>
        <v>-0.89830508474576276</v>
      </c>
      <c r="C17" s="7">
        <f ca="1"/>
        <v>3.7499999999999999E-3</v>
      </c>
      <c r="D17" s="4">
        <f ca="1"/>
        <v>3.6492381132509077E-3</v>
      </c>
      <c r="E17" s="4">
        <f ca="1"/>
        <v>2.8424380075519053</v>
      </c>
      <c r="F17" s="4">
        <f ca="1"/>
        <v>1434.7544228595314</v>
      </c>
      <c r="G17">
        <f ca="1"/>
        <v>318791.34660661477</v>
      </c>
      <c r="H17">
        <f ca="1"/>
        <v>3.6492381132509077E-3</v>
      </c>
      <c r="I17">
        <f ca="1"/>
        <v>3.6502740305694812E-3</v>
      </c>
      <c r="J17">
        <f ca="1"/>
        <v>1.3575836647466825E-4</v>
      </c>
      <c r="K17">
        <f ca="1"/>
        <v>0</v>
      </c>
      <c r="L17">
        <f ca="1"/>
        <v>0.10698322079977272</v>
      </c>
      <c r="M17">
        <f ca="1"/>
        <v>5.237246810008851</v>
      </c>
      <c r="N17">
        <f ca="1"/>
        <v>5.4842672676528453E-4</v>
      </c>
      <c r="O17">
        <f ca="1"/>
        <v>0</v>
      </c>
      <c r="P17">
        <f ca="1"/>
        <v>5.3447784575353889</v>
      </c>
      <c r="Q17">
        <f ca="1"/>
        <v>1168.6137011620197</v>
      </c>
    </row>
    <row r="18" spans="1:17">
      <c r="A18" s="2">
        <f ca="1"/>
        <v>17</v>
      </c>
      <c r="B18" s="2">
        <f ca="1"/>
        <v>-0.89152542372881349</v>
      </c>
      <c r="C18" s="7">
        <f ca="1"/>
        <v>4.0000000000000001E-3</v>
      </c>
      <c r="D18" s="4">
        <f ca="1"/>
        <v>4.405508547080661E-3</v>
      </c>
      <c r="E18" s="4">
        <f ca="1"/>
        <v>3.21100360193521</v>
      </c>
      <c r="F18" s="4">
        <f ca="1"/>
        <v>1513.4300130984923</v>
      </c>
      <c r="G18">
        <f ca="1"/>
        <v>310623.68800532265</v>
      </c>
      <c r="H18">
        <f ca="1"/>
        <v>4.405508547080661E-3</v>
      </c>
      <c r="I18">
        <f ca="1"/>
        <v>3.6503906072802763E-3</v>
      </c>
      <c r="J18">
        <f ca="1"/>
        <v>1.5522201988782983E-4</v>
      </c>
      <c r="K18">
        <f ca="1"/>
        <v>0</v>
      </c>
      <c r="L18">
        <f ca="1"/>
        <v>0.1079048725967504</v>
      </c>
      <c r="M18">
        <f ca="1"/>
        <v>5.5246107045908017</v>
      </c>
      <c r="N18">
        <f ca="1"/>
        <v>8.0021174312795479E-4</v>
      </c>
      <c r="O18">
        <f ca="1"/>
        <v>0</v>
      </c>
      <c r="P18">
        <f ca="1"/>
        <v>5.6333157889306795</v>
      </c>
      <c r="Q18">
        <f ca="1"/>
        <v>1139.8044048970694</v>
      </c>
    </row>
    <row r="19" spans="1:17">
      <c r="A19" s="2">
        <f ca="1"/>
        <v>18</v>
      </c>
      <c r="B19" s="2">
        <f ca="1"/>
        <v>-0.88474576271186445</v>
      </c>
      <c r="C19" s="7">
        <f ca="1"/>
        <v>4.2500000000000003E-3</v>
      </c>
      <c r="D19" s="4">
        <f ca="1"/>
        <v>5.2563577620403645E-3</v>
      </c>
      <c r="E19" s="4">
        <f ca="1"/>
        <v>3.5989834990907235</v>
      </c>
      <c r="F19" s="4">
        <f ca="1"/>
        <v>1590.0714232123194</v>
      </c>
      <c r="G19">
        <f ca="1"/>
        <v>302517.90560555569</v>
      </c>
      <c r="H19">
        <f ca="1"/>
        <v>5.2563577620403645E-3</v>
      </c>
      <c r="I19">
        <f ca="1"/>
        <v>3.6505226775724671E-3</v>
      </c>
      <c r="J19">
        <f ca="1"/>
        <v>1.7711928487650064E-4</v>
      </c>
      <c r="K19">
        <f ca="1"/>
        <v>0</v>
      </c>
      <c r="L19">
        <f ca="1"/>
        <v>0.10894178568080888</v>
      </c>
      <c r="M19">
        <f ca="1"/>
        <v>5.8045917893964996</v>
      </c>
      <c r="N19">
        <f ca="1"/>
        <v>1.1470849066152504E-3</v>
      </c>
      <c r="O19">
        <f ca="1"/>
        <v>0</v>
      </c>
      <c r="P19">
        <f ca="1"/>
        <v>5.9146806599839241</v>
      </c>
      <c r="Q19">
        <f ca="1"/>
        <v>1111.4393014441475</v>
      </c>
    </row>
    <row r="20" spans="1:17">
      <c r="A20" s="2">
        <f ca="1"/>
        <v>19</v>
      </c>
      <c r="B20" s="2">
        <f ca="1"/>
        <v>-0.87796610169491518</v>
      </c>
      <c r="C20" s="7">
        <f ca="1"/>
        <v>4.5000000000000005E-3</v>
      </c>
      <c r="D20" s="4">
        <f ca="1"/>
        <v>6.2065759268310483E-3</v>
      </c>
      <c r="E20" s="4">
        <f ca="1"/>
        <v>4.0058710876184795</v>
      </c>
      <c r="F20" s="4">
        <f ca="1"/>
        <v>1664.6941222513972</v>
      </c>
      <c r="G20">
        <f ca="1"/>
        <v>294473.99940731341</v>
      </c>
      <c r="H20">
        <f ca="1"/>
        <v>6.2065759268310483E-3</v>
      </c>
      <c r="I20">
        <f ca="1"/>
        <v>3.6507118130036623E-3</v>
      </c>
      <c r="J20">
        <f ca="1"/>
        <v>2.0155100101424501E-4</v>
      </c>
      <c r="K20">
        <f ca="1"/>
        <v>0</v>
      </c>
      <c r="L20">
        <f ca="1"/>
        <v>0.11009979773565712</v>
      </c>
      <c r="M20">
        <f ca="1"/>
        <v>6.0773184971409382</v>
      </c>
      <c r="N20">
        <f ca="1"/>
        <v>1.6171447761583765E-3</v>
      </c>
      <c r="O20">
        <f ca="1"/>
        <v>0</v>
      </c>
      <c r="P20">
        <f ca="1"/>
        <v>6.1890354396527538</v>
      </c>
      <c r="Q20">
        <f ca="1"/>
        <v>1083.5325645312528</v>
      </c>
    </row>
    <row r="21" spans="1:17">
      <c r="A21" s="2">
        <f ca="1"/>
        <v>20</v>
      </c>
      <c r="B21" s="2">
        <f ca="1"/>
        <v>-0.87118644067796613</v>
      </c>
      <c r="C21" s="7">
        <f ca="1"/>
        <v>4.7499999999999999E-3</v>
      </c>
      <c r="D21" s="4">
        <f ca="1"/>
        <v>7.2608270407101827E-3</v>
      </c>
      <c r="E21" s="4">
        <f ca="1"/>
        <v>4.4311636233810541</v>
      </c>
      <c r="F21" s="4">
        <f ca="1"/>
        <v>1737.3135792661028</v>
      </c>
      <c r="G21">
        <f ca="1"/>
        <v>286491.96941059636</v>
      </c>
      <c r="H21">
        <f ca="1"/>
        <v>7.2608270407101827E-3</v>
      </c>
      <c r="I21">
        <f ca="1"/>
        <v>3.6509341925597999E-3</v>
      </c>
      <c r="J21">
        <f ca="1"/>
        <v>2.286504399820921E-4</v>
      </c>
      <c r="K21">
        <f ca="1"/>
        <v>0</v>
      </c>
      <c r="L21">
        <f ca="1"/>
        <v>0.11138459268480244</v>
      </c>
      <c r="M21">
        <f ca="1"/>
        <v>6.3428175497410653</v>
      </c>
      <c r="N21">
        <f ca="1"/>
        <v>2.2447998236822101E-3</v>
      </c>
      <c r="O21">
        <f ca="1"/>
        <v>0</v>
      </c>
      <c r="P21">
        <f ca="1"/>
        <v>6.4564469422495501</v>
      </c>
      <c r="Q21">
        <f ca="1"/>
        <v>1056.0786414727295</v>
      </c>
    </row>
    <row r="22" spans="1:17">
      <c r="A22" s="2">
        <f ca="1"/>
        <v>21</v>
      </c>
      <c r="B22" s="2">
        <f ca="1"/>
        <v>-0.86440677966101698</v>
      </c>
      <c r="C22" s="7">
        <f ca="1"/>
        <v>5.0000000000000001E-3</v>
      </c>
      <c r="D22" s="4">
        <f ca="1"/>
        <v>8.4236499003091936E-3</v>
      </c>
      <c r="E22" s="4">
        <f ca="1"/>
        <v>4.874362229503685</v>
      </c>
      <c r="F22" s="4">
        <f ca="1"/>
        <v>1807.9452633068211</v>
      </c>
      <c r="G22">
        <f ca="1"/>
        <v>278571.81561540405</v>
      </c>
      <c r="H22">
        <f ca="1"/>
        <v>8.4236499003091936E-3</v>
      </c>
      <c r="I22">
        <f ca="1"/>
        <v>3.6512178022545406E-3</v>
      </c>
      <c r="J22">
        <f ca="1"/>
        <v>2.5851887743005359E-4</v>
      </c>
      <c r="K22">
        <f ca="1"/>
        <v>0</v>
      </c>
      <c r="L22">
        <f ca="1"/>
        <v>0.11280170186979195</v>
      </c>
      <c r="M22">
        <f ca="1"/>
        <v>6.6012019308876377</v>
      </c>
      <c r="N22">
        <f ca="1"/>
        <v>3.07112763168851E-3</v>
      </c>
      <c r="O22">
        <f ca="1"/>
        <v>0</v>
      </c>
      <c r="P22">
        <f ca="1"/>
        <v>6.7170747603891181</v>
      </c>
      <c r="Q22">
        <f ca="1"/>
        <v>1029.2251262300053</v>
      </c>
    </row>
    <row r="23" spans="1:17">
      <c r="A23" s="2">
        <f ca="1"/>
        <v>22</v>
      </c>
      <c r="B23" s="2">
        <f ca="1"/>
        <v>-0.85762711864406782</v>
      </c>
      <c r="C23" s="7">
        <f ca="1"/>
        <v>5.2500000000000003E-3</v>
      </c>
      <c r="D23" s="4">
        <f ca="1"/>
        <v>9.6994590664485347E-3</v>
      </c>
      <c r="E23" s="4">
        <f ca="1"/>
        <v>5.3349718963741637</v>
      </c>
      <c r="F23" s="4">
        <f ca="1"/>
        <v>1876.6046434239322</v>
      </c>
      <c r="G23">
        <f ca="1"/>
        <v>270713.53802173678</v>
      </c>
      <c r="H23">
        <f ca="1"/>
        <v>9.6994590664485347E-3</v>
      </c>
      <c r="I23">
        <f ca="1"/>
        <v>3.6515725590176673E-3</v>
      </c>
      <c r="J23">
        <f ca="1"/>
        <v>2.9126491370215138E-4</v>
      </c>
      <c r="K23">
        <f ca="1"/>
        <v>0</v>
      </c>
      <c r="L23">
        <f ca="1"/>
        <v>0.11435650522845084</v>
      </c>
      <c r="M23">
        <f ca="1"/>
        <v>6.8525580200519656</v>
      </c>
      <c r="N23">
        <f ca="1"/>
        <v>4.1449800841363094E-3</v>
      </c>
      <c r="O23">
        <f ca="1"/>
        <v>0</v>
      </c>
      <c r="P23">
        <f ca="1"/>
        <v>6.9710595053645532</v>
      </c>
      <c r="Q23">
        <f ca="1"/>
        <v>1002.9321092375349</v>
      </c>
    </row>
    <row r="24" spans="1:17">
      <c r="A24" s="2">
        <f ca="1"/>
        <v>23</v>
      </c>
      <c r="B24" s="2">
        <f ca="1"/>
        <v>-0.85084745762711866</v>
      </c>
      <c r="C24" s="7">
        <f ca="1"/>
        <v>5.4999999999999997E-3</v>
      </c>
      <c r="D24" s="4">
        <f ca="1"/>
        <v>1.109254583095387E-2</v>
      </c>
      <c r="E24" s="4">
        <f ca="1"/>
        <v>5.8125014816428742</v>
      </c>
      <c r="F24" s="4">
        <f ca="1"/>
        <v>1943.3071886678179</v>
      </c>
      <c r="G24">
        <f ca="1"/>
        <v>262917.13662959443</v>
      </c>
      <c r="H24">
        <f ca="1"/>
        <v>1.109254583095387E-2</v>
      </c>
      <c r="I24">
        <f ca="1"/>
        <v>3.6520025311501895E-3</v>
      </c>
      <c r="J24">
        <f ca="1"/>
        <v>3.2699614354612195E-4</v>
      </c>
      <c r="K24">
        <f ca="1"/>
        <v>0</v>
      </c>
      <c r="L24">
        <f ca="1"/>
        <v>0.11605423247312213</v>
      </c>
      <c r="M24">
        <f ca="1"/>
        <v>7.0969627718172292</v>
      </c>
      <c r="N24">
        <f ca="1"/>
        <v>5.5238107175338176E-3</v>
      </c>
      <c r="O24">
        <f ca="1"/>
        <v>0</v>
      </c>
      <c r="P24">
        <f ca="1"/>
        <v>7.2185408150078851</v>
      </c>
      <c r="Q24">
        <f ca="1"/>
        <v>977.26956500700351</v>
      </c>
    </row>
    <row r="25" spans="1:17">
      <c r="A25" s="2">
        <f ca="1"/>
        <v>24</v>
      </c>
      <c r="B25" s="2">
        <f ca="1"/>
        <v>-0.84406779661016951</v>
      </c>
      <c r="C25" s="7">
        <f ca="1"/>
        <v>5.7499999999999999E-3</v>
      </c>
      <c r="D25" s="4">
        <f ca="1"/>
        <v>1.260707918347026E-2</v>
      </c>
      <c r="E25" s="4">
        <f ca="1"/>
        <v>6.3064637102228343</v>
      </c>
      <c r="F25" s="4">
        <f ca="1"/>
        <v>2008.0683680888574</v>
      </c>
      <c r="G25">
        <f ca="1"/>
        <v>255182.61143897707</v>
      </c>
      <c r="H25">
        <f ca="1"/>
        <v>1.260707918347026E-2</v>
      </c>
      <c r="I25">
        <f ca="1"/>
        <v>3.6525250127161569E-3</v>
      </c>
      <c r="J25">
        <f ca="1"/>
        <v>3.6580892047405827E-4</v>
      </c>
      <c r="K25">
        <f ca="1"/>
        <v>0</v>
      </c>
      <c r="L25">
        <f ca="1"/>
        <v>0.11789996426890403</v>
      </c>
      <c r="M25">
        <f ca="1"/>
        <v>7.3345199416886659</v>
      </c>
      <c r="N25">
        <f ca="1"/>
        <v>7.2743819104845939E-3</v>
      </c>
      <c r="O25">
        <f ca="1"/>
        <v>0</v>
      </c>
      <c r="P25">
        <f ca="1"/>
        <v>7.4596942878680546</v>
      </c>
      <c r="Q25">
        <f ca="1"/>
        <v>952.33933769680152</v>
      </c>
    </row>
    <row r="26" spans="1:17">
      <c r="A26" s="2">
        <f ca="1"/>
        <v>25</v>
      </c>
      <c r="B26" s="2">
        <f ca="1"/>
        <v>-0.83728813559322035</v>
      </c>
      <c r="C26" s="7">
        <f ca="1"/>
        <v>6.0000000000000001E-3</v>
      </c>
      <c r="D26" s="4">
        <f ca="1"/>
        <v>1.4247106778279894E-2</v>
      </c>
      <c r="E26" s="4">
        <f ca="1"/>
        <v>6.8163751742896075</v>
      </c>
      <c r="F26" s="4">
        <f ca="1"/>
        <v>2070.9036507374331</v>
      </c>
      <c r="G26">
        <f ca="1"/>
        <v>247509.96244988457</v>
      </c>
      <c r="H26">
        <f ca="1"/>
        <v>1.4247106778279894E-2</v>
      </c>
      <c r="I26">
        <f ca="1"/>
        <v>3.6531579543550323E-3</v>
      </c>
      <c r="J26">
        <f ca="1"/>
        <v>4.0779596933719089E-4</v>
      </c>
      <c r="K26">
        <f ca="1"/>
        <v>0</v>
      </c>
      <c r="L26">
        <f ca="1"/>
        <v>0.1198986334118915</v>
      </c>
      <c r="M26">
        <f ca="1"/>
        <v>7.5653381443943291</v>
      </c>
      <c r="N26">
        <f ca="1"/>
        <v>9.4737060500657225E-3</v>
      </c>
      <c r="O26">
        <f ca="1"/>
        <v>0</v>
      </c>
      <c r="P26">
        <f ca="1"/>
        <v>7.6947104838562863</v>
      </c>
      <c r="Q26">
        <f ca="1"/>
        <v>928.20287516406904</v>
      </c>
    </row>
    <row r="27" spans="1:17">
      <c r="A27" s="2">
        <f ca="1"/>
        <v>26</v>
      </c>
      <c r="B27" s="2">
        <f ca="1"/>
        <v>-0.83050847457627119</v>
      </c>
      <c r="C27" s="7">
        <f ca="1"/>
        <v>6.2500000000000003E-3</v>
      </c>
      <c r="D27" s="4">
        <f ca="1"/>
        <v>1.6016555901116503E-2</v>
      </c>
      <c r="E27" s="4">
        <f ca="1"/>
        <v>7.3417563332813698</v>
      </c>
      <c r="F27" s="4">
        <f ca="1"/>
        <v>2131.828505663927</v>
      </c>
      <c r="G27">
        <f ca="1"/>
        <v>239899.18966231699</v>
      </c>
      <c r="H27">
        <f ca="1"/>
        <v>1.6016555901116503E-2</v>
      </c>
      <c r="I27">
        <f ca="1"/>
        <v>3.6539199410523587E-3</v>
      </c>
      <c r="J27">
        <f ca="1"/>
        <v>4.5305000804349689E-4</v>
      </c>
      <c r="K27">
        <f ca="1"/>
        <v>0</v>
      </c>
      <c r="L27">
        <f ca="1"/>
        <v>0.12205502600741382</v>
      </c>
      <c r="M27">
        <f ca="1"/>
        <v>7.7895306877492736</v>
      </c>
      <c r="N27">
        <f ca="1"/>
        <v>1.2210011693402511E-2</v>
      </c>
      <c r="O27">
        <f ca="1"/>
        <v>0</v>
      </c>
      <c r="P27">
        <f ca="1"/>
        <v>7.9237957254500895</v>
      </c>
      <c r="Q27">
        <f ca="1"/>
        <v>904.91752953410401</v>
      </c>
    </row>
    <row r="28" spans="1:17">
      <c r="A28" s="2">
        <f ca="1"/>
        <v>27</v>
      </c>
      <c r="B28" s="2">
        <f ca="1"/>
        <v>-0.82372881355932204</v>
      </c>
      <c r="C28" s="7">
        <f ca="1"/>
        <v>6.5000000000000006E-3</v>
      </c>
      <c r="D28" s="4">
        <f ca="1"/>
        <v>1.7919234435980425E-2</v>
      </c>
      <c r="E28" s="4">
        <f ca="1"/>
        <v>7.8821315138989361</v>
      </c>
      <c r="F28" s="4">
        <f ca="1"/>
        <v>2190.8584019187183</v>
      </c>
      <c r="G28">
        <f ca="1"/>
        <v>232350.29307627439</v>
      </c>
      <c r="H28">
        <f ca="1"/>
        <v>1.7919234435980425E-2</v>
      </c>
      <c r="I28">
        <f ca="1"/>
        <v>3.6548301674515123E-3</v>
      </c>
      <c r="J28">
        <f ca="1"/>
        <v>5.0165724441396939E-4</v>
      </c>
      <c r="K28">
        <f ca="1"/>
        <v>0</v>
      </c>
      <c r="L28">
        <f ca="1"/>
        <v>0.12437038873744023</v>
      </c>
      <c r="M28">
        <f ca="1"/>
        <v>8.0072153799471426</v>
      </c>
      <c r="N28">
        <f ca="1"/>
        <v>1.5583479938757073E-2</v>
      </c>
      <c r="O28">
        <f ca="1"/>
        <v>0</v>
      </c>
      <c r="P28">
        <f ca="1"/>
        <v>8.1471692486233387</v>
      </c>
      <c r="Q28">
        <f ca="1"/>
        <v>882.53335947991195</v>
      </c>
    </row>
    <row r="29" spans="1:17">
      <c r="A29" s="2">
        <f ca="1"/>
        <v>28</v>
      </c>
      <c r="B29" s="2">
        <f ca="1"/>
        <v>-0.81694915254237288</v>
      </c>
      <c r="C29" s="7">
        <f ca="1"/>
        <v>6.7499999999999999E-3</v>
      </c>
      <c r="D29" s="4">
        <f ca="1"/>
        <v>1.9958831831955903E-2</v>
      </c>
      <c r="E29" s="4">
        <f ca="1"/>
        <v>8.4370289101056368</v>
      </c>
      <c r="F29" s="4">
        <f ca="1"/>
        <v>2248.0088085521907</v>
      </c>
      <c r="G29">
        <f ca="1"/>
        <v>224863.27269175669</v>
      </c>
      <c r="H29">
        <f ca="1"/>
        <v>1.9958831831955903E-2</v>
      </c>
      <c r="I29">
        <f ca="1"/>
        <v>3.6559083942870252E-3</v>
      </c>
      <c r="J29">
        <f ca="1"/>
        <v>5.5369556780962125E-4</v>
      </c>
      <c r="K29">
        <f ca="1"/>
        <v>0</v>
      </c>
      <c r="L29">
        <f ca="1"/>
        <v>0.12684114929885967</v>
      </c>
      <c r="M29">
        <f ca="1"/>
        <v>8.2185142736171279</v>
      </c>
      <c r="N29">
        <f ca="1"/>
        <v>1.9706982274057715E-2</v>
      </c>
      <c r="O29">
        <f ca="1"/>
        <v>0</v>
      </c>
      <c r="P29">
        <f ca="1"/>
        <v>8.3650624051900451</v>
      </c>
      <c r="Q29">
        <f ca="1"/>
        <v>861.14647511008332</v>
      </c>
    </row>
    <row r="30" spans="1:17">
      <c r="A30" s="2">
        <f ca="1"/>
        <v>29</v>
      </c>
      <c r="B30" s="2">
        <f ca="1"/>
        <v>-0.81016949152542372</v>
      </c>
      <c r="C30" s="7">
        <f ca="1"/>
        <v>7.0000000000000001E-3</v>
      </c>
      <c r="D30" s="4">
        <f ca="1"/>
        <v>2.2138920070025492E-2</v>
      </c>
      <c r="E30" s="4">
        <f ca="1"/>
        <v>9.0059805831274424</v>
      </c>
      <c r="F30" s="4">
        <f ca="1"/>
        <v>2303.2951946147241</v>
      </c>
      <c r="G30">
        <f ca="1"/>
        <v>217438.12850876403</v>
      </c>
      <c r="H30">
        <f ca="1"/>
        <v>2.2138920070025492E-2</v>
      </c>
      <c r="I30">
        <f ca="1"/>
        <v>3.6571749219962944E-3</v>
      </c>
      <c r="J30">
        <f ca="1"/>
        <v>6.0923849964534692E-4</v>
      </c>
      <c r="K30">
        <f ca="1"/>
        <v>0</v>
      </c>
      <c r="L30">
        <f ca="1"/>
        <v>0.12948209993434553</v>
      </c>
      <c r="M30">
        <f ca="1"/>
        <v>8.4235534236995431</v>
      </c>
      <c r="N30">
        <f ca="1"/>
        <v>2.4706962544491458E-2</v>
      </c>
      <c r="O30">
        <f ca="1"/>
        <v>0</v>
      </c>
      <c r="P30">
        <f ca="1"/>
        <v>8.57774248617838</v>
      </c>
      <c r="Q30">
        <f ca="1"/>
        <v>840.85011619261536</v>
      </c>
    </row>
    <row r="31" spans="1:17">
      <c r="A31" s="2">
        <f ca="1"/>
        <v>30</v>
      </c>
      <c r="B31" s="2">
        <f ca="1"/>
        <v>-0.80338983050847457</v>
      </c>
      <c r="C31" s="7">
        <f ca="1"/>
        <v>7.2500000000000004E-3</v>
      </c>
      <c r="D31" s="4">
        <f ca="1"/>
        <v>2.4462954629886013E-2</v>
      </c>
      <c r="E31" s="4">
        <f ca="1"/>
        <v>9.5885224614529516</v>
      </c>
      <c r="F31" s="4">
        <f ca="1"/>
        <v>2356.7330291566996</v>
      </c>
      <c r="G31">
        <f ca="1"/>
        <v>210074.8605272962</v>
      </c>
      <c r="H31">
        <f ca="1"/>
        <v>2.4462954629886013E-2</v>
      </c>
      <c r="I31">
        <f ca="1"/>
        <v>3.6586517991283193E-3</v>
      </c>
      <c r="J31">
        <f ca="1"/>
        <v>6.6836151187861102E-4</v>
      </c>
      <c r="K31">
        <f ca="1"/>
        <v>0</v>
      </c>
      <c r="L31">
        <f ca="1"/>
        <v>0.13229742659891647</v>
      </c>
      <c r="M31">
        <f ca="1"/>
        <v>8.6224655371892922</v>
      </c>
      <c r="N31">
        <f ca="1"/>
        <v>3.0724499498144583E-2</v>
      </c>
      <c r="O31">
        <f ca="1"/>
        <v>0</v>
      </c>
      <c r="P31">
        <f ca="1"/>
        <v>8.7854874632863531</v>
      </c>
      <c r="Q31">
        <f ca="1"/>
        <v>821.83902739143798</v>
      </c>
    </row>
    <row r="32" spans="1:17">
      <c r="A32" s="2">
        <f ca="1"/>
        <v>31</v>
      </c>
      <c r="B32" s="2">
        <f ca="1"/>
        <v>-0.79661016949152541</v>
      </c>
      <c r="C32" s="7">
        <f ca="1"/>
        <v>7.4999999999999997E-3</v>
      </c>
      <c r="D32" s="4">
        <f ca="1"/>
        <v>2.6934275456764079E-2</v>
      </c>
      <c r="E32" s="4">
        <f ca="1"/>
        <v>10.184194340833287</v>
      </c>
      <c r="F32" s="4">
        <f ca="1"/>
        <v>2408.3377812284989</v>
      </c>
      <c r="G32">
        <f ca="1"/>
        <v>202773.46874735336</v>
      </c>
      <c r="H32">
        <f ca="1"/>
        <v>2.6934275456764079E-2</v>
      </c>
      <c r="I32">
        <f ca="1"/>
        <v>3.6603900192520625E-3</v>
      </c>
      <c r="J32">
        <f ca="1"/>
        <v>7.3112314249382075E-4</v>
      </c>
      <c r="K32">
        <f ca="1"/>
        <v>0</v>
      </c>
      <c r="L32">
        <f ca="1"/>
        <v>0.13529117528957141</v>
      </c>
      <c r="M32">
        <f ca="1"/>
        <v>8.8154555773964542</v>
      </c>
      <c r="N32">
        <f ca="1"/>
        <v>3.7915247188072793E-2</v>
      </c>
      <c r="O32">
        <f ca="1"/>
        <v>0</v>
      </c>
      <c r="P32">
        <f ca="1"/>
        <v>8.9886619998740986</v>
      </c>
      <c r="Q32">
        <f ca="1"/>
        <v>804.07052277957973</v>
      </c>
    </row>
    <row r="33" spans="1:17">
      <c r="A33" s="2">
        <f ca="1"/>
        <v>32</v>
      </c>
      <c r="B33" s="2">
        <f ca="1"/>
        <v>-0.78983050847457625</v>
      </c>
      <c r="C33" s="7">
        <f ca="1"/>
        <v>7.7499999999999999E-3</v>
      </c>
      <c r="D33" s="4">
        <f ca="1"/>
        <v>2.9556107928232489E-2</v>
      </c>
      <c r="E33" s="4">
        <f ca="1"/>
        <v>10.792539884282217</v>
      </c>
      <c r="F33" s="4">
        <f ca="1"/>
        <v>2458.1249198805035</v>
      </c>
      <c r="G33">
        <f ca="1"/>
        <v>195533.95316893546</v>
      </c>
      <c r="H33">
        <f ca="1"/>
        <v>2.9556107928232489E-2</v>
      </c>
      <c r="I33">
        <f ca="1"/>
        <v>3.6623869549502622E-3</v>
      </c>
      <c r="J33">
        <f ca="1"/>
        <v>7.9758350070848469E-4</v>
      </c>
      <c r="K33">
        <f ca="1"/>
        <v>0</v>
      </c>
      <c r="L33">
        <f ca="1"/>
        <v>0.1384672532164874</v>
      </c>
      <c r="M33">
        <f ca="1"/>
        <v>9.0026046402085154</v>
      </c>
      <c r="N33">
        <f ca="1"/>
        <v>4.6450831251139621E-2</v>
      </c>
      <c r="O33">
        <f ca="1"/>
        <v>0</v>
      </c>
      <c r="P33">
        <f ca="1"/>
        <v>9.1875227246761426</v>
      </c>
      <c r="Q33">
        <f ca="1"/>
        <v>787.68400102035162</v>
      </c>
    </row>
    <row r="34" spans="1:17">
      <c r="A34" s="2">
        <f ca="1"/>
        <v>33</v>
      </c>
      <c r="B34" s="2">
        <f ca="1"/>
        <v>-0.7830508474576271</v>
      </c>
      <c r="C34" s="7">
        <f ca="1"/>
        <v>8.0000000000000002E-3</v>
      </c>
      <c r="D34" s="4">
        <f ca="1"/>
        <v>3.2331563821024867E-2</v>
      </c>
      <c r="E34" s="4">
        <f ca="1"/>
        <v>11.41310662207608</v>
      </c>
      <c r="F34" s="4">
        <f ca="1"/>
        <v>2506.1099141630943</v>
      </c>
      <c r="G34">
        <f ca="1"/>
        <v>188356.31379204249</v>
      </c>
      <c r="H34">
        <f ca="1"/>
        <v>3.2331563821024867E-2</v>
      </c>
      <c r="I34">
        <f ca="1"/>
        <v>3.6647054080637714E-3</v>
      </c>
      <c r="J34">
        <f ca="1"/>
        <v>8.6780972637242302E-4</v>
      </c>
      <c r="K34">
        <f ca="1"/>
        <v>0</v>
      </c>
      <c r="L34">
        <f ca="1"/>
        <v>0.14182942997421505</v>
      </c>
      <c r="M34">
        <f ca="1"/>
        <v>9.1841545556357254</v>
      </c>
      <c r="N34">
        <f ca="1"/>
        <v>5.6520014774334056E-2</v>
      </c>
      <c r="O34">
        <f ca="1"/>
        <v>0</v>
      </c>
      <c r="P34">
        <f ca="1"/>
        <v>9.3825040003842748</v>
      </c>
      <c r="Q34">
        <f ca="1"/>
        <v>772.80350784516759</v>
      </c>
    </row>
    <row r="35" spans="1:17">
      <c r="A35" s="2">
        <f ca="1"/>
        <v>34</v>
      </c>
      <c r="B35" s="2">
        <f ca="1"/>
        <v>-0.77627118644067794</v>
      </c>
      <c r="C35" s="7">
        <f ca="1"/>
        <v>8.2500000000000004E-3</v>
      </c>
      <c r="D35" s="4">
        <f ca="1"/>
        <v>3.5263642277851837E-2</v>
      </c>
      <c r="E35" s="4">
        <f ca="1"/>
        <v>12.045445951753836</v>
      </c>
      <c r="F35" s="4">
        <f ca="1"/>
        <v>2552.3082331266528</v>
      </c>
      <c r="G35">
        <f ca="1"/>
        <v>181240.55061667442</v>
      </c>
      <c r="H35">
        <f ca="1"/>
        <v>3.5263642277851837E-2</v>
      </c>
      <c r="I35">
        <f ca="1"/>
        <v>3.6673551049307695E-3</v>
      </c>
      <c r="J35">
        <f ca="1"/>
        <v>9.4182205815462557E-4</v>
      </c>
      <c r="K35">
        <f ca="1"/>
        <v>0</v>
      </c>
      <c r="L35">
        <f ca="1"/>
        <v>0.14537806571113349</v>
      </c>
      <c r="M35">
        <f ca="1"/>
        <v>9.3602206281138631</v>
      </c>
      <c r="N35">
        <f ca="1"/>
        <v>6.8325784773729456E-2</v>
      </c>
      <c r="O35">
        <f ca="1"/>
        <v>0</v>
      </c>
      <c r="P35">
        <f ca="1"/>
        <v>9.5739244785987268</v>
      </c>
      <c r="Q35">
        <f ca="1"/>
        <v>759.38788509367259</v>
      </c>
    </row>
    <row r="36" spans="1:17">
      <c r="A36" s="2">
        <f ca="1"/>
        <v>35</v>
      </c>
      <c r="B36" s="2">
        <f ca="1"/>
        <v>-0.76949152542372878</v>
      </c>
      <c r="C36" s="7">
        <f ca="1"/>
        <v>8.5000000000000006E-3</v>
      </c>
      <c r="D36" s="4">
        <f ca="1"/>
        <v>3.8355230774216542E-2</v>
      </c>
      <c r="E36" s="4">
        <f ca="1"/>
        <v>12.689113138117028</v>
      </c>
      <c r="F36" s="4">
        <f ca="1"/>
        <v>2596.7353458215584</v>
      </c>
      <c r="G36">
        <f ca="1"/>
        <v>174186.66364283138</v>
      </c>
      <c r="H36">
        <f ca="1"/>
        <v>3.8355230774216542E-2</v>
      </c>
      <c r="I36">
        <f ca="1"/>
        <v>3.6703820230596239E-3</v>
      </c>
      <c r="J36">
        <f ca="1"/>
        <v>1.019694609643634E-3</v>
      </c>
      <c r="K36">
        <f ca="1"/>
        <v>0</v>
      </c>
      <c r="L36">
        <f ca="1"/>
        <v>0.14909486494501623</v>
      </c>
      <c r="M36">
        <f ca="1"/>
        <v>9.5310107319469637</v>
      </c>
      <c r="N36">
        <f ca="1"/>
        <v>8.2092346039130681E-2</v>
      </c>
      <c r="O36">
        <f ca="1"/>
        <v>0</v>
      </c>
      <c r="P36">
        <f ca="1"/>
        <v>9.7621979429311114</v>
      </c>
      <c r="Q36">
        <f ca="1"/>
        <v>747.78455927266953</v>
      </c>
    </row>
    <row r="37" spans="1:17">
      <c r="A37" s="2">
        <f ca="1"/>
        <v>36</v>
      </c>
      <c r="B37" s="2">
        <f ca="1"/>
        <v>-0.76271186440677963</v>
      </c>
      <c r="C37" s="7">
        <f ca="1"/>
        <v>8.7500000000000008E-3</v>
      </c>
      <c r="D37" s="4">
        <f ca="1"/>
        <v>4.1609106085230385E-2</v>
      </c>
      <c r="E37" s="4">
        <f ca="1"/>
        <v>13.343667313229771</v>
      </c>
      <c r="F37" s="4">
        <f ca="1"/>
        <v>2639.4067212981945</v>
      </c>
      <c r="G37">
        <f ca="1"/>
        <v>167194.65287051318</v>
      </c>
      <c r="H37">
        <f ca="1"/>
        <v>4.1609106085230385E-2</v>
      </c>
      <c r="I37">
        <f ca="1"/>
        <v>3.6738372546476464E-3</v>
      </c>
      <c r="J37">
        <f ca="1"/>
        <v>1.1014584790436056E-3</v>
      </c>
      <c r="K37">
        <f ca="1"/>
        <v>0</v>
      </c>
      <c r="L37">
        <f ca="1"/>
        <v>0.15300677019286765</v>
      </c>
      <c r="M37">
        <f ca="1"/>
        <v>9.6967507428727036</v>
      </c>
      <c r="N37">
        <f ca="1"/>
        <v>9.805924516949116E-2</v>
      </c>
      <c r="O37">
        <f ca="1"/>
        <v>0</v>
      </c>
      <c r="P37">
        <f ca="1"/>
        <v>9.9478167582350618</v>
      </c>
      <c r="Q37">
        <f ca="1"/>
        <v>738.0156032234446</v>
      </c>
    </row>
    <row r="38" spans="1:17">
      <c r="A38" s="2">
        <f ca="1"/>
        <v>37</v>
      </c>
      <c r="B38" s="2">
        <f ca="1"/>
        <v>-0.75593220338983047</v>
      </c>
      <c r="C38" s="7">
        <f ca="1"/>
        <v>9.0000000000000011E-3</v>
      </c>
      <c r="D38" s="4">
        <f ca="1"/>
        <v>4.5027935252428763E-2</v>
      </c>
      <c r="E38" s="4">
        <f ca="1"/>
        <v>14.008671476418792</v>
      </c>
      <c r="F38" s="4">
        <f ca="1"/>
        <v>2680.3378286069424</v>
      </c>
      <c r="G38">
        <f ca="1"/>
        <v>160264.51829971996</v>
      </c>
      <c r="H38">
        <f ca="1"/>
        <v>4.5027935252428763E-2</v>
      </c>
      <c r="I38">
        <f ca="1"/>
        <v>3.6777504223247915E-3</v>
      </c>
      <c r="J38">
        <f ca="1"/>
        <v>1.1870512460535406E-3</v>
      </c>
      <c r="K38">
        <f ca="1"/>
        <v>0</v>
      </c>
      <c r="L38">
        <f ca="1"/>
        <v>0.15711698785099412</v>
      </c>
      <c r="M38">
        <f ca="1"/>
        <v>9.8576135811322967</v>
      </c>
      <c r="N38">
        <f ca="1"/>
        <v>0.11647517555954409</v>
      </c>
      <c r="O38">
        <f ca="1"/>
        <v>0</v>
      </c>
      <c r="P38">
        <f ca="1"/>
        <v>10.131205744542834</v>
      </c>
      <c r="Q38">
        <f ca="1"/>
        <v>730.12020400521226</v>
      </c>
    </row>
    <row r="39" spans="1:17">
      <c r="A39" s="2">
        <f ca="1"/>
        <v>38</v>
      </c>
      <c r="B39" s="2">
        <f ca="1"/>
        <v>-0.74915254237288131</v>
      </c>
      <c r="C39" s="7">
        <f ca="1"/>
        <v>9.2499999999999995E-3</v>
      </c>
      <c r="D39" s="4">
        <f ca="1"/>
        <v>4.8614276550586366E-2</v>
      </c>
      <c r="E39" s="4">
        <f ca="1"/>
        <v>14.683692494273441</v>
      </c>
      <c r="F39" s="4">
        <f ca="1"/>
        <v>2719.5441367981821</v>
      </c>
      <c r="G39">
        <f ca="1"/>
        <v>153396.25993045172</v>
      </c>
      <c r="H39">
        <f ca="1"/>
        <v>4.8614276550586366E-2</v>
      </c>
      <c r="I39">
        <f ca="1"/>
        <v>3.6821669899055835E-3</v>
      </c>
      <c r="J39">
        <f ca="1"/>
        <v>1.2766763301889307E-3</v>
      </c>
      <c r="K39">
        <f ca="1"/>
        <v>0</v>
      </c>
      <c r="L39">
        <f ca="1"/>
        <v>0.16142859355308165</v>
      </c>
      <c r="M39">
        <f ca="1"/>
        <v>10.01381564810954</v>
      </c>
      <c r="N39">
        <f ca="1"/>
        <v>0.13763261857504577</v>
      </c>
      <c r="O39">
        <f ca="1"/>
        <v>0</v>
      </c>
      <c r="P39">
        <f ca="1"/>
        <v>10.312876860237667</v>
      </c>
      <c r="Q39">
        <f ca="1"/>
        <v>724.26169376675466</v>
      </c>
    </row>
    <row r="40" spans="1:17">
      <c r="A40" s="2">
        <f ca="1"/>
        <v>39</v>
      </c>
      <c r="B40" s="2">
        <f ca="1"/>
        <v>-0.74237288135593227</v>
      </c>
      <c r="C40" s="7">
        <f ca="1"/>
        <v>9.4999999999999998E-3</v>
      </c>
      <c r="D40" s="4">
        <f ca="1"/>
        <v>5.2370580454532689E-2</v>
      </c>
      <c r="E40" s="4">
        <f ca="1"/>
        <v>15.368301100645626</v>
      </c>
      <c r="F40" s="4">
        <f ca="1"/>
        <v>2757.0411149222941</v>
      </c>
      <c r="G40">
        <f ca="1"/>
        <v>146589.87776270849</v>
      </c>
      <c r="H40">
        <f ca="1"/>
        <v>5.2370580454532689E-2</v>
      </c>
      <c r="I40">
        <f ca="1"/>
        <v>3.6871340940494205E-3</v>
      </c>
      <c r="J40">
        <f ca="1"/>
        <v>1.3702148955745653E-3</v>
      </c>
      <c r="K40">
        <f ca="1"/>
        <v>0</v>
      </c>
      <c r="L40">
        <f ca="1"/>
        <v>0.16594441545580091</v>
      </c>
      <c r="M40">
        <f ca="1"/>
        <v>10.165580293526018</v>
      </c>
      <c r="N40">
        <f ca="1"/>
        <v>0.16181188244439085</v>
      </c>
      <c r="O40">
        <f ca="1"/>
        <v>0</v>
      </c>
      <c r="P40">
        <f ca="1"/>
        <v>10.49333659142621</v>
      </c>
      <c r="Q40">
        <f ca="1"/>
        <v>720.48552610670606</v>
      </c>
    </row>
    <row r="41" spans="1:17">
      <c r="A41" s="2">
        <f ca="1"/>
        <v>40</v>
      </c>
      <c r="B41" s="2">
        <f ca="1"/>
        <v>-0.735593220338983</v>
      </c>
      <c r="C41" s="7">
        <f ca="1"/>
        <v>9.75E-3</v>
      </c>
      <c r="D41" s="4">
        <f ca="1"/>
        <v>5.6299190605969329E-2</v>
      </c>
      <c r="E41" s="4">
        <f ca="1"/>
        <v>16.062071896649869</v>
      </c>
      <c r="F41" s="4">
        <f ca="1"/>
        <v>2792.8442320296635</v>
      </c>
      <c r="G41">
        <f ca="1"/>
        <v>139845.37179648998</v>
      </c>
      <c r="H41">
        <f ca="1"/>
        <v>5.6299190605969329E-2</v>
      </c>
      <c r="I41">
        <f ca="1"/>
        <v>3.6927154480659585E-3</v>
      </c>
      <c r="J41">
        <f ca="1"/>
        <v>1.4676245737897263E-3</v>
      </c>
      <c r="K41">
        <f ca="1"/>
        <v>0</v>
      </c>
      <c r="L41">
        <f ca="1"/>
        <v>0.17062423901395257</v>
      </c>
      <c r="M41">
        <f ca="1"/>
        <v>10.313179039657847</v>
      </c>
      <c r="N41">
        <f ca="1"/>
        <v>0.18931634461922228</v>
      </c>
      <c r="O41">
        <f ca="1"/>
        <v>0</v>
      </c>
      <c r="P41">
        <f ca="1"/>
        <v>10.67311962329102</v>
      </c>
      <c r="Q41">
        <f ca="1"/>
        <v>718.96258966208688</v>
      </c>
    </row>
    <row r="42" spans="1:17">
      <c r="A42" s="2">
        <f ca="1"/>
        <v>41</v>
      </c>
      <c r="B42" s="2">
        <f ca="1"/>
        <v>-0.72881355932203395</v>
      </c>
      <c r="C42" s="7">
        <f ca="1"/>
        <v>0.01</v>
      </c>
      <c r="D42" s="4">
        <f ca="1"/>
        <v>6.0402344780282835E-2</v>
      </c>
      <c r="E42" s="4">
        <f ca="1"/>
        <v>16.764583350663251</v>
      </c>
      <c r="F42" s="4">
        <f ca="1"/>
        <v>2826.9689571706667</v>
      </c>
      <c r="G42">
        <f ca="1"/>
        <v>133162.74203179666</v>
      </c>
      <c r="H42">
        <f ca="1"/>
        <v>6.0402344780282835E-2</v>
      </c>
      <c r="I42">
        <f ca="1"/>
        <v>3.6989473833601181E-3</v>
      </c>
      <c r="J42">
        <f ca="1"/>
        <v>1.5690837397939717E-3</v>
      </c>
      <c r="K42">
        <f ca="1"/>
        <v>0</v>
      </c>
      <c r="L42">
        <f ca="1"/>
        <v>0.17551198221765502</v>
      </c>
      <c r="M42">
        <f ca="1"/>
        <v>10.45680942696672</v>
      </c>
      <c r="N42">
        <f ca="1"/>
        <v>0.220496477072879</v>
      </c>
      <c r="O42">
        <f ca="1"/>
        <v>0</v>
      </c>
      <c r="P42">
        <f ca="1"/>
        <v>10.852817886257254</v>
      </c>
      <c r="Q42">
        <f ca="1"/>
        <v>719.78060542605897</v>
      </c>
    </row>
    <row r="43" spans="1:17">
      <c r="A43" s="2">
        <f ca="1"/>
        <v>42</v>
      </c>
      <c r="B43" s="2">
        <f ca="1"/>
        <v>-0.72203389830508469</v>
      </c>
      <c r="C43" s="7">
        <f ca="1"/>
        <v>1.025E-2</v>
      </c>
      <c r="D43" s="4">
        <f ca="1"/>
        <v>6.4682175853362667E-2</v>
      </c>
      <c r="E43" s="4">
        <f ca="1"/>
        <v>17.475417798325527</v>
      </c>
      <c r="F43" s="4">
        <f ca="1"/>
        <v>2859.4307593956892</v>
      </c>
      <c r="G43">
        <f ca="1"/>
        <v>126541.98846862801</v>
      </c>
      <c r="H43">
        <f ca="1"/>
        <v>6.4682175853362667E-2</v>
      </c>
      <c r="I43">
        <f ca="1"/>
        <v>3.7058820735845583E-3</v>
      </c>
      <c r="J43">
        <f ca="1"/>
        <v>1.6744907041906774E-3</v>
      </c>
      <c r="K43">
        <f ca="1"/>
        <v>0</v>
      </c>
      <c r="L43">
        <f ca="1"/>
        <v>0.18061018578295004</v>
      </c>
      <c r="M43">
        <f ca="1"/>
        <v>10.596713191900765</v>
      </c>
      <c r="N43">
        <f ca="1"/>
        <v>0.25568654832033516</v>
      </c>
      <c r="O43">
        <f ca="1"/>
        <v>0</v>
      </c>
      <c r="P43">
        <f ca="1"/>
        <v>11.03300992600405</v>
      </c>
      <c r="Q43">
        <f ca="1"/>
        <v>723.07538502281625</v>
      </c>
    </row>
    <row r="44" spans="1:17">
      <c r="A44" s="2">
        <f ca="1"/>
        <v>43</v>
      </c>
      <c r="B44" s="2">
        <f ca="1"/>
        <v>-0.71525423728813564</v>
      </c>
      <c r="C44" s="7">
        <f ca="1"/>
        <v>1.0500000000000001E-2</v>
      </c>
      <c r="D44" s="4">
        <f ca="1"/>
        <v>6.9140712768415602E-2</v>
      </c>
      <c r="E44" s="4">
        <f ca="1"/>
        <v>18.194161442538963</v>
      </c>
      <c r="F44" s="4">
        <f ca="1"/>
        <v>2890.2451077551082</v>
      </c>
      <c r="G44">
        <f ca="1"/>
        <v>119983.11110698456</v>
      </c>
      <c r="H44">
        <f ca="1"/>
        <v>6.9140712768415602E-2</v>
      </c>
      <c r="I44">
        <f ca="1"/>
        <v>3.7135980163231917E-3</v>
      </c>
      <c r="J44">
        <f ca="1"/>
        <v>1.7836935230506885E-3</v>
      </c>
      <c r="K44">
        <f ca="1"/>
        <v>0</v>
      </c>
      <c r="L44">
        <f ca="1"/>
        <v>0.18592126661959746</v>
      </c>
      <c r="M44">
        <f ca="1"/>
        <v>10.73320849884718</v>
      </c>
      <c r="N44">
        <f ca="1"/>
        <v>0.29522581330188397</v>
      </c>
      <c r="O44">
        <f ca="1"/>
        <v>0</v>
      </c>
      <c r="P44">
        <f ca="1"/>
        <v>11.214355578768663</v>
      </c>
      <c r="Q44">
        <f ca="1"/>
        <v>728.88773931543517</v>
      </c>
    </row>
    <row r="45" spans="1:17">
      <c r="A45" s="2">
        <f ca="1"/>
        <v>44</v>
      </c>
      <c r="B45" s="2">
        <f ca="1"/>
        <v>-0.70847457627118637</v>
      </c>
      <c r="C45" s="7">
        <f ca="1"/>
        <v>1.0750000000000001E-2</v>
      </c>
      <c r="D45" s="4">
        <f ca="1"/>
        <v>7.3779881502782807E-2</v>
      </c>
      <c r="E45" s="4">
        <f ca="1"/>
        <v>18.920404353468484</v>
      </c>
      <c r="F45" s="4">
        <f ca="1"/>
        <v>2919.4274712993079</v>
      </c>
      <c r="G45">
        <f ca="1"/>
        <v>113486.10994686581</v>
      </c>
      <c r="H45">
        <f ca="1"/>
        <v>7.3779881502782807E-2</v>
      </c>
      <c r="I45">
        <f ca="1"/>
        <v>3.7221346319886014E-3</v>
      </c>
      <c r="J45">
        <f ca="1"/>
        <v>1.8970524926978721E-3</v>
      </c>
      <c r="K45">
        <f ca="1"/>
        <v>0</v>
      </c>
      <c r="L45">
        <f ca="1"/>
        <v>0.19139666014460857</v>
      </c>
      <c r="M45">
        <f ca="1"/>
        <v>10.866502096502062</v>
      </c>
      <c r="N45">
        <f ca="1"/>
        <v>0.33955503901509809</v>
      </c>
      <c r="O45">
        <f ca="1"/>
        <v>0</v>
      </c>
      <c r="P45">
        <f ca="1"/>
        <v>11.397453795661768</v>
      </c>
      <c r="Q45">
        <f ca="1"/>
        <v>737.11046126914164</v>
      </c>
    </row>
    <row r="46" spans="1:17">
      <c r="A46" s="2">
        <f ca="1"/>
        <v>45</v>
      </c>
      <c r="B46" s="2">
        <f ca="1"/>
        <v>-0.70169491525423733</v>
      </c>
      <c r="C46" s="7">
        <f ca="1"/>
        <v>1.0999999999999999E-2</v>
      </c>
      <c r="D46" s="4">
        <f ca="1"/>
        <v>7.8601506034752688E-2</v>
      </c>
      <c r="E46" s="4">
        <f ca="1"/>
        <v>19.653740468541539</v>
      </c>
      <c r="F46" s="4">
        <f ca="1"/>
        <v>2946.9933190786683</v>
      </c>
      <c r="G46">
        <f ca="1"/>
        <v>107050.98498827223</v>
      </c>
      <c r="H46">
        <f ca="1"/>
        <v>7.8601506034752688E-2</v>
      </c>
      <c r="I46">
        <f ca="1"/>
        <v>3.7315572484694672E-3</v>
      </c>
      <c r="J46">
        <f ca="1"/>
        <v>2.0139207322513379E-3</v>
      </c>
      <c r="K46">
        <f ca="1"/>
        <v>0</v>
      </c>
      <c r="L46">
        <f ca="1"/>
        <v>0.19707843675590606</v>
      </c>
      <c r="M46">
        <f ca="1"/>
        <v>10.996874280999098</v>
      </c>
      <c r="N46">
        <f ca="1"/>
        <v>0.38895809164822909</v>
      </c>
      <c r="O46">
        <f ca="1"/>
        <v>0</v>
      </c>
      <c r="P46">
        <f ca="1"/>
        <v>11.582910809403232</v>
      </c>
      <c r="Q46">
        <f ca="1"/>
        <v>748.29913571822556</v>
      </c>
    </row>
    <row r="47" spans="1:17">
      <c r="A47" s="2">
        <f ca="1"/>
        <v>46</v>
      </c>
      <c r="B47" s="2">
        <f ca="1"/>
        <v>-0.69491525423728806</v>
      </c>
      <c r="C47" s="7">
        <f ca="1"/>
        <v>1.125E-2</v>
      </c>
      <c r="D47" s="4">
        <f ca="1"/>
        <v>8.3607309310380629E-2</v>
      </c>
      <c r="E47" s="4">
        <f ca="1"/>
        <v>20.393767592448285</v>
      </c>
      <c r="F47" s="4">
        <f ca="1"/>
        <v>2972.9581201435717</v>
      </c>
      <c r="G47">
        <f ca="1"/>
        <v>100677.73623120334</v>
      </c>
      <c r="H47">
        <f ca="1"/>
        <v>8.3607309310380629E-2</v>
      </c>
      <c r="I47">
        <f ca="1"/>
        <v>3.7419437137207402E-3</v>
      </c>
      <c r="J47">
        <f ca="1"/>
        <v>2.1350229421816611E-3</v>
      </c>
      <c r="K47">
        <f ca="1"/>
        <v>0</v>
      </c>
      <c r="L47">
        <f ca="1"/>
        <v>0.20297724861560912</v>
      </c>
      <c r="M47">
        <f ca="1"/>
        <v>11.124641948826268</v>
      </c>
      <c r="N47">
        <f ca="1"/>
        <v>0.44398416607900359</v>
      </c>
      <c r="O47">
        <f ca="1"/>
        <v>0</v>
      </c>
      <c r="P47">
        <f ca="1"/>
        <v>11.77160336352088</v>
      </c>
      <c r="Q47">
        <f ca="1"/>
        <v>762.17718226078478</v>
      </c>
    </row>
    <row r="48" spans="1:17">
      <c r="A48" s="2">
        <f ca="1"/>
        <v>47</v>
      </c>
      <c r="B48" s="2">
        <f ca="1"/>
        <v>-0.68813559322033901</v>
      </c>
      <c r="C48" s="7">
        <f ca="1"/>
        <v>1.15E-2</v>
      </c>
      <c r="D48" s="4">
        <f ca="1"/>
        <v>8.8798914210300062E-2</v>
      </c>
      <c r="E48" s="4">
        <f ca="1"/>
        <v>21.140087397141325</v>
      </c>
      <c r="F48" s="4">
        <f ca="1"/>
        <v>2997.3373435443968</v>
      </c>
      <c r="G48">
        <f ca="1"/>
        <v>94366.363675659639</v>
      </c>
      <c r="H48">
        <f ca="1"/>
        <v>8.8798914210300062E-2</v>
      </c>
      <c r="I48">
        <f ca="1"/>
        <v>3.7533516937813269E-3</v>
      </c>
      <c r="J48">
        <f ca="1"/>
        <v>2.2593950711384779E-3</v>
      </c>
      <c r="K48">
        <f ca="1"/>
        <v>0</v>
      </c>
      <c r="L48">
        <f ca="1"/>
        <v>0.20907265412860013</v>
      </c>
      <c r="M48">
        <f ca="1"/>
        <v>11.250061195226385</v>
      </c>
      <c r="N48">
        <f ca="1"/>
        <v>0.50486555117863863</v>
      </c>
      <c r="O48">
        <f ca="1"/>
        <v>0</v>
      </c>
      <c r="P48">
        <f ca="1"/>
        <v>11.963999400533625</v>
      </c>
      <c r="Q48">
        <f ca="1"/>
        <v>778.65799425989405</v>
      </c>
    </row>
    <row r="49" spans="1:17">
      <c r="A49" s="2">
        <f ca="1"/>
        <v>48</v>
      </c>
      <c r="B49" s="2">
        <f ca="1"/>
        <v>-0.68135593220338975</v>
      </c>
      <c r="C49" s="7">
        <f ca="1"/>
        <v>1.175E-2</v>
      </c>
      <c r="D49" s="4">
        <f ca="1"/>
        <v>9.417784451654243E-2</v>
      </c>
      <c r="E49" s="4">
        <f ca="1"/>
        <v>21.892305421836017</v>
      </c>
      <c r="F49" s="4">
        <f ca="1"/>
        <v>3020.1464583315283</v>
      </c>
      <c r="G49">
        <f ca="1"/>
        <v>88116.867321640661</v>
      </c>
      <c r="H49">
        <f ca="1"/>
        <v>9.417784451654243E-2</v>
      </c>
      <c r="I49">
        <f ca="1"/>
        <v>3.7658479793152518E-3</v>
      </c>
      <c r="J49">
        <f ca="1"/>
        <v>2.3877296884708341E-3</v>
      </c>
      <c r="K49">
        <f ca="1"/>
        <v>0</v>
      </c>
      <c r="L49">
        <f ca="1"/>
        <v>0.21533269402120123</v>
      </c>
      <c r="M49">
        <f ca="1"/>
        <v>11.3734124373439</v>
      </c>
      <c r="N49">
        <f ca="1"/>
        <v>0.57218722928572618</v>
      </c>
      <c r="O49">
        <f ca="1"/>
        <v>0</v>
      </c>
      <c r="P49">
        <f ca="1"/>
        <v>12.160932360650827</v>
      </c>
      <c r="Q49">
        <f ca="1"/>
        <v>798.39791496004079</v>
      </c>
    </row>
    <row r="50" spans="1:17">
      <c r="A50" s="2">
        <f ca="1"/>
        <v>49</v>
      </c>
      <c r="B50" s="2">
        <f ca="1"/>
        <v>-0.6745762711864407</v>
      </c>
      <c r="C50" s="7">
        <f ca="1"/>
        <v>1.2E-2</v>
      </c>
      <c r="D50" s="4">
        <f ca="1"/>
        <v>9.9745525879349151E-2</v>
      </c>
      <c r="E50" s="4">
        <f ca="1"/>
        <v>22.650031073010155</v>
      </c>
      <c r="F50" s="4">
        <f ca="1"/>
        <v>3041.4009335553442</v>
      </c>
      <c r="G50">
        <f ca="1"/>
        <v>81929.247169146809</v>
      </c>
      <c r="H50">
        <f ca="1"/>
        <v>9.9745525879349151E-2</v>
      </c>
      <c r="I50">
        <f ca="1"/>
        <v>3.7795131734194272E-3</v>
      </c>
      <c r="J50">
        <f ca="1"/>
        <v>2.5198477130595771E-3</v>
      </c>
      <c r="K50">
        <f ca="1"/>
        <v>0</v>
      </c>
      <c r="L50">
        <f ca="1"/>
        <v>0.2218124038252143</v>
      </c>
      <c r="M50">
        <f ca="1"/>
        <v>11.495014894022567</v>
      </c>
      <c r="N50">
        <f ca="1"/>
        <v>0.64637106016586343</v>
      </c>
      <c r="O50">
        <f ca="1"/>
        <v>0</v>
      </c>
      <c r="P50">
        <f ca="1"/>
        <v>12.363198358013646</v>
      </c>
      <c r="Q50">
        <f ca="1"/>
        <v>820.87027502974695</v>
      </c>
    </row>
    <row r="51" spans="1:17">
      <c r="A51" s="2">
        <f ca="1"/>
        <v>50</v>
      </c>
      <c r="B51" s="2">
        <f ca="1"/>
        <v>-0.66779661016949143</v>
      </c>
      <c r="C51" s="7">
        <f ca="1"/>
        <v>1.225E-2</v>
      </c>
      <c r="D51" s="4">
        <f ca="1"/>
        <v>0.10550328678399024</v>
      </c>
      <c r="E51" s="4">
        <f ca="1"/>
        <v>23.412877624404263</v>
      </c>
      <c r="F51" s="4">
        <f ca="1"/>
        <v>3061.1162382662287</v>
      </c>
      <c r="G51">
        <f ca="1"/>
        <v>75803.503218177706</v>
      </c>
      <c r="H51">
        <f ca="1"/>
        <v>0.10550328678399024</v>
      </c>
      <c r="I51">
        <f ca="1"/>
        <v>3.7944167426007774E-3</v>
      </c>
      <c r="J51">
        <f ca="1"/>
        <v>2.6551097200068186E-3</v>
      </c>
      <c r="K51">
        <f ca="1"/>
        <v>0</v>
      </c>
      <c r="L51">
        <f ca="1"/>
        <v>0.22850055211106404</v>
      </c>
      <c r="M51">
        <f ca="1"/>
        <v>11.615150705524488</v>
      </c>
      <c r="N51">
        <f ca="1"/>
        <v>0.72771624053014772</v>
      </c>
      <c r="O51">
        <f ca="1"/>
        <v>0</v>
      </c>
      <c r="P51">
        <f ca="1"/>
        <v>12.571367498165701</v>
      </c>
      <c r="Q51">
        <f ca="1"/>
        <v>846.09536628532487</v>
      </c>
    </row>
    <row r="52" spans="1:17">
      <c r="A52" s="2">
        <f ca="1"/>
        <v>51</v>
      </c>
      <c r="B52" s="2">
        <f ca="1"/>
        <v>-0.66101694915254239</v>
      </c>
      <c r="C52" s="7">
        <f ca="1"/>
        <v>1.2500000000000001E-2</v>
      </c>
      <c r="D52" s="4">
        <f ca="1"/>
        <v>0.11145235951757715</v>
      </c>
      <c r="E52" s="4">
        <f ca="1"/>
        <v>24.180462217021393</v>
      </c>
      <c r="F52" s="4">
        <f ca="1"/>
        <v>3079.3078415145601</v>
      </c>
      <c r="G52">
        <f ca="1"/>
        <v>69739.63546873373</v>
      </c>
      <c r="H52">
        <f ca="1"/>
        <v>0.11145235951757715</v>
      </c>
      <c r="I52">
        <f ca="1"/>
        <v>3.8106218292937939E-3</v>
      </c>
      <c r="J52">
        <f ca="1"/>
        <v>2.7940775730303353E-3</v>
      </c>
      <c r="K52">
        <f ca="1"/>
        <v>0</v>
      </c>
      <c r="L52">
        <f ca="1"/>
        <v>0.23532711291223141</v>
      </c>
      <c r="M52">
        <f ca="1"/>
        <v>11.734077679990937</v>
      </c>
      <c r="N52">
        <f ca="1"/>
        <v>0.8168412482531392</v>
      </c>
      <c r="O52">
        <f ca="1"/>
        <v>0</v>
      </c>
      <c r="P52">
        <f ca="1"/>
        <v>12.786246041156309</v>
      </c>
      <c r="Q52">
        <f ca="1"/>
        <v>874.52953735023721</v>
      </c>
    </row>
    <row r="53" spans="1:17">
      <c r="A53" s="2">
        <f ca="1"/>
        <v>52</v>
      </c>
      <c r="B53" s="2">
        <f ca="1"/>
        <v>-0.65423728813559312</v>
      </c>
      <c r="C53" s="7">
        <f ca="1"/>
        <v>1.2750000000000001E-2</v>
      </c>
      <c r="D53" s="4">
        <f ca="1"/>
        <v>0.11759388113588232</v>
      </c>
      <c r="E53" s="4">
        <f ca="1"/>
        <v>24.952405859127211</v>
      </c>
      <c r="F53" s="4">
        <f ca="1"/>
        <v>3095.9912123507224</v>
      </c>
      <c r="G53">
        <f ca="1"/>
        <v>63737.643920814502</v>
      </c>
      <c r="H53">
        <f ca="1"/>
        <v>0.11759388113588232</v>
      </c>
      <c r="I53">
        <f ca="1"/>
        <v>3.8282232062495161E-3</v>
      </c>
      <c r="J53">
        <f ca="1"/>
        <v>2.9363290507021201E-3</v>
      </c>
      <c r="K53">
        <f ca="1"/>
        <v>0</v>
      </c>
      <c r="L53">
        <f ca="1"/>
        <v>0.24237450880341688</v>
      </c>
      <c r="M53">
        <f ca="1"/>
        <v>11.85214540546561</v>
      </c>
      <c r="N53">
        <f ca="1"/>
        <v>0.91411235257179257</v>
      </c>
      <c r="O53">
        <f ca="1"/>
        <v>0</v>
      </c>
      <c r="P53">
        <f ca="1"/>
        <v>13.00863226684082</v>
      </c>
      <c r="Q53">
        <f ca="1"/>
        <v>906.23005693626192</v>
      </c>
    </row>
    <row r="54" spans="1:17">
      <c r="A54" s="2">
        <f ca="1"/>
        <v>53</v>
      </c>
      <c r="B54" s="2">
        <f ca="1"/>
        <v>-0.64745762711864407</v>
      </c>
      <c r="C54" s="7">
        <f ca="1"/>
        <v>1.3000000000000001E-2</v>
      </c>
      <c r="D54" s="4">
        <f ca="1"/>
        <v>0.12392889443014998</v>
      </c>
      <c r="E54" s="4">
        <f ca="1"/>
        <v>25.728333426249932</v>
      </c>
      <c r="F54" s="4">
        <f ca="1"/>
        <v>3111.1818198250949</v>
      </c>
      <c r="G54">
        <f ca="1"/>
        <v>57797.528574420467</v>
      </c>
      <c r="H54">
        <f ca="1"/>
        <v>0.12392889443014998</v>
      </c>
      <c r="I54">
        <f ca="1"/>
        <v>3.8472792291478456E-3</v>
      </c>
      <c r="J54">
        <f ca="1"/>
        <v>3.0823111012936721E-3</v>
      </c>
      <c r="K54">
        <f ca="1"/>
        <v>0</v>
      </c>
      <c r="L54">
        <f ca="1"/>
        <v>0.24961236568800219</v>
      </c>
      <c r="M54">
        <f ca="1"/>
        <v>11.969585193515483</v>
      </c>
      <c r="N54">
        <f ca="1"/>
        <v>1.0201635104209552</v>
      </c>
      <c r="O54">
        <f ca="1"/>
        <v>0</v>
      </c>
      <c r="P54">
        <f ca="1"/>
        <v>13.23936106962444</v>
      </c>
      <c r="Q54">
        <f ca="1"/>
        <v>940.12719650658983</v>
      </c>
    </row>
    <row r="55" spans="1:17">
      <c r="A55" s="2">
        <f ca="1"/>
        <v>54</v>
      </c>
      <c r="B55" s="2">
        <f ca="1"/>
        <v>-0.64067796610169492</v>
      </c>
      <c r="C55" s="7">
        <f ca="1"/>
        <v>1.325E-2</v>
      </c>
      <c r="D55" s="4">
        <f ca="1"/>
        <v>0.13045834889391572</v>
      </c>
      <c r="E55" s="4">
        <f ca="1"/>
        <v>26.507873661180454</v>
      </c>
      <c r="F55" s="4">
        <f ca="1"/>
        <v>3124.8951329880597</v>
      </c>
      <c r="G55">
        <f ca="1"/>
        <v>51919.289429551231</v>
      </c>
      <c r="H55">
        <f ca="1"/>
        <v>0.13045834889391572</v>
      </c>
      <c r="I55">
        <f ca="1"/>
        <v>3.867894854221658E-3</v>
      </c>
      <c r="J55">
        <f ca="1"/>
        <v>3.2303835422042293E-3</v>
      </c>
      <c r="K55">
        <f ca="1"/>
        <v>0</v>
      </c>
      <c r="L55">
        <f ca="1"/>
        <v>0.25698751278216597</v>
      </c>
      <c r="M55">
        <f ca="1"/>
        <v>12.08676580486682</v>
      </c>
      <c r="N55">
        <f ca="1"/>
        <v>1.1349425474451287</v>
      </c>
      <c r="O55">
        <f ca="1"/>
        <v>0</v>
      </c>
      <c r="P55">
        <f ca="1"/>
        <v>13.478695865094114</v>
      </c>
      <c r="Q55">
        <f ca="1"/>
        <v>977.00960887827193</v>
      </c>
    </row>
    <row r="56" spans="1:17">
      <c r="A56" s="2">
        <f ca="1"/>
        <v>55</v>
      </c>
      <c r="B56" s="2">
        <f ca="1"/>
        <v>-0.63389830508474576</v>
      </c>
      <c r="C56" s="7">
        <f ca="1"/>
        <v>1.35E-2</v>
      </c>
      <c r="D56" s="4">
        <f ca="1"/>
        <v>0.13718310168981973</v>
      </c>
      <c r="E56" s="4">
        <f ca="1"/>
        <v>27.290659173972209</v>
      </c>
      <c r="F56" s="4">
        <f ca="1"/>
        <v>3137.1466208899974</v>
      </c>
      <c r="G56">
        <f ca="1"/>
        <v>46102.926486206896</v>
      </c>
      <c r="H56">
        <f ca="1"/>
        <v>0.13718310168981973</v>
      </c>
      <c r="I56">
        <f ca="1"/>
        <v>3.8901303830237758E-3</v>
      </c>
      <c r="J56">
        <f ca="1"/>
        <v>3.3818660619604583E-3</v>
      </c>
      <c r="K56">
        <f ca="1"/>
        <v>0</v>
      </c>
      <c r="L56">
        <f ca="1"/>
        <v>0.26458325317930137</v>
      </c>
      <c r="M56">
        <f ca="1"/>
        <v>12.203909385924549</v>
      </c>
      <c r="N56">
        <f ca="1"/>
        <v>1.2593732349597251</v>
      </c>
      <c r="O56">
        <f ca="1"/>
        <v>0</v>
      </c>
      <c r="P56">
        <f ca="1"/>
        <v>13.727865874063575</v>
      </c>
      <c r="Q56">
        <f ca="1"/>
        <v>1017.4492428579631</v>
      </c>
    </row>
    <row r="57" spans="1:17">
      <c r="A57" s="2">
        <f ca="1"/>
        <v>56</v>
      </c>
      <c r="B57" s="2">
        <f ca="1"/>
        <v>-0.6271186440677966</v>
      </c>
      <c r="C57" s="7">
        <f ca="1"/>
        <v>1.375E-2</v>
      </c>
      <c r="D57" s="4">
        <f ca="1"/>
        <v>0.14410391861642413</v>
      </c>
      <c r="E57" s="4">
        <f ca="1"/>
        <v>28.07632644194123</v>
      </c>
      <c r="F57" s="4">
        <f ca="1"/>
        <v>3147.9517525812903</v>
      </c>
      <c r="G57">
        <f ca="1"/>
        <v>40348.439744387535</v>
      </c>
      <c r="H57">
        <f ca="1"/>
        <v>0.14410391861642413</v>
      </c>
      <c r="I57">
        <f ca="1"/>
        <v>3.91407086126288E-3</v>
      </c>
      <c r="J57">
        <f ca="1"/>
        <v>3.5363104273729348E-3</v>
      </c>
      <c r="K57">
        <f ca="1"/>
        <v>0</v>
      </c>
      <c r="L57">
        <f ca="1"/>
        <v>0.27231267897513278</v>
      </c>
      <c r="M57">
        <f ca="1"/>
        <v>12.321306227439843</v>
      </c>
      <c r="N57">
        <f ca="1"/>
        <v>1.3938015801081194</v>
      </c>
      <c r="O57">
        <f ca="1"/>
        <v>0</v>
      </c>
      <c r="P57">
        <f ca="1"/>
        <v>13.987420486523096</v>
      </c>
      <c r="Q57">
        <f ca="1"/>
        <v>1060.0529598671098</v>
      </c>
    </row>
    <row r="58" spans="1:17">
      <c r="A58" s="2">
        <f ca="1"/>
        <v>57</v>
      </c>
      <c r="B58" s="2">
        <f ca="1"/>
        <v>-0.62033898305084745</v>
      </c>
      <c r="C58" s="7">
        <f ca="1"/>
        <v>1.4E-2</v>
      </c>
      <c r="D58" s="4">
        <f ca="1"/>
        <v>0.15122147507502737</v>
      </c>
      <c r="E58" s="4">
        <f ca="1"/>
        <v>28.864515809666166</v>
      </c>
      <c r="F58" s="4">
        <f ca="1"/>
        <v>3157.3259971123184</v>
      </c>
      <c r="G58">
        <f ca="1"/>
        <v>34655.829204093105</v>
      </c>
      <c r="H58">
        <f ca="1"/>
        <v>0.15122147507502737</v>
      </c>
      <c r="I58">
        <f ca="1"/>
        <v>3.9398007350059591E-3</v>
      </c>
      <c r="J58">
        <f ca="1"/>
        <v>3.6930337291055226E-3</v>
      </c>
      <c r="K58">
        <f ca="1"/>
        <v>0</v>
      </c>
      <c r="L58">
        <f ca="1"/>
        <v>0.28021257508649039</v>
      </c>
      <c r="M58">
        <f ca="1"/>
        <v>12.439235284076535</v>
      </c>
      <c r="N58">
        <f ca="1"/>
        <v>1.5384444948341045</v>
      </c>
      <c r="O58">
        <f ca="1"/>
        <v>0</v>
      </c>
      <c r="P58">
        <f ca="1"/>
        <v>14.25789235399713</v>
      </c>
      <c r="Q58">
        <f ca="1"/>
        <v>1105.5206399734086</v>
      </c>
    </row>
    <row r="59" spans="1:17">
      <c r="A59" s="2">
        <f ca="1"/>
        <v>58</v>
      </c>
      <c r="B59" s="2">
        <f ca="1"/>
        <v>-0.61355932203389829</v>
      </c>
      <c r="C59" s="7">
        <f ca="1"/>
        <v>1.4250000000000001E-2</v>
      </c>
      <c r="D59" s="4">
        <f ca="1"/>
        <v>0.15853635703648128</v>
      </c>
      <c r="E59" s="4">
        <f ca="1"/>
        <v>29.654871488988235</v>
      </c>
      <c r="F59" s="4">
        <f ca="1"/>
        <v>3165.2848235334641</v>
      </c>
      <c r="G59">
        <f ca="1"/>
        <v>29025.094865323623</v>
      </c>
      <c r="H59">
        <f ca="1"/>
        <v>0.15853635703648128</v>
      </c>
      <c r="I59">
        <f ca="1"/>
        <v>3.9673963712538252E-3</v>
      </c>
      <c r="J59">
        <f ca="1"/>
        <v>3.8524418365445305E-3</v>
      </c>
      <c r="K59">
        <f ca="1"/>
        <v>0</v>
      </c>
      <c r="L59">
        <f ca="1"/>
        <v>0.28830064335784972</v>
      </c>
      <c r="M59">
        <f ca="1"/>
        <v>12.55793952287147</v>
      </c>
      <c r="N59">
        <f ca="1"/>
        <v>1.69394064028048</v>
      </c>
      <c r="O59">
        <f ca="1"/>
        <v>0</v>
      </c>
      <c r="P59">
        <f ca="1"/>
        <v>14.540180806509801</v>
      </c>
      <c r="Q59">
        <f ca="1"/>
        <v>1154.0426855830281</v>
      </c>
    </row>
    <row r="60" spans="1:17">
      <c r="A60" s="2">
        <f ca="1"/>
        <v>59</v>
      </c>
      <c r="B60" s="2">
        <f ca="1"/>
        <v>-0.60677966101694913</v>
      </c>
      <c r="C60" s="7">
        <f ca="1"/>
        <v>1.4500000000000001E-2</v>
      </c>
      <c r="D60" s="4">
        <f ca="1"/>
        <v>0.1660490620080044</v>
      </c>
      <c r="E60" s="4">
        <f ca="1"/>
        <v>30.447041559011272</v>
      </c>
      <c r="F60" s="4">
        <f ca="1"/>
        <v>3171.8437008951073</v>
      </c>
      <c r="G60">
        <f ca="1"/>
        <v>23456.236728079111</v>
      </c>
      <c r="H60">
        <f ca="1"/>
        <v>0.1660490620080044</v>
      </c>
      <c r="I60">
        <f ca="1"/>
        <v>3.9969467209321251E-3</v>
      </c>
      <c r="J60">
        <f ca="1"/>
        <v>4.0144520365343285E-3</v>
      </c>
      <c r="K60">
        <f ca="1"/>
        <v>0</v>
      </c>
      <c r="L60">
        <f ca="1"/>
        <v>0.29648005743369715</v>
      </c>
      <c r="M60">
        <f ca="1"/>
        <v>12.677690279601915</v>
      </c>
      <c r="N60">
        <f ca="1"/>
        <v>1.8607433597530327</v>
      </c>
      <c r="O60">
        <f ca="1"/>
        <v>0</v>
      </c>
      <c r="P60">
        <f ca="1"/>
        <v>14.834913696788645</v>
      </c>
      <c r="Q60">
        <f ca="1"/>
        <v>1204.2498210740494</v>
      </c>
    </row>
    <row r="61" spans="1:17">
      <c r="A61" s="2">
        <f ca="1"/>
        <v>60</v>
      </c>
      <c r="B61" s="2">
        <f ca="1"/>
        <v>-0.6</v>
      </c>
      <c r="C61" s="7">
        <f ca="1"/>
        <v>1.4750000000000001E-2</v>
      </c>
      <c r="D61" s="4">
        <f ca="1"/>
        <v>0.17376000000000014</v>
      </c>
      <c r="E61" s="4">
        <f ca="1"/>
        <v>31.240677966101707</v>
      </c>
      <c r="F61" s="4">
        <f ca="1"/>
        <v>3177.0180982476304</v>
      </c>
      <c r="G61">
        <f ca="1"/>
        <v>17949.254792359501</v>
      </c>
      <c r="H61">
        <f ca="1"/>
        <v>0.17376000000000014</v>
      </c>
      <c r="I61">
        <f ca="1"/>
        <v>4.0285378818490734E-3</v>
      </c>
      <c r="J61">
        <f ca="1"/>
        <v>4.1777346756759611E-3</v>
      </c>
      <c r="K61">
        <f ca="1"/>
        <v>0</v>
      </c>
      <c r="L61">
        <f ca="1"/>
        <v>0.30487529656378237</v>
      </c>
      <c r="M61">
        <f ca="1"/>
        <v>12.798737760110681</v>
      </c>
      <c r="N61">
        <f ca="1"/>
        <v>2.0386926603723619</v>
      </c>
      <c r="O61">
        <f ca="1"/>
        <v>0</v>
      </c>
      <c r="P61">
        <f ca="1"/>
        <v>15.142305717046826</v>
      </c>
      <c r="Q61">
        <f ca="1"/>
        <v>1256.6325952017007</v>
      </c>
    </row>
    <row r="62" spans="1:17">
      <c r="A62" s="2">
        <f ca="1"/>
        <v>61</v>
      </c>
      <c r="B62" s="2">
        <f ca="1"/>
        <v>-0.59322033898305082</v>
      </c>
      <c r="C62" s="7">
        <f ca="1"/>
        <v>1.4999999999999999E-2</v>
      </c>
      <c r="D62" s="4">
        <f ca="1"/>
        <v>0.18166949449287073</v>
      </c>
      <c r="E62" s="4">
        <f ca="1"/>
        <v>32.035436523888535</v>
      </c>
      <c r="F62" s="4">
        <f ca="1"/>
        <v>3180.8234846414143</v>
      </c>
      <c r="G62">
        <f ca="1"/>
        <v>12504.149058164794</v>
      </c>
      <c r="H62">
        <f ca="1"/>
        <v>0.18166949449287073</v>
      </c>
      <c r="I62">
        <f ca="1"/>
        <v>4.0622325570632573E-3</v>
      </c>
      <c r="J62">
        <f ca="1"/>
        <v>4.3432278653791016E-3</v>
      </c>
      <c r="K62">
        <f ca="1"/>
        <v>0</v>
      </c>
      <c r="L62">
        <f ca="1"/>
        <v>0.31332479799931479</v>
      </c>
      <c r="M62">
        <f ca="1"/>
        <v>12.921244717581754</v>
      </c>
      <c r="N62">
        <f ca="1"/>
        <v>2.2286604788084259</v>
      </c>
      <c r="O62">
        <f ca="1"/>
        <v>0</v>
      </c>
      <c r="P62">
        <f ca="1"/>
        <v>15.463229994389494</v>
      </c>
      <c r="Q62">
        <f ca="1"/>
        <v>1311.8596045502213</v>
      </c>
    </row>
    <row r="63" spans="1:17">
      <c r="A63" s="2">
        <f ca="1"/>
        <v>62</v>
      </c>
      <c r="B63" s="2">
        <f ca="1"/>
        <v>-0.58644067796610166</v>
      </c>
      <c r="C63" s="7">
        <f ca="1"/>
        <v>1.525E-2</v>
      </c>
      <c r="D63" s="4">
        <f ca="1"/>
        <v>0.18977778340383433</v>
      </c>
      <c r="E63" s="4">
        <f ca="1"/>
        <v>32.830976913263378</v>
      </c>
      <c r="F63" s="4">
        <f ca="1"/>
        <v>3183.2753291268405</v>
      </c>
      <c r="G63">
        <f ca="1"/>
        <v>7120.919525495061</v>
      </c>
      <c r="H63">
        <f ca="1"/>
        <v>0.18977778340383433</v>
      </c>
      <c r="I63">
        <f ca="1"/>
        <v>4.0981317040065367E-3</v>
      </c>
      <c r="J63">
        <f ca="1"/>
        <v>4.5103368940735411E-3</v>
      </c>
      <c r="K63">
        <f ca="1"/>
        <v>0</v>
      </c>
      <c r="L63">
        <f ca="1"/>
        <v>0.32196868927125877</v>
      </c>
      <c r="M63">
        <f ca="1"/>
        <v>13.045481548876548</v>
      </c>
      <c r="N63">
        <f ca="1"/>
        <v>2.4307852811741286</v>
      </c>
      <c r="O63">
        <f ca="1"/>
        <v>0</v>
      </c>
      <c r="P63">
        <f ca="1"/>
        <v>15.798235519321935</v>
      </c>
      <c r="Q63">
        <f ca="1"/>
        <v>1368.777944350383</v>
      </c>
    </row>
    <row r="64" spans="1:17">
      <c r="A64" s="2">
        <f ca="1"/>
        <v>63</v>
      </c>
      <c r="B64" s="2">
        <f ca="1"/>
        <v>-0.57966101694915251</v>
      </c>
      <c r="C64" s="7">
        <f ca="1"/>
        <v>1.55E-2</v>
      </c>
      <c r="D64" s="4">
        <f ca="1"/>
        <v>0.19808502005373851</v>
      </c>
      <c r="E64" s="4">
        <f ca="1"/>
        <v>33.626962682380451</v>
      </c>
      <c r="F64" s="4">
        <f ca="1"/>
        <v>3184.3891007542888</v>
      </c>
      <c r="G64">
        <f ca="1"/>
        <v>1799.5661943502664</v>
      </c>
      <c r="H64">
        <f ca="1"/>
        <v>0.19808502005373851</v>
      </c>
      <c r="I64">
        <f ca="1"/>
        <v>4.1363037521100409E-3</v>
      </c>
      <c r="J64">
        <f ca="1"/>
        <v>4.6788203651118273E-3</v>
      </c>
      <c r="K64">
        <f ca="1"/>
        <v>0</v>
      </c>
      <c r="L64">
        <f ca="1"/>
        <v>0.3306774013257599</v>
      </c>
      <c r="M64">
        <f ca="1"/>
        <v>13.171600585628283</v>
      </c>
      <c r="N64">
        <f ca="1"/>
        <v>2.6453409796106411</v>
      </c>
      <c r="O64">
        <f ca="1"/>
        <v>0</v>
      </c>
      <c r="P64">
        <f ca="1"/>
        <v>16.147618966564686</v>
      </c>
      <c r="Q64">
        <f ca="1"/>
        <v>1427.1631806564487</v>
      </c>
    </row>
    <row r="65" spans="1:17">
      <c r="A65" s="2">
        <f ca="1"/>
        <v>64</v>
      </c>
      <c r="B65" s="2">
        <f ca="1"/>
        <v>-0.57288135593220335</v>
      </c>
      <c r="C65" s="7">
        <f ca="1"/>
        <v>1.575E-2</v>
      </c>
      <c r="D65" s="4">
        <f ca="1"/>
        <v>0.20659127413387868</v>
      </c>
      <c r="E65" s="4">
        <f ca="1"/>
        <v>34.423061246656559</v>
      </c>
      <c r="F65" s="4">
        <f ca="1"/>
        <v>3184.1802685741418</v>
      </c>
      <c r="G65">
        <f ca="1"/>
        <v>-3459.91093526959</v>
      </c>
      <c r="H65">
        <f ca="1"/>
        <v>0.20659127413387868</v>
      </c>
      <c r="I65">
        <f ca="1"/>
        <v>4.1768294927734297E-3</v>
      </c>
      <c r="J65">
        <f ca="1"/>
        <v>4.8483156741738701E-3</v>
      </c>
      <c r="K65">
        <f ca="1"/>
        <v>0</v>
      </c>
      <c r="L65">
        <f ca="1"/>
        <v>0.33954014404408273</v>
      </c>
      <c r="M65">
        <f ca="1"/>
        <v>13.299778056087696</v>
      </c>
      <c r="N65">
        <f ca="1"/>
        <v>2.8724989095183826</v>
      </c>
      <c r="O65">
        <f ca="1"/>
        <v>0</v>
      </c>
      <c r="P65">
        <f ca="1"/>
        <v>16.51181710965016</v>
      </c>
      <c r="Q65">
        <f ca="1"/>
        <v>1487.2884316961063</v>
      </c>
    </row>
    <row r="66" spans="1:17">
      <c r="A66" s="2">
        <f ca="1"/>
        <v>65</v>
      </c>
      <c r="B66" s="2">
        <f ca="1"/>
        <v>-0.56610169491525419</v>
      </c>
      <c r="C66" s="7">
        <f ca="1"/>
        <v>1.6E-2</v>
      </c>
      <c r="D66" s="4">
        <f ca="1"/>
        <v>0.21529653267281113</v>
      </c>
      <c r="E66" s="4">
        <f ca="1"/>
        <v>35.218943888771086</v>
      </c>
      <c r="F66" s="4">
        <f ca="1"/>
        <v>3182.6643016367807</v>
      </c>
      <c r="G66">
        <f ca="1"/>
        <v>-8657.5118633644379</v>
      </c>
      <c r="H66">
        <f ca="1"/>
        <v>0.21529653267281113</v>
      </c>
      <c r="I66">
        <f ca="1"/>
        <v>4.2197807053296482E-3</v>
      </c>
      <c r="J66">
        <f ca="1"/>
        <v>5.0189010010898418E-3</v>
      </c>
      <c r="K66">
        <f ca="1"/>
        <v>0</v>
      </c>
      <c r="L66">
        <f ca="1"/>
        <v>0.34846059397881513</v>
      </c>
      <c r="M66">
        <f ca="1"/>
        <v>13.430145411588347</v>
      </c>
      <c r="N66">
        <f ca="1"/>
        <v>3.1126571768455773</v>
      </c>
      <c r="O66">
        <f ca="1"/>
        <v>0</v>
      </c>
      <c r="P66">
        <f ca="1"/>
        <v>16.891263182412739</v>
      </c>
      <c r="Q66">
        <f ca="1"/>
        <v>1548.5889488913274</v>
      </c>
    </row>
    <row r="67" spans="1:17">
      <c r="A67" s="2">
        <f ca="1"/>
        <v>66</v>
      </c>
      <c r="B67" s="2">
        <f ca="1"/>
        <v>-0.55932203389830504</v>
      </c>
      <c r="C67" s="7">
        <f ca="1"/>
        <v>1.6250000000000001E-2</v>
      </c>
      <c r="D67" s="4">
        <f ca="1"/>
        <v>0.22420070100317013</v>
      </c>
      <c r="E67" s="4">
        <f ca="1"/>
        <v>36.014285758666034</v>
      </c>
      <c r="F67" s="4">
        <f ca="1"/>
        <v>3179.8566689925865</v>
      </c>
      <c r="G67">
        <f ca="1"/>
        <v>-13793.236589934417</v>
      </c>
      <c r="H67">
        <f ca="1"/>
        <v>0.22420070100317013</v>
      </c>
      <c r="I67">
        <f ca="1"/>
        <v>4.265234683677498E-3</v>
      </c>
      <c r="J67">
        <f ca="1"/>
        <v>5.1899637778384531E-3</v>
      </c>
      <c r="K67">
        <f ca="1"/>
        <v>0</v>
      </c>
      <c r="L67">
        <f ca="1"/>
        <v>0.35751044023413425</v>
      </c>
      <c r="M67">
        <f ca="1"/>
        <v>13.562834953710377</v>
      </c>
      <c r="N67">
        <f ca="1"/>
        <v>3.3657661901513123</v>
      </c>
      <c r="O67">
        <f ca="1"/>
        <v>0</v>
      </c>
      <c r="P67">
        <f ca="1"/>
        <v>17.286111584095824</v>
      </c>
      <c r="Q67">
        <f ca="1"/>
        <v>1610.5198094963582</v>
      </c>
    </row>
    <row r="68" spans="1:17">
      <c r="A68" s="2">
        <f ca="1"/>
        <v>67</v>
      </c>
      <c r="B68" s="2">
        <f ca="1"/>
        <v>-0.55254237288135588</v>
      </c>
      <c r="C68" s="7">
        <f ca="1"/>
        <v>1.6500000000000001E-2</v>
      </c>
      <c r="D68" s="4">
        <f ca="1"/>
        <v>0.23330360372848391</v>
      </c>
      <c r="E68" s="4">
        <f ca="1"/>
        <v>36.808765873546015</v>
      </c>
      <c r="F68" s="4">
        <f ca="1"/>
        <v>3175.7728396919406</v>
      </c>
      <c r="G68">
        <f ca="1"/>
        <v>-18867.085114979458</v>
      </c>
      <c r="H68">
        <f ca="1"/>
        <v>0.23330360372848391</v>
      </c>
      <c r="I68">
        <f ca="1"/>
        <v>4.3132605191073268E-3</v>
      </c>
      <c r="J68">
        <f ca="1"/>
        <v>5.3613361124207016E-3</v>
      </c>
      <c r="K68">
        <f ca="1"/>
        <v>0</v>
      </c>
      <c r="L68">
        <f ca="1"/>
        <v>0.3665898836041383</v>
      </c>
      <c r="M68">
        <f ca="1"/>
        <v>13.697935607096609</v>
      </c>
      <c r="N68">
        <f ca="1"/>
        <v>3.6319975964601734</v>
      </c>
      <c r="O68">
        <f ca="1"/>
        <v>0</v>
      </c>
      <c r="P68">
        <f ca="1"/>
        <v>17.696523087160919</v>
      </c>
      <c r="Q68">
        <f ca="1"/>
        <v>1673.1957290005453</v>
      </c>
    </row>
    <row r="69" spans="1:17">
      <c r="A69" s="2">
        <f ca="1"/>
        <v>68</v>
      </c>
      <c r="B69" s="2">
        <f ca="1"/>
        <v>-0.54576271186440672</v>
      </c>
      <c r="C69" s="7">
        <f ca="1"/>
        <v>1.6750000000000001E-2</v>
      </c>
      <c r="D69" s="4">
        <f ca="1"/>
        <v>0.24260498568998856</v>
      </c>
      <c r="E69" s="4">
        <f ca="1"/>
        <v>37.602067117878171</v>
      </c>
      <c r="F69" s="4">
        <f ca="1"/>
        <v>3170.4282827852244</v>
      </c>
      <c r="G69">
        <f ca="1"/>
        <v>-23879.057438499563</v>
      </c>
      <c r="H69">
        <f ca="1"/>
        <v>0.24260498568998856</v>
      </c>
      <c r="I69">
        <f ca="1"/>
        <v>4.3639225213326456E-3</v>
      </c>
      <c r="J69">
        <f ca="1"/>
        <v>5.532739223002763E-3</v>
      </c>
      <c r="K69">
        <f ca="1"/>
        <v>0</v>
      </c>
      <c r="L69">
        <f ca="1"/>
        <v>0.37579332471431287</v>
      </c>
      <c r="M69">
        <f ca="1"/>
        <v>13.835503385516427</v>
      </c>
      <c r="N69">
        <f ca="1"/>
        <v>3.9114127383653585</v>
      </c>
      <c r="O69">
        <f ca="1"/>
        <v>0</v>
      </c>
      <c r="P69">
        <f ca="1"/>
        <v>18.122709448596098</v>
      </c>
      <c r="Q69">
        <f ca="1"/>
        <v>1736.1836511817598</v>
      </c>
    </row>
    <row r="70" spans="1:17">
      <c r="A70" s="2">
        <f ca="1"/>
        <v>69</v>
      </c>
      <c r="B70" s="2">
        <f ca="1"/>
        <v>-0.53898305084745757</v>
      </c>
      <c r="C70" s="7">
        <f ca="1"/>
        <v>1.7000000000000001E-2</v>
      </c>
      <c r="D70" s="4">
        <f ca="1"/>
        <v>0.2521045129334456</v>
      </c>
      <c r="E70" s="4">
        <f ca="1"/>
        <v>38.393876243392327</v>
      </c>
      <c r="F70" s="4">
        <f ca="1"/>
        <v>3163.8384673228179</v>
      </c>
      <c r="G70">
        <f ca="1"/>
        <v>-28829.153560494728</v>
      </c>
      <c r="H70">
        <f ca="1"/>
        <v>0.2521045129334456</v>
      </c>
      <c r="I70">
        <f ca="1"/>
        <v>4.41730804400215E-3</v>
      </c>
      <c r="J70">
        <f ca="1"/>
        <v>5.7038475370234524E-3</v>
      </c>
      <c r="K70">
        <f ca="1"/>
        <v>0</v>
      </c>
      <c r="L70">
        <f ca="1"/>
        <v>0.38497425468165392</v>
      </c>
      <c r="M70">
        <f ca="1"/>
        <v>13.975649111628517</v>
      </c>
      <c r="N70">
        <f ca="1"/>
        <v>4.2039915464416291</v>
      </c>
      <c r="O70">
        <f ca="1"/>
        <v>0</v>
      </c>
      <c r="P70">
        <f ca="1"/>
        <v>18.5646149127518</v>
      </c>
      <c r="Q70">
        <f ca="1"/>
        <v>1799.0616345861154</v>
      </c>
    </row>
    <row r="71" spans="1:17">
      <c r="A71" s="2">
        <f ca="1"/>
        <v>70</v>
      </c>
      <c r="B71" s="2">
        <f ca="1"/>
        <v>-0.53220338983050841</v>
      </c>
      <c r="C71" s="7">
        <f ca="1"/>
        <v>1.7250000000000001E-2</v>
      </c>
      <c r="D71" s="4">
        <f ca="1"/>
        <v>0.26180177367595681</v>
      </c>
      <c r="E71" s="4">
        <f ca="1"/>
        <v>39.183883869080816</v>
      </c>
      <c r="F71" s="4">
        <f ca="1"/>
        <v>3156.0188623551039</v>
      </c>
      <c r="G71">
        <f ca="1"/>
        <v>-33717.373480964918</v>
      </c>
      <c r="H71">
        <f ca="1"/>
        <v>0.26180177367595681</v>
      </c>
      <c r="I71">
        <f ca="1"/>
        <v>4.4734434791929021E-3</v>
      </c>
      <c r="J71">
        <f ca="1"/>
        <v>5.8743524755186178E-3</v>
      </c>
      <c r="K71">
        <f ca="1"/>
        <v>0</v>
      </c>
      <c r="L71">
        <f ca="1"/>
        <v>0.39429614489020659</v>
      </c>
      <c r="M71">
        <f ca="1"/>
        <v>14.11827200001224</v>
      </c>
      <c r="N71">
        <f ca="1"/>
        <v>4.5096721209867097</v>
      </c>
      <c r="O71">
        <f ca="1"/>
        <v>0</v>
      </c>
      <c r="P71">
        <f ca="1"/>
        <v>19.022240265889156</v>
      </c>
      <c r="Q71">
        <f ca="1"/>
        <v>1861.3450364465134</v>
      </c>
    </row>
    <row r="72" spans="1:17">
      <c r="A72" s="2">
        <f ca="1"/>
        <v>71</v>
      </c>
      <c r="B72" s="2">
        <f ca="1"/>
        <v>-0.52542372881355925</v>
      </c>
      <c r="C72" s="7">
        <f ca="1"/>
        <v>1.7500000000000002E-2</v>
      </c>
      <c r="D72" s="4">
        <f ca="1"/>
        <v>0.27169627927277951</v>
      </c>
      <c r="E72" s="4">
        <f ca="1"/>
        <v>39.971784481198618</v>
      </c>
      <c r="F72" s="4">
        <f ca="1"/>
        <v>3146.9849369324625</v>
      </c>
      <c r="G72">
        <f ca="1"/>
        <v>-38543.71719991017</v>
      </c>
      <c r="H72">
        <f ca="1"/>
        <v>0.27169627927277951</v>
      </c>
      <c r="I72">
        <f ca="1"/>
        <v>4.5324158548847313E-3</v>
      </c>
      <c r="J72">
        <f ca="1"/>
        <v>6.043931267697083E-3</v>
      </c>
      <c r="K72">
        <f ca="1"/>
        <v>0</v>
      </c>
      <c r="L72">
        <f ca="1"/>
        <v>0.40351689400030494</v>
      </c>
      <c r="M72">
        <f ca="1"/>
        <v>14.26344442323612</v>
      </c>
      <c r="N72">
        <f ca="1"/>
        <v>4.8283261137386333</v>
      </c>
      <c r="O72">
        <f ca="1"/>
        <v>0</v>
      </c>
      <c r="P72">
        <f ca="1"/>
        <v>19.495287430975058</v>
      </c>
      <c r="Q72">
        <f ca="1"/>
        <v>1922.9003620282353</v>
      </c>
    </row>
    <row r="73" spans="1:17">
      <c r="A73" s="2">
        <f ca="1"/>
        <v>72</v>
      </c>
      <c r="B73" s="2">
        <f ca="1"/>
        <v>-0.5186440677966101</v>
      </c>
      <c r="C73" s="7">
        <f ca="1"/>
        <v>1.7750000000000002E-2</v>
      </c>
      <c r="D73" s="4">
        <f ca="1"/>
        <v>0.28178746518414277</v>
      </c>
      <c r="E73" s="4">
        <f ca="1"/>
        <v>40.757276433263335</v>
      </c>
      <c r="F73" s="4">
        <f ca="1"/>
        <v>3136.7521601052767</v>
      </c>
      <c r="G73">
        <f ca="1"/>
        <v>-43308.184717330521</v>
      </c>
      <c r="H73">
        <f ca="1"/>
        <v>0.28178746518414277</v>
      </c>
      <c r="I73">
        <f ca="1"/>
        <v>4.5942606035330475E-3</v>
      </c>
      <c r="J73">
        <f ca="1"/>
        <v>6.2122899724478967E-3</v>
      </c>
      <c r="K73">
        <f ca="1"/>
        <v>0</v>
      </c>
      <c r="L73">
        <f ca="1"/>
        <v>0.41284349151753486</v>
      </c>
      <c r="M73">
        <f ca="1"/>
        <v>14.411056872218859</v>
      </c>
      <c r="N73">
        <f ca="1"/>
        <v>5.1597900831668797</v>
      </c>
      <c r="O73">
        <f ca="1"/>
        <v>0</v>
      </c>
      <c r="P73">
        <f ca="1"/>
        <v>19.983690446903275</v>
      </c>
      <c r="Q73">
        <f ca="1"/>
        <v>1983.323518430984</v>
      </c>
    </row>
    <row r="74" spans="1:17">
      <c r="A74" s="2">
        <f ca="1"/>
        <v>73</v>
      </c>
      <c r="B74" s="2">
        <f ca="1"/>
        <v>-0.51186440677966094</v>
      </c>
      <c r="C74" s="7">
        <f ca="1"/>
        <v>1.8000000000000002E-2</v>
      </c>
      <c r="D74" s="4">
        <f ca="1"/>
        <v>0.2920746919420627</v>
      </c>
      <c r="E74" s="4">
        <f ca="1"/>
        <v>41.540061946055083</v>
      </c>
      <c r="F74" s="4">
        <f ca="1"/>
        <v>3125.336000923925</v>
      </c>
      <c r="G74">
        <f ca="1"/>
        <v>-48010.776033225899</v>
      </c>
      <c r="H74">
        <f ca="1"/>
        <v>0.2920746919420627</v>
      </c>
      <c r="I74">
        <f ca="1"/>
        <v>4.6590296874936552E-3</v>
      </c>
      <c r="J74">
        <f ca="1"/>
        <v>6.3790846169718045E-3</v>
      </c>
      <c r="K74">
        <f ca="1"/>
        <v>0</v>
      </c>
      <c r="L74">
        <f ca="1"/>
        <v>0.42211593904919509</v>
      </c>
      <c r="M74">
        <f ca="1"/>
        <v>14.561033211697264</v>
      </c>
      <c r="N74">
        <f ca="1"/>
        <v>5.5038000394440889</v>
      </c>
      <c r="O74">
        <f ca="1"/>
        <v>0</v>
      </c>
      <c r="P74">
        <f ca="1"/>
        <v>20.48694919019055</v>
      </c>
      <c r="Q74">
        <f ca="1"/>
        <v>2041.9465747979311</v>
      </c>
    </row>
    <row r="75" spans="1:17">
      <c r="A75" s="2">
        <f ca="1"/>
        <v>74</v>
      </c>
      <c r="B75" s="2">
        <f ca="1"/>
        <v>-0.5050847457627119</v>
      </c>
      <c r="C75" s="7">
        <f ca="1"/>
        <v>1.8249999999999999E-2</v>
      </c>
      <c r="D75" s="4">
        <f ca="1"/>
        <v>0.3025572461171584</v>
      </c>
      <c r="E75" s="4">
        <f ca="1"/>
        <v>42.319847107616638</v>
      </c>
      <c r="F75" s="4">
        <f ca="1"/>
        <v>3112.7519284387904</v>
      </c>
      <c r="G75">
        <f ca="1"/>
        <v>-52651.491147596302</v>
      </c>
      <c r="H75">
        <f ca="1"/>
        <v>0.3025572461171584</v>
      </c>
      <c r="I75">
        <f ca="1"/>
        <v>4.7267678022651066E-3</v>
      </c>
      <c r="J75">
        <f ca="1"/>
        <v>6.5439740886637492E-3</v>
      </c>
      <c r="K75">
        <f ca="1"/>
        <v>0</v>
      </c>
      <c r="L75">
        <f ca="1"/>
        <v>0.43137927518325409</v>
      </c>
      <c r="M75">
        <f ca="1"/>
        <v>14.713255591783094</v>
      </c>
      <c r="N75">
        <f ca="1"/>
        <v>5.8600288673358865</v>
      </c>
      <c r="O75">
        <f ca="1"/>
        <v>0</v>
      </c>
      <c r="P75">
        <f ca="1"/>
        <v>21.004663734302234</v>
      </c>
      <c r="Q75">
        <f ca="1"/>
        <v>2098.7263929979022</v>
      </c>
    </row>
    <row r="76" spans="1:17">
      <c r="A76" s="2">
        <f ca="1"/>
        <v>75</v>
      </c>
      <c r="B76" s="2">
        <f ca="1"/>
        <v>-0.49830508474576274</v>
      </c>
      <c r="C76" s="7">
        <f ca="1"/>
        <v>1.8499999999999999E-2</v>
      </c>
      <c r="D76" s="4">
        <f ca="1"/>
        <v>0.31323434128546812</v>
      </c>
      <c r="E76" s="4">
        <f ca="1"/>
        <v>43.096341873253351</v>
      </c>
      <c r="F76" s="4">
        <f ca="1"/>
        <v>3099.0154117002539</v>
      </c>
      <c r="G76">
        <f ca="1"/>
        <v>-57230.33006044184</v>
      </c>
      <c r="H76">
        <f ca="1"/>
        <v>0.31323434128546812</v>
      </c>
      <c r="I76">
        <f ca="1"/>
        <v>4.7975122392779181E-3</v>
      </c>
      <c r="J76">
        <f ca="1"/>
        <v>6.7066177856184945E-3</v>
      </c>
      <c r="K76">
        <f ca="1"/>
        <v>0</v>
      </c>
      <c r="L76">
        <f ca="1"/>
        <v>0.44066524275716723</v>
      </c>
      <c r="M76">
        <f ca="1"/>
        <v>14.867564367342865</v>
      </c>
      <c r="N76">
        <f ca="1"/>
        <v>6.2280827765894626</v>
      </c>
      <c r="O76">
        <f ca="1"/>
        <v>0</v>
      </c>
      <c r="P76">
        <f ca="1"/>
        <v>21.536312386689495</v>
      </c>
      <c r="Q76">
        <f ca="1"/>
        <v>2152.7811298082306</v>
      </c>
    </row>
    <row r="77" spans="1:17">
      <c r="A77" s="2">
        <f ca="1"/>
        <v>76</v>
      </c>
      <c r="B77" s="2">
        <f ca="1"/>
        <v>-0.49152542372881358</v>
      </c>
      <c r="C77" s="7">
        <f ca="1"/>
        <v>1.8749999999999999E-2</v>
      </c>
      <c r="D77" s="4">
        <f ca="1"/>
        <v>0.32410511899526284</v>
      </c>
      <c r="E77" s="4">
        <f ca="1"/>
        <v>43.869260065533169</v>
      </c>
      <c r="F77" s="4">
        <f ca="1"/>
        <v>3084.1419197586965</v>
      </c>
      <c r="G77">
        <f ca="1"/>
        <v>-61747.292771762404</v>
      </c>
      <c r="H77">
        <f ca="1"/>
        <v>0.32410511899526284</v>
      </c>
      <c r="I77">
        <f ca="1"/>
        <v>4.8712928561637633E-3</v>
      </c>
      <c r="J77">
        <f ca="1"/>
        <v>6.8666770932243994E-3</v>
      </c>
      <c r="K77">
        <f ca="1"/>
        <v>0</v>
      </c>
      <c r="L77">
        <f ca="1"/>
        <v>0.44979463821197246</v>
      </c>
      <c r="M77">
        <f ca="1"/>
        <v>15.023758501115733</v>
      </c>
      <c r="N77">
        <f ca="1"/>
        <v>6.6075011598786428</v>
      </c>
      <c r="O77">
        <f ca="1"/>
        <v>0</v>
      </c>
      <c r="P77">
        <f ca="1"/>
        <v>22.08105429920635</v>
      </c>
      <c r="Q77">
        <f ca="1"/>
        <v>2203.9505762388508</v>
      </c>
    </row>
    <row r="78" spans="1:17">
      <c r="A78" s="2">
        <f ca="1"/>
        <v>77</v>
      </c>
      <c r="B78" s="2">
        <f ca="1"/>
        <v>-0.48474576271186443</v>
      </c>
      <c r="C78" s="7">
        <f ca="1"/>
        <v>1.9E-2</v>
      </c>
      <c r="D78" s="4">
        <f ca="1"/>
        <v>0.33516864973386484</v>
      </c>
      <c r="E78" s="4">
        <f ca="1"/>
        <v>44.638319374286652</v>
      </c>
      <c r="F78" s="4">
        <f ca="1"/>
        <v>3068.1469216644996</v>
      </c>
      <c r="G78">
        <f ca="1"/>
        <v>-66202.379281558009</v>
      </c>
      <c r="H78">
        <f ca="1"/>
        <v>0.33516864973386484</v>
      </c>
      <c r="I78">
        <f ca="1"/>
        <v>4.9481336501438992E-3</v>
      </c>
      <c r="J78">
        <f ca="1"/>
        <v>7.0238110527905727E-3</v>
      </c>
      <c r="K78">
        <f ca="1"/>
        <v>0</v>
      </c>
      <c r="L78">
        <f ca="1"/>
        <v>0.45893549166719932</v>
      </c>
      <c r="M78">
        <f ca="1"/>
        <v>15.181601026673528</v>
      </c>
      <c r="N78">
        <f ca="1"/>
        <v>6.9977511564681958</v>
      </c>
      <c r="O78">
        <f ca="1"/>
        <v>0</v>
      </c>
      <c r="P78">
        <f ca="1"/>
        <v>22.638287674808922</v>
      </c>
      <c r="Q78">
        <f ca="1"/>
        <v>2251.9237885531829</v>
      </c>
    </row>
    <row r="79" spans="1:17">
      <c r="A79" s="2">
        <f ca="1"/>
        <v>78</v>
      </c>
      <c r="B79" s="2">
        <f ca="1"/>
        <v>-0.47796610169491527</v>
      </c>
      <c r="C79" s="7">
        <f ca="1"/>
        <v>1.925E-2</v>
      </c>
      <c r="D79" s="4">
        <f ca="1"/>
        <v>0.34642393389446124</v>
      </c>
      <c r="E79" s="4">
        <f ca="1"/>
        <v>45.403241356606905</v>
      </c>
      <c r="F79" s="4">
        <f ca="1"/>
        <v>3051.0458864680445</v>
      </c>
      <c r="G79">
        <f ca="1"/>
        <v>-70595.589589828713</v>
      </c>
      <c r="H79">
        <f ca="1"/>
        <v>0.34642393389446124</v>
      </c>
      <c r="I79">
        <f ca="1"/>
        <v>5.0280647181849695E-3</v>
      </c>
      <c r="J79">
        <f ca="1"/>
        <v>7.177633908780635E-3</v>
      </c>
      <c r="K79">
        <f ca="1"/>
        <v>0</v>
      </c>
      <c r="L79">
        <f ca="1"/>
        <v>0.46797778344533031</v>
      </c>
      <c r="M79">
        <f ca="1"/>
        <v>15.340856175313359</v>
      </c>
      <c r="N79">
        <f ca="1"/>
        <v>7.3981822347242527</v>
      </c>
      <c r="O79">
        <f ca="1"/>
        <v>0</v>
      </c>
      <c r="P79">
        <f ca="1"/>
        <v>23.207016193482943</v>
      </c>
      <c r="Q79">
        <f ca="1"/>
        <v>2295.9363655162956</v>
      </c>
    </row>
    <row r="80" spans="1:17">
      <c r="A80" s="2">
        <f ca="1"/>
        <v>79</v>
      </c>
      <c r="B80" s="2">
        <f ca="1"/>
        <v>-0.47118644067796611</v>
      </c>
      <c r="C80" s="7">
        <f ca="1"/>
        <v>1.95E-2</v>
      </c>
      <c r="D80" s="4">
        <f ca="1"/>
        <v>0.35786990274291952</v>
      </c>
      <c r="E80" s="4">
        <f ca="1"/>
        <v>46.16375143684968</v>
      </c>
      <c r="F80" s="4">
        <f ca="1"/>
        <v>3032.8542832197127</v>
      </c>
      <c r="G80">
        <f ca="1"/>
        <v>-74926.923696574479</v>
      </c>
      <c r="H80">
        <f ca="1"/>
        <v>0.35786990274291952</v>
      </c>
      <c r="I80">
        <f ca="1"/>
        <v>5.1110886406557738E-3</v>
      </c>
      <c r="J80">
        <f ca="1"/>
        <v>7.3278862939015988E-3</v>
      </c>
      <c r="K80">
        <f ca="1"/>
        <v>0</v>
      </c>
      <c r="L80">
        <f ca="1"/>
        <v>0.4768690481199313</v>
      </c>
      <c r="M80">
        <f ca="1"/>
        <v>15.501187075728483</v>
      </c>
      <c r="N80">
        <f ca="1"/>
        <v>7.8081997337186557</v>
      </c>
      <c r="O80">
        <f ca="1"/>
        <v>0</v>
      </c>
      <c r="P80">
        <f ca="1"/>
        <v>23.78625585756707</v>
      </c>
      <c r="Q80">
        <f ca="1"/>
        <v>2340.0086477610366</v>
      </c>
    </row>
    <row r="81" spans="1:17">
      <c r="A81" s="2">
        <f ca="1"/>
        <v>80</v>
      </c>
      <c r="B81" s="2">
        <f ca="1"/>
        <v>-0.46440677966101696</v>
      </c>
      <c r="C81" s="7">
        <f ca="1"/>
        <v>1.975E-2</v>
      </c>
      <c r="D81" s="4">
        <f ca="1"/>
        <v>0.36950541938460546</v>
      </c>
      <c r="E81" s="4">
        <f ca="1"/>
        <v>46.919578906633305</v>
      </c>
      <c r="F81" s="4">
        <f ca="1"/>
        <v>3013.5875809698837</v>
      </c>
      <c r="G81">
        <f ca="1"/>
        <v>-79196.381601795307</v>
      </c>
      <c r="H81">
        <f ca="1"/>
        <v>0.36950541938460546</v>
      </c>
      <c r="I81">
        <f ca="1"/>
        <v>5.1972289310752385E-3</v>
      </c>
      <c r="J81">
        <f ca="1"/>
        <v>7.4759985958502409E-3</v>
      </c>
      <c r="K81">
        <f ca="1"/>
        <v>0</v>
      </c>
      <c r="L81">
        <f ca="1"/>
        <v>0.48570904550639843</v>
      </c>
      <c r="M81">
        <f ca="1"/>
        <v>15.662304562145723</v>
      </c>
      <c r="N81">
        <f ca="1"/>
        <v>8.2290069097113427</v>
      </c>
      <c r="O81">
        <f ca="1"/>
        <v>0</v>
      </c>
      <c r="P81">
        <f ca="1"/>
        <v>24.377020517363462</v>
      </c>
      <c r="Q81">
        <f ca="1"/>
        <v>2375.5321393034146</v>
      </c>
    </row>
    <row r="82" spans="1:17">
      <c r="A82" s="2">
        <f ca="1"/>
        <v>81</v>
      </c>
      <c r="B82" s="2">
        <f ca="1"/>
        <v>-0.4576271186440678</v>
      </c>
      <c r="C82" s="7">
        <f ca="1"/>
        <v>0.02</v>
      </c>
      <c r="D82" s="4">
        <f ca="1"/>
        <v>0.38132927973119557</v>
      </c>
      <c r="E82" s="4">
        <f ca="1"/>
        <v>47.670456924838696</v>
      </c>
      <c r="F82" s="4">
        <f ca="1"/>
        <v>2993.2612487689421</v>
      </c>
      <c r="G82">
        <f ca="1"/>
        <v>-83403.963305491168</v>
      </c>
      <c r="H82">
        <f ca="1"/>
        <v>0.38132927973119557</v>
      </c>
      <c r="I82">
        <f ca="1"/>
        <v>5.2864595799626346E-3</v>
      </c>
      <c r="J82">
        <f ca="1"/>
        <v>7.6180340525530427E-3</v>
      </c>
      <c r="K82">
        <f ca="1"/>
        <v>0</v>
      </c>
      <c r="L82">
        <f ca="1"/>
        <v>0.49438101841090254</v>
      </c>
      <c r="M82">
        <f ca="1"/>
        <v>15.823754603885494</v>
      </c>
      <c r="N82">
        <f ca="1"/>
        <v>8.6558863049223813</v>
      </c>
      <c r="O82">
        <f ca="1"/>
        <v>0</v>
      </c>
      <c r="P82">
        <f ca="1"/>
        <v>24.974021927218779</v>
      </c>
      <c r="Q82">
        <f ca="1"/>
        <v>2396.7373656459877</v>
      </c>
    </row>
    <row r="83" spans="1:17">
      <c r="A83" s="2">
        <f ca="1"/>
        <v>82</v>
      </c>
      <c r="B83" s="2">
        <f ca="1"/>
        <v>-0.45084745762711864</v>
      </c>
      <c r="C83" s="7">
        <f ca="1"/>
        <v>2.0250000000000001E-2</v>
      </c>
      <c r="D83" s="4">
        <f ca="1"/>
        <v>0.39334021346749615</v>
      </c>
      <c r="E83" s="4">
        <f ca="1"/>
        <v>48.416122517609381</v>
      </c>
      <c r="F83" s="4">
        <f ca="1"/>
        <v>2971.8907556672661</v>
      </c>
      <c r="G83">
        <f ca="1"/>
        <v>-87549.668807662121</v>
      </c>
      <c r="H83">
        <f ca="1"/>
        <v>0.39334021346749615</v>
      </c>
      <c r="I83">
        <f ca="1"/>
        <v>5.3787829525035781E-3</v>
      </c>
      <c r="J83">
        <f ca="1"/>
        <v>7.7533394263871224E-3</v>
      </c>
      <c r="K83">
        <f ca="1"/>
        <v>0</v>
      </c>
      <c r="L83">
        <f ca="1"/>
        <v>0.50285129366793635</v>
      </c>
      <c r="M83">
        <f ca="1"/>
        <v>15.985155333286068</v>
      </c>
      <c r="N83">
        <f ca="1"/>
        <v>9.0873825732324534</v>
      </c>
      <c r="O83">
        <f ca="1"/>
        <v>0</v>
      </c>
      <c r="P83">
        <f ca="1"/>
        <v>25.575389200186457</v>
      </c>
      <c r="Q83">
        <f ca="1"/>
        <v>2424.6366670901389</v>
      </c>
    </row>
    <row r="84" spans="1:17">
      <c r="A84" s="2">
        <f ca="1"/>
        <v>83</v>
      </c>
      <c r="B84" s="2">
        <f ca="1"/>
        <v>-0.44406779661016949</v>
      </c>
      <c r="C84" s="7">
        <f ca="1"/>
        <v>2.0500000000000001E-2</v>
      </c>
      <c r="D84" s="4">
        <f ca="1"/>
        <v>0.40553688501825569</v>
      </c>
      <c r="E84" s="4">
        <f ca="1"/>
        <v>49.156316578351465</v>
      </c>
      <c r="F84" s="4">
        <f ca="1"/>
        <v>2949.4915707152381</v>
      </c>
      <c r="G84">
        <f ca="1"/>
        <v>-91633.498108308122</v>
      </c>
      <c r="H84">
        <f ca="1"/>
        <v>0.40553688501825569</v>
      </c>
      <c r="I84">
        <f ca="1"/>
        <v>5.4741793935684183E-3</v>
      </c>
      <c r="J84">
        <f ca="1"/>
        <v>7.8871987123801061E-3</v>
      </c>
      <c r="K84">
        <f ca="1"/>
        <v>0</v>
      </c>
      <c r="L84">
        <f ca="1"/>
        <v>0.51120377143094031</v>
      </c>
      <c r="M84">
        <f ca="1"/>
        <v>16.146045977913104</v>
      </c>
      <c r="N84">
        <f ca="1"/>
        <v>9.5290905114198079</v>
      </c>
      <c r="O84">
        <f ca="1"/>
        <v>0</v>
      </c>
      <c r="P84">
        <f ca="1"/>
        <v>26.186340260763849</v>
      </c>
      <c r="Q84">
        <f ca="1"/>
        <v>2448.8775832632023</v>
      </c>
    </row>
    <row r="85" spans="1:17">
      <c r="A85" s="2">
        <f ca="1"/>
        <v>84</v>
      </c>
      <c r="B85" s="2">
        <f ca="1"/>
        <v>-0.43728813559322033</v>
      </c>
      <c r="C85" s="7">
        <f ca="1"/>
        <v>2.0750000000000001E-2</v>
      </c>
      <c r="D85" s="4">
        <f ca="1"/>
        <v>0.41791789451498262</v>
      </c>
      <c r="E85" s="4">
        <f ca="1"/>
        <v>49.890783867733667</v>
      </c>
      <c r="F85" s="4">
        <f ca="1"/>
        <v>2926.0791629632386</v>
      </c>
      <c r="G85">
        <f ca="1"/>
        <v>-95655.451207429171</v>
      </c>
      <c r="H85">
        <f ca="1"/>
        <v>0.41791789451498262</v>
      </c>
      <c r="I85">
        <f ca="1"/>
        <v>5.5726168157170276E-3</v>
      </c>
      <c r="J85">
        <f ca="1"/>
        <v>8.0145990048290094E-3</v>
      </c>
      <c r="K85">
        <f ca="1"/>
        <v>0</v>
      </c>
      <c r="L85">
        <f ca="1"/>
        <v>0.51937966365845656</v>
      </c>
      <c r="M85">
        <f ca="1"/>
        <v>16.305917947648148</v>
      </c>
      <c r="N85">
        <f ca="1"/>
        <v>9.9745303805114567</v>
      </c>
      <c r="O85">
        <f ca="1"/>
        <v>0</v>
      </c>
      <c r="P85">
        <f ca="1"/>
        <v>26.799827991818059</v>
      </c>
      <c r="Q85">
        <f ca="1"/>
        <v>2452.8418040630959</v>
      </c>
    </row>
    <row r="86" spans="1:17">
      <c r="A86" s="2">
        <f ca="1"/>
        <v>85</v>
      </c>
      <c r="B86" s="2">
        <f ca="1"/>
        <v>-0.43050847457627117</v>
      </c>
      <c r="C86" s="7">
        <f ca="1"/>
        <v>2.1000000000000001E-2</v>
      </c>
      <c r="D86" s="4">
        <f ca="1"/>
        <v>0.43048177876276106</v>
      </c>
      <c r="E86" s="4">
        <f ca="1"/>
        <v>50.619273013687284</v>
      </c>
      <c r="F86" s="4">
        <f ca="1"/>
        <v>2901.6690014616502</v>
      </c>
      <c r="G86">
        <f ca="1"/>
        <v>-99615.528105025311</v>
      </c>
      <c r="H86">
        <f ca="1"/>
        <v>0.43048177876276106</v>
      </c>
      <c r="I86">
        <f ca="1"/>
        <v>5.6740720678482093E-3</v>
      </c>
      <c r="J86">
        <f ca="1"/>
        <v>8.134252485939051E-3</v>
      </c>
      <c r="K86">
        <f ca="1"/>
        <v>0</v>
      </c>
      <c r="L86">
        <f ca="1"/>
        <v>0.52724063237061558</v>
      </c>
      <c r="M86">
        <f ca="1"/>
        <v>16.464279031334556</v>
      </c>
      <c r="N86">
        <f ca="1"/>
        <v>10.421241499090225</v>
      </c>
      <c r="O86">
        <f ca="1"/>
        <v>0</v>
      </c>
      <c r="P86">
        <f ca="1"/>
        <v>27.412761162795398</v>
      </c>
      <c r="Q86">
        <f ca="1"/>
        <v>2453.9897102592413</v>
      </c>
    </row>
    <row r="87" spans="1:17">
      <c r="A87" s="2">
        <f ca="1"/>
        <v>86</v>
      </c>
      <c r="B87" s="2">
        <f ca="1"/>
        <v>-0.42372881355932202</v>
      </c>
      <c r="C87" s="7">
        <f ca="1"/>
        <v>2.1250000000000002E-2</v>
      </c>
      <c r="D87" s="4">
        <f ca="1"/>
        <v>0.44322701220706451</v>
      </c>
      <c r="E87" s="4">
        <f ca="1"/>
        <v>51.341536511406233</v>
      </c>
      <c r="F87" s="4">
        <f ca="1"/>
        <v>2876.276555260853</v>
      </c>
      <c r="G87">
        <f ca="1"/>
        <v>-103513.72880109648</v>
      </c>
      <c r="H87">
        <f ca="1"/>
        <v>0.44322701220706451</v>
      </c>
      <c r="I87">
        <f ca="1"/>
        <v>5.7785008210175818E-3</v>
      </c>
      <c r="J87">
        <f ca="1"/>
        <v>8.2485077803585178E-3</v>
      </c>
      <c r="K87">
        <f ca="1"/>
        <v>0</v>
      </c>
      <c r="L87">
        <f ca="1"/>
        <v>0.53491546476935936</v>
      </c>
      <c r="M87">
        <f ca="1"/>
        <v>16.62056643604846</v>
      </c>
      <c r="N87">
        <f ca="1"/>
        <v>10.871340946129862</v>
      </c>
      <c r="O87">
        <f ca="1"/>
        <v>0</v>
      </c>
      <c r="P87">
        <f ca="1"/>
        <v>28.026822846947681</v>
      </c>
      <c r="Q87">
        <f ca="1"/>
        <v>2465.4653334708291</v>
      </c>
    </row>
    <row r="88" spans="1:17">
      <c r="A88" s="2">
        <f ca="1"/>
        <v>87</v>
      </c>
      <c r="B88" s="2">
        <f ca="1"/>
        <v>-0.41694915254237286</v>
      </c>
      <c r="C88" s="7">
        <f ca="1"/>
        <v>2.1500000000000002E-2</v>
      </c>
      <c r="D88" s="4">
        <f ca="1"/>
        <v>0.45615200790057364</v>
      </c>
      <c r="E88" s="4">
        <f ca="1"/>
        <v>52.057330723346979</v>
      </c>
      <c r="F88" s="4">
        <f ca="1"/>
        <v>2849.9172934112289</v>
      </c>
      <c r="G88">
        <f ca="1"/>
        <v>-107350.05329564272</v>
      </c>
      <c r="H88">
        <f ca="1"/>
        <v>0.45615200790057364</v>
      </c>
      <c r="I88">
        <f ca="1"/>
        <v>5.8858534898981211E-3</v>
      </c>
      <c r="J88">
        <f ca="1"/>
        <v>8.3609305812912139E-3</v>
      </c>
      <c r="K88">
        <f ca="1"/>
        <v>0</v>
      </c>
      <c r="L88">
        <f ca="1"/>
        <v>0.54238070957666884</v>
      </c>
      <c r="M88">
        <f ca="1"/>
        <v>16.77419564734549</v>
      </c>
      <c r="N88">
        <f ca="1"/>
        <v>11.328917472608657</v>
      </c>
      <c r="O88">
        <f ca="1"/>
        <v>0</v>
      </c>
      <c r="P88">
        <f ca="1"/>
        <v>28.645493829530814</v>
      </c>
      <c r="Q88">
        <f ca="1"/>
        <v>2460.7912886249374</v>
      </c>
    </row>
    <row r="89" spans="1:17">
      <c r="A89" s="2">
        <f ca="1"/>
        <v>88</v>
      </c>
      <c r="B89" s="2">
        <f ca="1"/>
        <v>-0.41016949152542359</v>
      </c>
      <c r="C89" s="7">
        <f ca="1"/>
        <v>2.1750000000000002E-2</v>
      </c>
      <c r="D89" s="4">
        <f ca="1"/>
        <v>0.46925511846999091</v>
      </c>
      <c r="E89" s="4">
        <f ca="1"/>
        <v>52.76641587922866</v>
      </c>
      <c r="F89" s="4">
        <f ca="1"/>
        <v>2822.6066849631579</v>
      </c>
      <c r="G89">
        <f ca="1"/>
        <v>-111124.50158866409</v>
      </c>
      <c r="H89">
        <f ca="1"/>
        <v>0.46925511846999091</v>
      </c>
      <c r="I89">
        <f ca="1"/>
        <v>5.9960670113050141E-3</v>
      </c>
      <c r="J89">
        <f ca="1"/>
        <v>8.4640071087964848E-3</v>
      </c>
      <c r="K89">
        <f ca="1"/>
        <v>0</v>
      </c>
      <c r="L89">
        <f ca="1"/>
        <v>0.54953482863309344</v>
      </c>
      <c r="M89">
        <f ca="1"/>
        <v>16.924538829596596</v>
      </c>
      <c r="N89">
        <f ca="1"/>
        <v>11.783144833030462</v>
      </c>
      <c r="O89">
        <f ca="1"/>
        <v>0</v>
      </c>
      <c r="P89">
        <f ca="1"/>
        <v>29.257218491260151</v>
      </c>
      <c r="Q89">
        <f ca="1"/>
        <v>2431.7942200452339</v>
      </c>
    </row>
    <row r="90" spans="1:17">
      <c r="A90" s="2">
        <f ca="1"/>
        <v>89</v>
      </c>
      <c r="B90" s="2">
        <f ca="1"/>
        <v>-0.40338983050847455</v>
      </c>
      <c r="C90" s="7">
        <f ca="1"/>
        <v>2.1999999999999999E-2</v>
      </c>
      <c r="D90" s="4">
        <f ca="1"/>
        <v>0.48253463708285582</v>
      </c>
      <c r="E90" s="4">
        <f ca="1"/>
        <v>53.468556076032897</v>
      </c>
      <c r="F90" s="4">
        <f ca="1"/>
        <v>2794.3601989670242</v>
      </c>
      <c r="G90">
        <f ca="1"/>
        <v>-114837.07368016041</v>
      </c>
      <c r="H90">
        <f ca="1"/>
        <v>0.48253463708285582</v>
      </c>
      <c r="I90">
        <f ca="1"/>
        <v>6.1090836134149434E-3</v>
      </c>
      <c r="J90">
        <f ca="1"/>
        <v>8.558624378994498E-3</v>
      </c>
      <c r="K90">
        <f ca="1"/>
        <v>0</v>
      </c>
      <c r="L90">
        <f ca="1"/>
        <v>0.5563430379151213</v>
      </c>
      <c r="M90">
        <f ca="1"/>
        <v>17.070980101488367</v>
      </c>
      <c r="N90">
        <f ca="1"/>
        <v>12.234067800149935</v>
      </c>
      <c r="O90">
        <f ca="1"/>
        <v>0</v>
      </c>
      <c r="P90">
        <f ca="1"/>
        <v>29.861390939553424</v>
      </c>
      <c r="Q90">
        <f ca="1"/>
        <v>2396.9462102889952</v>
      </c>
    </row>
    <row r="91" spans="1:17">
      <c r="A91" s="2">
        <f ca="1"/>
        <v>90</v>
      </c>
      <c r="B91" s="2">
        <f ca="1"/>
        <v>-0.39661016949152539</v>
      </c>
      <c r="C91" s="7">
        <f ca="1"/>
        <v>2.2249999999999999E-2</v>
      </c>
      <c r="D91" s="4">
        <f ca="1"/>
        <v>0.49598879841436183</v>
      </c>
      <c r="E91" s="4">
        <f ca="1"/>
        <v>54.16351927800401</v>
      </c>
      <c r="F91" s="4">
        <f ca="1"/>
        <v>2765.1933044732054</v>
      </c>
      <c r="G91">
        <f ca="1"/>
        <v>-118487.76957013182</v>
      </c>
      <c r="H91">
        <f ca="1"/>
        <v>0.49598879841436183</v>
      </c>
      <c r="I91">
        <f ca="1"/>
        <v>6.224825661897174E-3</v>
      </c>
      <c r="J91">
        <f ca="1"/>
        <v>8.6443937009851052E-3</v>
      </c>
      <c r="K91">
        <f ca="1"/>
        <v>0</v>
      </c>
      <c r="L91">
        <f ca="1"/>
        <v>0.56287341837676708</v>
      </c>
      <c r="M91">
        <f ca="1"/>
        <v>17.212846241791055</v>
      </c>
      <c r="N91">
        <f ca="1"/>
        <v>12.679971936236818</v>
      </c>
      <c r="O91">
        <f ca="1"/>
        <v>0</v>
      </c>
      <c r="P91">
        <f ca="1"/>
        <v>30.455691596404641</v>
      </c>
      <c r="Q91">
        <f ca="1"/>
        <v>2364.1653779177977</v>
      </c>
    </row>
    <row r="92" spans="1:17">
      <c r="A92" s="2">
        <f ca="1"/>
        <v>91</v>
      </c>
      <c r="B92" s="2">
        <f ca="1"/>
        <v>-0.38983050847457623</v>
      </c>
      <c r="C92" s="7">
        <f ca="1"/>
        <v>2.2499999999999999E-2</v>
      </c>
      <c r="D92" s="4">
        <f ca="1"/>
        <v>0.50961577961417148</v>
      </c>
      <c r="E92" s="4">
        <f ca="1"/>
        <v>54.851077316648883</v>
      </c>
      <c r="F92" s="4">
        <f ca="1"/>
        <v>2735.1214705320849</v>
      </c>
      <c r="G92">
        <f ca="1"/>
        <v>-122076.5892585783</v>
      </c>
      <c r="H92">
        <f ca="1"/>
        <v>0.50961577961417148</v>
      </c>
      <c r="I92">
        <f ca="1"/>
        <v>6.3432083545999314E-3</v>
      </c>
      <c r="J92">
        <f ca="1"/>
        <v>8.724821101549771E-3</v>
      </c>
      <c r="K92">
        <f ca="1"/>
        <v>0</v>
      </c>
      <c r="L92">
        <f ca="1"/>
        <v>0.56910240766339071</v>
      </c>
      <c r="M92">
        <f ca="1"/>
        <v>17.349445362724772</v>
      </c>
      <c r="N92">
        <f ca="1"/>
        <v>13.124925858124161</v>
      </c>
      <c r="O92">
        <f ca="1"/>
        <v>0</v>
      </c>
      <c r="P92">
        <f ca="1"/>
        <v>31.043473628512324</v>
      </c>
      <c r="Q92">
        <f ca="1"/>
        <v>2330.6356328478705</v>
      </c>
    </row>
    <row r="93" spans="1:17">
      <c r="A93" s="2">
        <f ca="1"/>
        <v>92</v>
      </c>
      <c r="B93" s="2">
        <f ca="1"/>
        <v>-0.38305084745762707</v>
      </c>
      <c r="C93" s="7">
        <f ca="1"/>
        <v>2.2749999999999999E-2</v>
      </c>
      <c r="D93" s="4">
        <f ca="1"/>
        <v>0.52341370127323095</v>
      </c>
      <c r="E93" s="4">
        <f ca="1"/>
        <v>55.531005890736978</v>
      </c>
      <c r="F93" s="4">
        <f ca="1"/>
        <v>2704.1601661940431</v>
      </c>
      <c r="G93">
        <f ca="1"/>
        <v>-125603.53274549985</v>
      </c>
      <c r="H93">
        <f ca="1"/>
        <v>0.52341370127323095</v>
      </c>
      <c r="I93">
        <f ca="1"/>
        <v>6.4641452728561649E-3</v>
      </c>
      <c r="J93">
        <f ca="1"/>
        <v>8.7984944971319194E-3</v>
      </c>
      <c r="K93">
        <f ca="1"/>
        <v>0</v>
      </c>
      <c r="L93">
        <f ca="1"/>
        <v>0.57499900447458741</v>
      </c>
      <c r="M93">
        <f ca="1"/>
        <v>17.480084155349164</v>
      </c>
      <c r="N93">
        <f ca="1"/>
        <v>13.565926253004825</v>
      </c>
      <c r="O93">
        <f ca="1"/>
        <v>0</v>
      </c>
      <c r="P93">
        <f ca="1"/>
        <v>31.621009412828577</v>
      </c>
      <c r="Q93">
        <f ca="1"/>
        <v>2281.521342273988</v>
      </c>
    </row>
    <row r="94" spans="1:17">
      <c r="A94" s="2">
        <f ca="1"/>
        <v>93</v>
      </c>
      <c r="B94" s="2">
        <f ca="1"/>
        <v>-0.37627118644067792</v>
      </c>
      <c r="C94" s="7">
        <f ca="1"/>
        <v>2.3E-2</v>
      </c>
      <c r="D94" s="4">
        <f ca="1"/>
        <v>0.5373806283905872</v>
      </c>
      <c r="E94" s="4">
        <f ca="1"/>
        <v>56.203084566300362</v>
      </c>
      <c r="F94" s="4">
        <f ca="1"/>
        <v>2672.3248605094623</v>
      </c>
      <c r="G94">
        <f ca="1"/>
        <v>-129068.60003089644</v>
      </c>
      <c r="H94">
        <f ca="1"/>
        <v>0.5373806283905872</v>
      </c>
      <c r="I94">
        <f ca="1"/>
        <v>6.5875337623112484E-3</v>
      </c>
      <c r="J94">
        <f ca="1"/>
        <v>8.864030251331095E-3</v>
      </c>
      <c r="K94">
        <f ca="1"/>
        <v>0</v>
      </c>
      <c r="L94">
        <f ca="1"/>
        <v>0.58041355858209487</v>
      </c>
      <c r="M94">
        <f ca="1"/>
        <v>17.604030242469779</v>
      </c>
      <c r="N94">
        <f ca="1"/>
        <v>13.999790498597442</v>
      </c>
      <c r="O94">
        <f ca="1"/>
        <v>0</v>
      </c>
      <c r="P94">
        <f ca="1"/>
        <v>32.184234299649319</v>
      </c>
      <c r="Q94">
        <f ca="1"/>
        <v>2230.0878709841195</v>
      </c>
    </row>
    <row r="95" spans="1:17">
      <c r="A95" s="2">
        <f ca="1"/>
        <v>94</v>
      </c>
      <c r="B95" s="2">
        <f ca="1"/>
        <v>-0.36949152542372876</v>
      </c>
      <c r="C95" s="7">
        <f ca="1"/>
        <v>2.325E-2</v>
      </c>
      <c r="D95" s="4">
        <f ca="1"/>
        <v>0.55151457134020299</v>
      </c>
      <c r="E95" s="4">
        <f ca="1"/>
        <v>56.867096776633694</v>
      </c>
      <c r="F95" s="4">
        <f ca="1"/>
        <v>2639.6310225287225</v>
      </c>
      <c r="G95">
        <f ca="1"/>
        <v>-132471.79111476813</v>
      </c>
      <c r="H95">
        <f ca="1"/>
        <v>0.55151457134020299</v>
      </c>
      <c r="I95">
        <f ca="1"/>
        <v>6.7132667408681288E-3</v>
      </c>
      <c r="J95">
        <f ca="1"/>
        <v>8.9243283858572615E-3</v>
      </c>
      <c r="K95">
        <f ca="1"/>
        <v>0</v>
      </c>
      <c r="L95">
        <f ca="1"/>
        <v>0.58546202189817176</v>
      </c>
      <c r="M95">
        <f ca="1"/>
        <v>17.720547151705802</v>
      </c>
      <c r="N95">
        <f ca="1"/>
        <v>14.43004417471667</v>
      </c>
      <c r="O95">
        <f ca="1"/>
        <v>0</v>
      </c>
      <c r="P95">
        <f ca="1"/>
        <v>32.736053348320638</v>
      </c>
      <c r="Q95">
        <f ca="1"/>
        <v>2160.0621488045967</v>
      </c>
    </row>
    <row r="96" spans="1:17">
      <c r="A96" s="2">
        <f ca="1"/>
        <v>95</v>
      </c>
      <c r="B96" s="2">
        <f ca="1"/>
        <v>-0.3627118644067796</v>
      </c>
      <c r="C96" s="7">
        <f ca="1"/>
        <v>2.35E-2</v>
      </c>
      <c r="D96" s="4">
        <f ca="1"/>
        <v>0.56581348683777233</v>
      </c>
      <c r="E96" s="4">
        <f ca="1"/>
        <v>57.522829822294241</v>
      </c>
      <c r="F96" s="4">
        <f ca="1"/>
        <v>2606.0941213022047</v>
      </c>
      <c r="G96">
        <f ca="1"/>
        <v>-135813.10599711485</v>
      </c>
      <c r="H96">
        <f ca="1"/>
        <v>0.56581348683777233</v>
      </c>
      <c r="I96">
        <f ca="1"/>
        <v>6.8412323152631863E-3</v>
      </c>
      <c r="J96">
        <f ca="1"/>
        <v>8.9729855036645104E-3</v>
      </c>
      <c r="K96">
        <f ca="1"/>
        <v>0</v>
      </c>
      <c r="L96">
        <f ca="1"/>
        <v>0.59012208496401697</v>
      </c>
      <c r="M96">
        <f ca="1"/>
        <v>17.82889531927006</v>
      </c>
      <c r="N96">
        <f ca="1"/>
        <v>14.845247969817546</v>
      </c>
      <c r="O96">
        <f ca="1"/>
        <v>0</v>
      </c>
      <c r="P96">
        <f ca="1"/>
        <v>33.264265374051618</v>
      </c>
      <c r="Q96">
        <f ca="1"/>
        <v>2070.4903150392493</v>
      </c>
    </row>
    <row r="97" spans="1:17">
      <c r="A97" s="2">
        <f ca="1"/>
        <v>96</v>
      </c>
      <c r="B97" s="2">
        <f ca="1"/>
        <v>-0.35593220338983045</v>
      </c>
      <c r="C97" s="7">
        <f ca="1"/>
        <v>2.375E-2</v>
      </c>
      <c r="D97" s="4">
        <f ca="1"/>
        <v>0.58027527890753661</v>
      </c>
      <c r="E97" s="4">
        <f ca="1"/>
        <v>58.170074871101853</v>
      </c>
      <c r="F97" s="4">
        <f ca="1"/>
        <v>2571.7296258802921</v>
      </c>
      <c r="G97">
        <f ca="1"/>
        <v>-139092.54467793662</v>
      </c>
      <c r="H97">
        <f ca="1"/>
        <v>0.58027527890753661</v>
      </c>
      <c r="I97">
        <f ca="1"/>
        <v>6.9713058918929793E-3</v>
      </c>
      <c r="J97">
        <f ca="1"/>
        <v>9.0128280771916962E-3</v>
      </c>
      <c r="K97">
        <f ca="1"/>
        <v>0</v>
      </c>
      <c r="L97">
        <f ca="1"/>
        <v>0.5943718133792707</v>
      </c>
      <c r="M97">
        <f ca="1"/>
        <v>17.928313893255009</v>
      </c>
      <c r="N97">
        <f ca="1"/>
        <v>15.248612799205983</v>
      </c>
      <c r="O97">
        <f ca="1"/>
        <v>0</v>
      </c>
      <c r="P97">
        <f ca="1"/>
        <v>33.771298505840264</v>
      </c>
      <c r="Q97">
        <f ca="1"/>
        <v>1992.4368194556318</v>
      </c>
    </row>
    <row r="98" spans="1:17">
      <c r="A98" s="2">
        <f ca="1"/>
        <v>97</v>
      </c>
      <c r="B98" s="2">
        <f ca="1"/>
        <v>-0.34915254237288129</v>
      </c>
      <c r="C98" s="7">
        <f ca="1"/>
        <v>2.4E-2</v>
      </c>
      <c r="D98" s="4">
        <f ca="1"/>
        <v>0.59489779984909996</v>
      </c>
      <c r="E98" s="4">
        <f ca="1"/>
        <v>58.808626958138973</v>
      </c>
      <c r="F98" s="4">
        <f ca="1"/>
        <v>2536.5530053133643</v>
      </c>
      <c r="G98">
        <f ca="1"/>
        <v>-142310.10715723349</v>
      </c>
      <c r="H98">
        <f ca="1"/>
        <v>0.59489779984909996</v>
      </c>
      <c r="I98">
        <f ca="1"/>
        <v>7.1033556136969687E-3</v>
      </c>
      <c r="J98">
        <f ca="1"/>
        <v>9.0469633369785855E-3</v>
      </c>
      <c r="K98">
        <f ca="1"/>
        <v>0</v>
      </c>
      <c r="L98">
        <f ca="1"/>
        <v>0.59818974837698147</v>
      </c>
      <c r="M98">
        <f ca="1"/>
        <v>18.018038029732605</v>
      </c>
      <c r="N98">
        <f ca="1"/>
        <v>15.644256005669845</v>
      </c>
      <c r="O98">
        <f ca="1"/>
        <v>0</v>
      </c>
      <c r="P98">
        <f ca="1"/>
        <v>34.260483783779435</v>
      </c>
      <c r="Q98">
        <f ca="1"/>
        <v>1894.7827916531833</v>
      </c>
    </row>
    <row r="99" spans="1:17">
      <c r="A99" s="2">
        <f ca="1"/>
        <v>98</v>
      </c>
      <c r="B99" s="2">
        <f ca="1"/>
        <v>-0.34237288135593213</v>
      </c>
      <c r="C99" s="7">
        <f ca="1"/>
        <v>2.4250000000000001E-2</v>
      </c>
      <c r="D99" s="4">
        <f ca="1"/>
        <v>0.60967885120424492</v>
      </c>
      <c r="E99" s="4">
        <f ca="1"/>
        <v>59.438284985750656</v>
      </c>
      <c r="F99" s="4">
        <f ca="1"/>
        <v>2500.5797286518023</v>
      </c>
      <c r="G99">
        <f ca="1"/>
        <v>-145465.79343500538</v>
      </c>
      <c r="H99">
        <f ca="1"/>
        <v>0.60967885120424492</v>
      </c>
      <c r="I99">
        <f ca="1"/>
        <v>7.2372518409295917E-3</v>
      </c>
      <c r="J99">
        <f ca="1"/>
        <v>9.0689315185683503E-3</v>
      </c>
      <c r="K99">
        <f ca="1"/>
        <v>0</v>
      </c>
      <c r="L99">
        <f ca="1"/>
        <v>0.60150649182467741</v>
      </c>
      <c r="M99">
        <f ca="1"/>
        <v>18.097325244576474</v>
      </c>
      <c r="N99">
        <f ca="1"/>
        <v>16.019858165265706</v>
      </c>
      <c r="O99">
        <f ca="1"/>
        <v>0</v>
      </c>
      <c r="P99">
        <f ca="1"/>
        <v>34.718689901666856</v>
      </c>
      <c r="Q99">
        <f ca="1"/>
        <v>1775.9285542650487</v>
      </c>
    </row>
    <row r="100" spans="1:17">
      <c r="A100" s="2">
        <f ca="1"/>
        <v>99</v>
      </c>
      <c r="B100" s="2">
        <f ca="1"/>
        <v>-0.33559322033898298</v>
      </c>
      <c r="C100" s="7">
        <f ca="1"/>
        <v>2.4500000000000001E-2</v>
      </c>
      <c r="D100" s="4">
        <f ca="1"/>
        <v>0.62461618472374814</v>
      </c>
      <c r="E100" s="4">
        <f ca="1"/>
        <v>60.058851723544514</v>
      </c>
      <c r="F100" s="4">
        <f ca="1"/>
        <v>2463.8252649459882</v>
      </c>
      <c r="G100">
        <f ca="1"/>
        <v>-148559.60351125238</v>
      </c>
      <c r="H100">
        <f ca="1"/>
        <v>0.62461618472374814</v>
      </c>
      <c r="I100">
        <f ca="1"/>
        <v>7.3728450639852332E-3</v>
      </c>
      <c r="J100">
        <f ca="1"/>
        <v>9.0814815002101361E-3</v>
      </c>
      <c r="K100">
        <f ca="1"/>
        <v>0</v>
      </c>
      <c r="L100">
        <f ca="1"/>
        <v>0.60429604006631887</v>
      </c>
      <c r="M100">
        <f ca="1"/>
        <v>18.165401943179138</v>
      </c>
      <c r="N100">
        <f ca="1"/>
        <v>16.378750077666503</v>
      </c>
      <c r="O100">
        <f ca="1"/>
        <v>0</v>
      </c>
      <c r="P100">
        <f ca="1"/>
        <v>35.14844806091196</v>
      </c>
      <c r="Q100">
        <f ca="1"/>
        <v>1695.6683041740191</v>
      </c>
    </row>
    <row r="101" spans="1:17">
      <c r="A101" s="2">
        <f ca="1"/>
        <v>100</v>
      </c>
      <c r="B101" s="2">
        <f ca="1"/>
        <v>-0.32881355932203382</v>
      </c>
      <c r="C101" s="7">
        <f ca="1"/>
        <v>2.4750000000000001E-2</v>
      </c>
      <c r="D101" s="4">
        <f ca="1"/>
        <v>0.6397075033341959</v>
      </c>
      <c r="E101" s="4">
        <f ca="1"/>
        <v>60.670133808390823</v>
      </c>
      <c r="F101" s="4">
        <f ca="1"/>
        <v>2426.3050832463027</v>
      </c>
      <c r="G101">
        <f ca="1"/>
        <v>-151591.5373859744</v>
      </c>
      <c r="H101">
        <f ca="1"/>
        <v>0.6397075033341959</v>
      </c>
      <c r="I101">
        <f ca="1"/>
        <v>7.5099944343484442E-3</v>
      </c>
      <c r="J101">
        <f ca="1"/>
        <v>9.0948110686610625E-3</v>
      </c>
      <c r="K101">
        <f ca="1"/>
        <v>0</v>
      </c>
      <c r="L101">
        <f ca="1"/>
        <v>0.60659989048032159</v>
      </c>
      <c r="M101">
        <f ca="1"/>
        <v>18.221537671211074</v>
      </c>
      <c r="N101">
        <f ca="1"/>
        <v>16.738386492062467</v>
      </c>
      <c r="O101">
        <f ca="1"/>
        <v>0</v>
      </c>
      <c r="P101">
        <f ca="1"/>
        <v>35.566524053753866</v>
      </c>
      <c r="Q101">
        <f ca="1"/>
        <v>1552.2315311841467</v>
      </c>
    </row>
    <row r="102" spans="1:17">
      <c r="A102" s="2">
        <f ca="1"/>
        <v>101</v>
      </c>
      <c r="B102" s="2">
        <f ca="1"/>
        <v>-0.32203389830508466</v>
      </c>
      <c r="C102" s="7">
        <f ca="1"/>
        <v>2.5000000000000001E-2</v>
      </c>
      <c r="D102" s="4">
        <f ca="1"/>
        <v>0.6549504621047999</v>
      </c>
      <c r="E102" s="4">
        <f ca="1"/>
        <v>61.271941744422378</v>
      </c>
      <c r="F102" s="4">
        <f ca="1"/>
        <v>2388.0346526031285</v>
      </c>
      <c r="G102">
        <f ca="1"/>
        <v>-154561.59505917149</v>
      </c>
      <c r="H102">
        <f ca="1"/>
        <v>0.6549504621047999</v>
      </c>
      <c r="I102">
        <f ca="1"/>
        <v>7.6485649216433988E-3</v>
      </c>
      <c r="J102">
        <f ca="1"/>
        <v>9.0836371150325897E-3</v>
      </c>
      <c r="K102">
        <f ca="1"/>
        <v>0</v>
      </c>
      <c r="L102">
        <f ca="1"/>
        <v>0.60839959294361634</v>
      </c>
      <c r="M102">
        <f ca="1"/>
        <v>18.265038075569169</v>
      </c>
      <c r="N102">
        <f ca="1"/>
        <v>17.051126157991249</v>
      </c>
      <c r="O102">
        <f ca="1"/>
        <v>0</v>
      </c>
      <c r="P102">
        <f ca="1"/>
        <v>35.924563826504034</v>
      </c>
      <c r="Q102">
        <f ca="1"/>
        <v>1393.0542132257801</v>
      </c>
    </row>
    <row r="103" spans="1:17">
      <c r="A103" s="2">
        <f ca="1"/>
        <v>102</v>
      </c>
      <c r="B103" s="2">
        <f ca="1"/>
        <v>-0.31525423728813551</v>
      </c>
      <c r="C103" s="7">
        <f ca="1"/>
        <v>2.5250000000000002E-2</v>
      </c>
      <c r="D103" s="4">
        <f ca="1"/>
        <v>0.67034266921421315</v>
      </c>
      <c r="E103" s="4">
        <f ca="1"/>
        <v>61.864089903034625</v>
      </c>
      <c r="F103" s="4">
        <f ca="1"/>
        <v>2349.0294420668447</v>
      </c>
      <c r="G103">
        <f ca="1"/>
        <v>-157469.77653084364</v>
      </c>
      <c r="H103">
        <f ca="1"/>
        <v>0.67034266921421315</v>
      </c>
      <c r="I103">
        <f ca="1"/>
        <v>7.7883306872081198E-3</v>
      </c>
      <c r="J103">
        <f ca="1"/>
        <v>9.0711284847040125E-3</v>
      </c>
      <c r="K103">
        <f ca="1"/>
        <v>0</v>
      </c>
      <c r="L103">
        <f ca="1"/>
        <v>0.60967753805954705</v>
      </c>
      <c r="M103">
        <f ca="1"/>
        <v>18.295018088804575</v>
      </c>
      <c r="N103">
        <f ca="1"/>
        <v>17.358355533502635</v>
      </c>
      <c r="O103">
        <f ca="1"/>
        <v>0</v>
      </c>
      <c r="P103">
        <f ca="1"/>
        <v>36.263051160366757</v>
      </c>
      <c r="Q103">
        <f ca="1"/>
        <v>1288.6632938325833</v>
      </c>
    </row>
    <row r="104" spans="1:17">
      <c r="A104" s="2">
        <f ca="1"/>
        <v>103</v>
      </c>
      <c r="B104" s="2">
        <f ca="1"/>
        <v>-0.30847457627118635</v>
      </c>
      <c r="C104" s="7">
        <f ca="1"/>
        <v>2.5500000000000002E-2</v>
      </c>
      <c r="D104" s="4">
        <f ca="1"/>
        <v>0.68588168691734475</v>
      </c>
      <c r="E104" s="4">
        <f ca="1"/>
        <v>62.446396522885578</v>
      </c>
      <c r="F104" s="4">
        <f ca="1"/>
        <v>2309.3049206878336</v>
      </c>
      <c r="G104">
        <f ca="1"/>
        <v>-160316.08180099085</v>
      </c>
      <c r="H104">
        <f ca="1"/>
        <v>0.68588168691734475</v>
      </c>
      <c r="I104">
        <f ca="1"/>
        <v>7.9291611225129292E-3</v>
      </c>
      <c r="J104">
        <f ca="1"/>
        <v>9.0511041592084007E-3</v>
      </c>
      <c r="K104">
        <f ca="1"/>
        <v>0</v>
      </c>
      <c r="L104">
        <f ca="1"/>
        <v>0.61041702781975338</v>
      </c>
      <c r="M104">
        <f ca="1"/>
        <v>18.310850797145772</v>
      </c>
      <c r="N104">
        <f ca="1"/>
        <v>17.647627648454801</v>
      </c>
      <c r="O104">
        <f ca="1"/>
        <v>0</v>
      </c>
      <c r="P104">
        <f ca="1"/>
        <v>36.568895473420326</v>
      </c>
      <c r="Q104">
        <f ca="1"/>
        <v>1142.4521779334773</v>
      </c>
    </row>
    <row r="105" spans="1:17">
      <c r="A105" s="2">
        <f ca="1"/>
        <v>104</v>
      </c>
      <c r="B105" s="2">
        <f ca="1"/>
        <v>-0.30169491525423719</v>
      </c>
      <c r="C105" s="7">
        <f ca="1"/>
        <v>2.5750000000000002E-2</v>
      </c>
      <c r="D105" s="4">
        <f ca="1"/>
        <v>0.70156503251217672</v>
      </c>
      <c r="E105" s="4">
        <f ca="1"/>
        <v>63.018683709895846</v>
      </c>
      <c r="F105" s="4">
        <f ca="1"/>
        <v>2268.8765575164757</v>
      </c>
      <c r="G105">
        <f ca="1"/>
        <v>-163100.51086961312</v>
      </c>
      <c r="H105">
        <f ca="1"/>
        <v>0.70156503251217672</v>
      </c>
      <c r="I105">
        <f ca="1"/>
        <v>8.0708867171290118E-3</v>
      </c>
      <c r="J105">
        <f ca="1"/>
        <v>9.0205139094876527E-3</v>
      </c>
      <c r="K105">
        <f ca="1"/>
        <v>0</v>
      </c>
      <c r="L105">
        <f ca="1"/>
        <v>0.61060234075028685</v>
      </c>
      <c r="M105">
        <f ca="1"/>
        <v>18.311845670865122</v>
      </c>
      <c r="N105">
        <f ca="1"/>
        <v>17.911829237718091</v>
      </c>
      <c r="O105">
        <f ca="1"/>
        <v>0</v>
      </c>
      <c r="P105">
        <f ca="1"/>
        <v>36.834277249333496</v>
      </c>
      <c r="Q105">
        <f ca="1"/>
        <v>978.46376249145715</v>
      </c>
    </row>
    <row r="106" spans="1:17">
      <c r="A106" s="2">
        <f ca="1"/>
        <v>105</v>
      </c>
      <c r="B106" s="2">
        <f ca="1"/>
        <v>-0.29491525423728804</v>
      </c>
      <c r="C106" s="7">
        <f ca="1"/>
        <v>2.6000000000000002E-2</v>
      </c>
      <c r="D106" s="4">
        <f ca="1"/>
        <v>0.71739017930657889</v>
      </c>
      <c r="E106" s="4">
        <f ca="1"/>
        <v>63.580777437248656</v>
      </c>
      <c r="F106" s="4">
        <f ca="1"/>
        <v>2227.7598216031538</v>
      </c>
      <c r="G106">
        <f ca="1"/>
        <v>-165823.06373671046</v>
      </c>
      <c r="H106">
        <f ca="1"/>
        <v>0.71739017930657889</v>
      </c>
      <c r="I106">
        <f ca="1"/>
        <v>8.2133419755798017E-3</v>
      </c>
      <c r="J106">
        <f ca="1"/>
        <v>8.9798326752317924E-3</v>
      </c>
      <c r="K106">
        <f ca="1"/>
        <v>0</v>
      </c>
      <c r="L106">
        <f ca="1"/>
        <v>0.61021879158007286</v>
      </c>
      <c r="M106">
        <f ca="1"/>
        <v>18.297353254283355</v>
      </c>
      <c r="N106">
        <f ca="1"/>
        <v>18.150555308802627</v>
      </c>
      <c r="O106">
        <f ca="1"/>
        <v>0</v>
      </c>
      <c r="P106">
        <f ca="1"/>
        <v>37.058127354666055</v>
      </c>
      <c r="Q106">
        <f ca="1"/>
        <v>802.8782715021996</v>
      </c>
    </row>
    <row r="107" spans="1:17">
      <c r="A107" s="2">
        <f ca="1"/>
        <v>106</v>
      </c>
      <c r="B107" s="2">
        <f ca="1"/>
        <v>-0.28813559322033899</v>
      </c>
      <c r="C107" s="7">
        <f ca="1"/>
        <v>2.6249999999999999E-2</v>
      </c>
      <c r="D107" s="4">
        <f ca="1"/>
        <v>0.73335455758512413</v>
      </c>
      <c r="E107" s="4">
        <f ca="1"/>
        <v>64.132507545389785</v>
      </c>
      <c r="F107" s="4">
        <f ca="1"/>
        <v>2185.9701819982483</v>
      </c>
      <c r="G107">
        <f ca="1"/>
        <v>-168483.7404022828</v>
      </c>
      <c r="H107">
        <f ca="1"/>
        <v>0.73335455758512413</v>
      </c>
      <c r="I107">
        <f ca="1"/>
        <v>8.356298724252937E-3</v>
      </c>
      <c r="J107">
        <f ca="1"/>
        <v>8.9277605750340116E-3</v>
      </c>
      <c r="K107">
        <f ca="1"/>
        <v>0</v>
      </c>
      <c r="L107">
        <f ca="1"/>
        <v>0.60925278546778194</v>
      </c>
      <c r="M107">
        <f ca="1"/>
        <v>18.266619843086922</v>
      </c>
      <c r="N107">
        <f ca="1"/>
        <v>18.359843756529891</v>
      </c>
      <c r="O107">
        <f ca="1"/>
        <v>0</v>
      </c>
      <c r="P107">
        <f ca="1"/>
        <v>37.235716385084594</v>
      </c>
      <c r="Q107">
        <f ca="1"/>
        <v>633.93079314365184</v>
      </c>
    </row>
    <row r="108" spans="1:17">
      <c r="A108" s="2">
        <f ca="1"/>
        <v>107</v>
      </c>
      <c r="B108" s="2">
        <f ca="1"/>
        <v>-0.28135593220338984</v>
      </c>
      <c r="C108" s="7">
        <f ca="1"/>
        <v>2.6499999999999999E-2</v>
      </c>
      <c r="D108" s="4">
        <f ca="1"/>
        <v>0.74945555557590582</v>
      </c>
      <c r="E108" s="4">
        <f ca="1"/>
        <v>64.673707742027673</v>
      </c>
      <c r="F108" s="4">
        <f ca="1"/>
        <v>2143.5231077521398</v>
      </c>
      <c r="G108">
        <f ca="1"/>
        <v>-171082.54086633024</v>
      </c>
      <c r="H108">
        <f ca="1"/>
        <v>0.74945555557590582</v>
      </c>
      <c r="I108">
        <f ca="1"/>
        <v>8.4996053352564688E-3</v>
      </c>
      <c r="J108">
        <f ca="1"/>
        <v>8.8691000558433399E-3</v>
      </c>
      <c r="K108">
        <f ca="1"/>
        <v>0</v>
      </c>
      <c r="L108">
        <f ca="1"/>
        <v>0.60765102316364794</v>
      </c>
      <c r="M108">
        <f ca="1"/>
        <v>18.219100442895613</v>
      </c>
      <c r="N108">
        <f ca="1"/>
        <v>18.548341285178619</v>
      </c>
      <c r="O108">
        <f ca="1"/>
        <v>0</v>
      </c>
      <c r="P108">
        <f ca="1"/>
        <v>37.375092751237879</v>
      </c>
      <c r="Q108">
        <f ca="1"/>
        <v>466.52379167879548</v>
      </c>
    </row>
    <row r="109" spans="1:17">
      <c r="A109" s="2">
        <f ca="1"/>
        <v>108</v>
      </c>
      <c r="B109" s="2">
        <f ca="1"/>
        <v>-0.27457627118644068</v>
      </c>
      <c r="C109" s="7">
        <f ca="1"/>
        <v>2.6749999999999999E-2</v>
      </c>
      <c r="D109" s="4">
        <f ca="1"/>
        <v>0.76569052041735119</v>
      </c>
      <c r="E109" s="4">
        <f ca="1"/>
        <v>65.204215602133289</v>
      </c>
      <c r="F109" s="4">
        <f ca="1"/>
        <v>2100.4340679152101</v>
      </c>
      <c r="G109">
        <f ca="1"/>
        <v>-173619.46512885278</v>
      </c>
      <c r="H109">
        <f ca="1"/>
        <v>0.76569052041735119</v>
      </c>
      <c r="I109">
        <f ca="1"/>
        <v>8.6430764732503551E-3</v>
      </c>
      <c r="J109">
        <f ca="1"/>
        <v>8.8010981522578455E-3</v>
      </c>
      <c r="K109">
        <f ca="1"/>
        <v>0</v>
      </c>
      <c r="L109">
        <f ca="1"/>
        <v>0.60543673640680462</v>
      </c>
      <c r="M109">
        <f ca="1"/>
        <v>18.154212276011492</v>
      </c>
      <c r="N109">
        <f ca="1"/>
        <v>18.709329268505698</v>
      </c>
      <c r="O109">
        <f ca="1"/>
        <v>0</v>
      </c>
      <c r="P109">
        <f ca="1"/>
        <v>37.468978280923992</v>
      </c>
      <c r="Q109">
        <f ca="1"/>
        <v>292.32499075133916</v>
      </c>
    </row>
    <row r="110" spans="1:17">
      <c r="A110" s="2">
        <f ca="1"/>
        <v>109</v>
      </c>
      <c r="B110" s="2">
        <f ca="1"/>
        <v>-0.26779661016949152</v>
      </c>
      <c r="C110" s="7">
        <f ca="1"/>
        <v>2.7E-2</v>
      </c>
      <c r="D110" s="4">
        <f ca="1"/>
        <v>0.78205675912503847</v>
      </c>
      <c r="E110" s="4">
        <f ca="1"/>
        <v>65.723872567940234</v>
      </c>
      <c r="F110" s="4">
        <f ca="1"/>
        <v>2056.7185315378406</v>
      </c>
      <c r="G110">
        <f ca="1"/>
        <v>-176094.51318985035</v>
      </c>
      <c r="H110">
        <f ca="1"/>
        <v>0.78205675912503847</v>
      </c>
      <c r="I110">
        <f ca="1"/>
        <v>8.7865208720745956E-3</v>
      </c>
      <c r="J110">
        <f ca="1"/>
        <v>8.7263278751554957E-3</v>
      </c>
      <c r="K110">
        <f ca="1"/>
        <v>0</v>
      </c>
      <c r="L110">
        <f ca="1"/>
        <v>0.60261233531578751</v>
      </c>
      <c r="M110">
        <f ca="1"/>
        <v>18.07140030533985</v>
      </c>
      <c r="N110">
        <f ca="1"/>
        <v>18.847242605957913</v>
      </c>
      <c r="O110">
        <f ca="1"/>
        <v>0</v>
      </c>
      <c r="P110">
        <f ca="1"/>
        <v>37.521255246613549</v>
      </c>
      <c r="Q110">
        <f ca="1"/>
        <v>108.68902577109897</v>
      </c>
    </row>
    <row r="111" spans="1:17">
      <c r="A111" s="2">
        <f ca="1"/>
        <v>110</v>
      </c>
      <c r="B111" s="2">
        <f ca="1"/>
        <v>-0.26101694915254237</v>
      </c>
      <c r="C111" s="7">
        <f ca="1"/>
        <v>2.725E-2</v>
      </c>
      <c r="D111" s="4">
        <f ca="1"/>
        <v>0.7985515395585121</v>
      </c>
      <c r="E111" s="4">
        <f ca="1"/>
        <v>66.232523948944703</v>
      </c>
      <c r="F111" s="4">
        <f ca="1"/>
        <v>2012.391967670412</v>
      </c>
      <c r="G111">
        <f ca="1"/>
        <v>-178507.68504932299</v>
      </c>
      <c r="H111">
        <f ca="1"/>
        <v>0.7985515395585121</v>
      </c>
      <c r="I111">
        <f ca="1"/>
        <v>8.929753669937977E-3</v>
      </c>
      <c r="J111">
        <f ca="1"/>
        <v>8.6414777831524108E-3</v>
      </c>
      <c r="K111">
        <f ca="1"/>
        <v>0</v>
      </c>
      <c r="L111">
        <f ca="1"/>
        <v>0.59916887681943887</v>
      </c>
      <c r="M111">
        <f ca="1"/>
        <v>17.970164558658567</v>
      </c>
      <c r="N111">
        <f ca="1"/>
        <v>18.953989358331537</v>
      </c>
      <c r="O111">
        <f ca="1"/>
        <v>0</v>
      </c>
      <c r="P111">
        <f ca="1"/>
        <v>37.523322793809541</v>
      </c>
      <c r="Q111">
        <f ca="1"/>
        <v>-101.00078747143462</v>
      </c>
    </row>
    <row r="112" spans="1:17">
      <c r="A112" s="2">
        <f ca="1"/>
        <v>111</v>
      </c>
      <c r="B112" s="2">
        <f ca="1"/>
        <v>-0.25423728813559321</v>
      </c>
      <c r="C112" s="7">
        <f ca="1"/>
        <v>2.75E-2</v>
      </c>
      <c r="D112" s="4">
        <f ca="1"/>
        <v>0.81517209138809821</v>
      </c>
      <c r="E112" s="4">
        <f ca="1"/>
        <v>66.730018921905469</v>
      </c>
      <c r="F112" s="4">
        <f ca="1"/>
        <v>1967.4698453633061</v>
      </c>
      <c r="G112">
        <f ca="1"/>
        <v>-180858.98070727068</v>
      </c>
      <c r="H112">
        <f ca="1"/>
        <v>0.81517209138809821</v>
      </c>
      <c r="I112">
        <f ca="1"/>
        <v>9.0725671730092685E-3</v>
      </c>
      <c r="J112">
        <f ca="1"/>
        <v>8.5452956027941111E-3</v>
      </c>
      <c r="K112">
        <f ca="1"/>
        <v>0</v>
      </c>
      <c r="L112">
        <f ca="1"/>
        <v>0.59509867111371251</v>
      </c>
      <c r="M112">
        <f ca="1"/>
        <v>17.850002332928753</v>
      </c>
      <c r="N112">
        <f ca="1"/>
        <v>19.025653848835368</v>
      </c>
      <c r="O112">
        <f ca="1"/>
        <v>0</v>
      </c>
      <c r="P112">
        <f ca="1"/>
        <v>37.470754852877832</v>
      </c>
      <c r="Q112">
        <f ca="1"/>
        <v>-312.39558589646748</v>
      </c>
    </row>
    <row r="113" spans="1:17">
      <c r="A113" s="2">
        <f ca="1"/>
        <v>112</v>
      </c>
      <c r="B113" s="2">
        <f ca="1"/>
        <v>-0.24745762711864405</v>
      </c>
      <c r="C113" s="7">
        <f ca="1"/>
        <v>2.775E-2</v>
      </c>
      <c r="D113" s="4">
        <f ca="1"/>
        <v>0.83191560706172063</v>
      </c>
      <c r="E113" s="4">
        <f ca="1"/>
        <v>67.21621053084391</v>
      </c>
      <c r="F113" s="4">
        <f ca="1"/>
        <v>1921.9676336669038</v>
      </c>
      <c r="G113">
        <f ca="1"/>
        <v>-183148.40016369341</v>
      </c>
      <c r="H113">
        <f ca="1"/>
        <v>0.83191560706172063</v>
      </c>
      <c r="I113">
        <f ca="1"/>
        <v>9.2147654723924201E-3</v>
      </c>
      <c r="J113">
        <f ca="1"/>
        <v>8.4400923853355219E-3</v>
      </c>
      <c r="K113">
        <f ca="1"/>
        <v>0</v>
      </c>
      <c r="L113">
        <f ca="1"/>
        <v>0.59039530844828247</v>
      </c>
      <c r="M113">
        <f ca="1"/>
        <v>17.710480989769547</v>
      </c>
      <c r="N113">
        <f ca="1"/>
        <v>19.066248702643477</v>
      </c>
      <c r="O113">
        <f ca="1"/>
        <v>0</v>
      </c>
      <c r="P113">
        <f ca="1"/>
        <v>37.367125000861307</v>
      </c>
      <c r="Q113">
        <f ca="1"/>
        <v>-519.89079449849339</v>
      </c>
    </row>
    <row r="114" spans="1:17">
      <c r="A114" s="2">
        <f ca="1"/>
        <v>113</v>
      </c>
      <c r="B114" s="2">
        <f ca="1"/>
        <v>-0.2406779661016949</v>
      </c>
      <c r="C114" s="7">
        <f ca="1"/>
        <v>2.8000000000000001E-2</v>
      </c>
      <c r="D114" s="4">
        <f ca="1"/>
        <v>0.84877924277171612</v>
      </c>
      <c r="E114" s="4">
        <f ca="1"/>
        <v>67.69095568704401</v>
      </c>
      <c r="F114" s="4">
        <f ca="1"/>
        <v>1875.9008016315868</v>
      </c>
      <c r="G114">
        <f ca="1"/>
        <v>-185375.94341859125</v>
      </c>
      <c r="H114">
        <f ca="1"/>
        <v>0.84877924277171612</v>
      </c>
      <c r="I114">
        <f ca="1"/>
        <v>9.3561782397501743E-3</v>
      </c>
      <c r="J114">
        <f ca="1"/>
        <v>8.3257184297632538E-3</v>
      </c>
      <c r="K114">
        <f ca="1"/>
        <v>0</v>
      </c>
      <c r="L114">
        <f ca="1"/>
        <v>0.5850536812655186</v>
      </c>
      <c r="M114">
        <f ca="1"/>
        <v>17.551262260155362</v>
      </c>
      <c r="N114">
        <f ca="1"/>
        <v>19.074493514207706</v>
      </c>
      <c r="O114">
        <f ca="1"/>
        <v>0</v>
      </c>
      <c r="P114">
        <f ca="1"/>
        <v>37.210809455628585</v>
      </c>
      <c r="Q114">
        <f ca="1"/>
        <v>-723.31743118201007</v>
      </c>
    </row>
    <row r="115" spans="1:17">
      <c r="A115" s="2">
        <f ca="1"/>
        <v>114</v>
      </c>
      <c r="B115" s="2">
        <f ca="1"/>
        <v>-0.23389830508474574</v>
      </c>
      <c r="C115" s="7">
        <f ca="1"/>
        <v>2.8250000000000001E-2</v>
      </c>
      <c r="D115" s="4">
        <f ca="1"/>
        <v>0.86576011942165088</v>
      </c>
      <c r="E115" s="4">
        <f ca="1"/>
        <v>68.154115169052332</v>
      </c>
      <c r="F115" s="4">
        <f ca="1"/>
        <v>1829.2848183077353</v>
      </c>
      <c r="G115">
        <f ca="1"/>
        <v>-187541.61047196414</v>
      </c>
      <c r="H115">
        <f ca="1"/>
        <v>0.86576011942165088</v>
      </c>
      <c r="I115">
        <f ca="1"/>
        <v>9.4965629253508585E-3</v>
      </c>
      <c r="J115">
        <f ca="1"/>
        <v>8.2043254830873186E-3</v>
      </c>
      <c r="K115">
        <f ca="1"/>
        <v>0</v>
      </c>
      <c r="L115">
        <f ca="1"/>
        <v>0.57907000186834046</v>
      </c>
      <c r="M115">
        <f ca="1"/>
        <v>17.371918385448421</v>
      </c>
      <c r="N115">
        <f ca="1"/>
        <v>19.054477897953539</v>
      </c>
      <c r="O115">
        <f ca="1"/>
        <v>0</v>
      </c>
      <c r="P115">
        <f ca="1"/>
        <v>37.005466285270302</v>
      </c>
      <c r="Q115">
        <f ca="1"/>
        <v>-918.07638829085568</v>
      </c>
    </row>
    <row r="116" spans="1:17">
      <c r="A116" s="2">
        <f ca="1"/>
        <v>115</v>
      </c>
      <c r="B116" s="2">
        <f ca="1"/>
        <v>-0.22711864406779658</v>
      </c>
      <c r="C116" s="7">
        <f ca="1"/>
        <v>2.8500000000000001E-2</v>
      </c>
      <c r="D116" s="4">
        <f ca="1"/>
        <v>0.88285532359313479</v>
      </c>
      <c r="E116" s="4">
        <f ca="1"/>
        <v>68.60555362267803</v>
      </c>
      <c r="F116" s="4">
        <f ca="1"/>
        <v>1782.1351527457314</v>
      </c>
      <c r="G116">
        <f ca="1"/>
        <v>-189645.40132381208</v>
      </c>
      <c r="H116">
        <f ca="1"/>
        <v>0.88285532359313479</v>
      </c>
      <c r="I116">
        <f ca="1"/>
        <v>9.6357438334220037E-3</v>
      </c>
      <c r="J116">
        <f ca="1"/>
        <v>8.0765899011341381E-3</v>
      </c>
      <c r="K116">
        <f ca="1"/>
        <v>0</v>
      </c>
      <c r="L116">
        <f ca="1"/>
        <v>0.572441815733716</v>
      </c>
      <c r="M116">
        <f ca="1"/>
        <v>17.172197808394262</v>
      </c>
      <c r="N116">
        <f ca="1"/>
        <v>19.00713163735518</v>
      </c>
      <c r="O116">
        <f ca="1"/>
        <v>0</v>
      </c>
      <c r="P116">
        <f ca="1"/>
        <v>36.751771261483157</v>
      </c>
      <c r="Q116">
        <f ca="1"/>
        <v>-1120.9672678841675</v>
      </c>
    </row>
    <row r="117" spans="1:17">
      <c r="A117" s="2">
        <f ca="1"/>
        <v>116</v>
      </c>
      <c r="B117" s="2">
        <f ca="1"/>
        <v>-0.22033898305084743</v>
      </c>
      <c r="C117" s="7">
        <f ca="1"/>
        <v>2.8750000000000001E-2</v>
      </c>
      <c r="D117" s="4">
        <f ca="1"/>
        <v>0.90006190851263823</v>
      </c>
      <c r="E117" s="4">
        <f ca="1"/>
        <v>69.04513956099288</v>
      </c>
      <c r="F117" s="4">
        <f ca="1"/>
        <v>1734.4672739959565</v>
      </c>
      <c r="G117">
        <f ca="1"/>
        <v>-191687.31597413507</v>
      </c>
      <c r="H117">
        <f ca="1"/>
        <v>0.90006190851263823</v>
      </c>
      <c r="I117">
        <f ca="1"/>
        <v>9.7735310249752478E-3</v>
      </c>
      <c r="J117">
        <f ca="1"/>
        <v>7.9408544487372789E-3</v>
      </c>
      <c r="K117">
        <f ca="1"/>
        <v>0</v>
      </c>
      <c r="L117">
        <f ca="1"/>
        <v>0.56516801066544498</v>
      </c>
      <c r="M117">
        <f ca="1"/>
        <v>16.951869714203724</v>
      </c>
      <c r="N117">
        <f ca="1"/>
        <v>18.927944926459045</v>
      </c>
      <c r="O117">
        <f ca="1"/>
        <v>0</v>
      </c>
      <c r="P117">
        <f ca="1"/>
        <v>36.444982651328218</v>
      </c>
      <c r="Q117">
        <f ca="1"/>
        <v>-1358.4787421061139</v>
      </c>
    </row>
    <row r="118" spans="1:17">
      <c r="A118" s="2">
        <f ca="1"/>
        <v>117</v>
      </c>
      <c r="B118" s="2">
        <f ca="1"/>
        <v>-0.21355932203389827</v>
      </c>
      <c r="C118" s="7">
        <f ca="1"/>
        <v>2.9000000000000001E-2</v>
      </c>
      <c r="D118" s="4">
        <f ca="1"/>
        <v>0.91737689501830755</v>
      </c>
      <c r="E118" s="4">
        <f ca="1"/>
        <v>69.472745364331232</v>
      </c>
      <c r="F118" s="4">
        <f ca="1"/>
        <v>1686.2966511087909</v>
      </c>
      <c r="G118">
        <f ca="1"/>
        <v>-193667.35442293313</v>
      </c>
      <c r="H118">
        <f ca="1"/>
        <v>0.91737689501830755</v>
      </c>
      <c r="I118">
        <f ca="1"/>
        <v>9.9097299350059294E-3</v>
      </c>
      <c r="J118">
        <f ca="1"/>
        <v>7.7922657665543604E-3</v>
      </c>
      <c r="K118">
        <f ca="1"/>
        <v>0</v>
      </c>
      <c r="L118">
        <f ca="1"/>
        <v>0.55724882191373759</v>
      </c>
      <c r="M118">
        <f ca="1"/>
        <v>16.710744402793036</v>
      </c>
      <c r="N118">
        <f ca="1"/>
        <v>18.804538665723328</v>
      </c>
      <c r="O118">
        <f ca="1"/>
        <v>0</v>
      </c>
      <c r="P118">
        <f ca="1"/>
        <v>36.072531890430099</v>
      </c>
      <c r="Q118">
        <f ca="1"/>
        <v>-1596.6659439965965</v>
      </c>
    </row>
    <row r="119" spans="1:17">
      <c r="A119" s="2">
        <f ca="1"/>
        <v>118</v>
      </c>
      <c r="B119" s="2">
        <f ca="1"/>
        <v>-0.20677966101694911</v>
      </c>
      <c r="C119" s="7">
        <f ca="1"/>
        <v>2.9250000000000002E-2</v>
      </c>
      <c r="D119" s="4">
        <f ca="1"/>
        <v>0.93479727252677991</v>
      </c>
      <c r="E119" s="4">
        <f ca="1"/>
        <v>69.888247280290031</v>
      </c>
      <c r="F119" s="4">
        <f ca="1"/>
        <v>1637.6387531346165</v>
      </c>
      <c r="G119">
        <f ca="1"/>
        <v>-195585.51667020624</v>
      </c>
      <c r="H119">
        <f ca="1"/>
        <v>0.93479727252677991</v>
      </c>
      <c r="I119">
        <f ca="1"/>
        <v>1.0044132396231397E-2</v>
      </c>
      <c r="J119">
        <f ca="1"/>
        <v>7.6363233885462858E-3</v>
      </c>
      <c r="K119">
        <f ca="1"/>
        <v>0</v>
      </c>
      <c r="L119">
        <f ca="1"/>
        <v>0.54868583345317301</v>
      </c>
      <c r="M119">
        <f ca="1"/>
        <v>16.448660453683395</v>
      </c>
      <c r="N119">
        <f ca="1"/>
        <v>18.64930339219335</v>
      </c>
      <c r="O119">
        <f ca="1"/>
        <v>0</v>
      </c>
      <c r="P119">
        <f ca="1"/>
        <v>35.646649679329919</v>
      </c>
      <c r="Q119">
        <f ca="1"/>
        <v>-1809.0412383742189</v>
      </c>
    </row>
    <row r="120" spans="1:17">
      <c r="A120" s="2">
        <f ca="1"/>
        <v>119</v>
      </c>
      <c r="B120" s="2">
        <f ca="1"/>
        <v>-0.19999999999999996</v>
      </c>
      <c r="C120" s="7">
        <f ca="1"/>
        <v>2.9500000000000002E-2</v>
      </c>
      <c r="D120" s="4">
        <f ca="1"/>
        <v>0.95232000000000017</v>
      </c>
      <c r="E120" s="4">
        <f ca="1"/>
        <v>70.291525423728814</v>
      </c>
      <c r="F120" s="4">
        <f ca="1"/>
        <v>1588.509049123815</v>
      </c>
      <c r="G120">
        <f ca="1"/>
        <v>-197441.80271595443</v>
      </c>
      <c r="H120">
        <f ca="1"/>
        <v>0.95232000000000017</v>
      </c>
      <c r="I120">
        <f ca="1"/>
        <v>1.0176546203092414E-2</v>
      </c>
      <c r="J120">
        <f ca="1"/>
        <v>7.4735368030270149E-3</v>
      </c>
      <c r="K120">
        <f ca="1"/>
        <v>0</v>
      </c>
      <c r="L120">
        <f ca="1"/>
        <v>0.53948197555230581</v>
      </c>
      <c r="M120">
        <f ca="1"/>
        <v>16.165535732438901</v>
      </c>
      <c r="N120">
        <f ca="1"/>
        <v>18.462993563251786</v>
      </c>
      <c r="O120">
        <f ca="1"/>
        <v>0</v>
      </c>
      <c r="P120">
        <f ca="1"/>
        <v>35.168011271242989</v>
      </c>
      <c r="Q120">
        <f ca="1"/>
        <v>-2011.1905208813835</v>
      </c>
    </row>
    <row r="121" spans="1:17">
      <c r="A121" s="2">
        <f ca="1"/>
        <v>120</v>
      </c>
      <c r="B121" s="2">
        <f ca="1"/>
        <v>-0.1932203389830508</v>
      </c>
      <c r="C121" s="7">
        <f ca="1"/>
        <v>2.9750000000000002E-2</v>
      </c>
      <c r="D121" s="4">
        <f ca="1"/>
        <v>0.96994200691203547</v>
      </c>
      <c r="E121" s="4">
        <f ca="1"/>
        <v>70.682463776769751</v>
      </c>
      <c r="F121" s="4">
        <f ca="1"/>
        <v>1538.9230081267665</v>
      </c>
      <c r="G121">
        <f ca="1"/>
        <v>-199236.21256017766</v>
      </c>
      <c r="H121">
        <f ca="1"/>
        <v>0.96994200691203547</v>
      </c>
      <c r="I121">
        <f ca="1"/>
        <v>1.0306787691021342E-2</v>
      </c>
      <c r="J121">
        <f ca="1"/>
        <v>7.3058531420999969E-3</v>
      </c>
      <c r="K121">
        <f ca="1"/>
        <v>0</v>
      </c>
      <c r="L121">
        <f ca="1"/>
        <v>0.52964151878746069</v>
      </c>
      <c r="M121">
        <f ca="1"/>
        <v>15.861352717590494</v>
      </c>
      <c r="N121">
        <f ca="1"/>
        <v>18.25006018251127</v>
      </c>
      <c r="O121">
        <f ca="1"/>
        <v>0</v>
      </c>
      <c r="P121">
        <f ca="1"/>
        <v>34.641054418889226</v>
      </c>
      <c r="Q121">
        <f ca="1"/>
        <v>-2211.1422505324604</v>
      </c>
    </row>
    <row r="122" spans="1:17">
      <c r="A122" s="2">
        <f ca="1"/>
        <v>121</v>
      </c>
      <c r="B122" s="2">
        <f ca="1"/>
        <v>-0.18644067796610164</v>
      </c>
      <c r="C122" s="7">
        <f ca="1"/>
        <v>0.03</v>
      </c>
      <c r="D122" s="4">
        <f ca="1"/>
        <v>0.98766019421589146</v>
      </c>
      <c r="E122" s="4">
        <f ca="1"/>
        <v>71.060950188797548</v>
      </c>
      <c r="F122" s="4">
        <f ca="1"/>
        <v>1488.8960991938529</v>
      </c>
      <c r="G122">
        <f ca="1"/>
        <v>-200968.74620287598</v>
      </c>
      <c r="H122">
        <f ca="1"/>
        <v>0.98766019421589146</v>
      </c>
      <c r="I122">
        <f ca="1"/>
        <v>1.0434676112845025E-2</v>
      </c>
      <c r="J122">
        <f ca="1"/>
        <v>7.1320153689915259E-3</v>
      </c>
      <c r="K122">
        <f ca="1"/>
        <v>0</v>
      </c>
      <c r="L122">
        <f ca="1"/>
        <v>0.51917006470392346</v>
      </c>
      <c r="M122">
        <f ca="1"/>
        <v>15.536148560766234</v>
      </c>
      <c r="N122">
        <f ca="1"/>
        <v>18.007121520506612</v>
      </c>
      <c r="O122">
        <f ca="1"/>
        <v>0</v>
      </c>
      <c r="P122">
        <f ca="1"/>
        <v>34.062440145976765</v>
      </c>
      <c r="Q122">
        <f ca="1"/>
        <v>-2457.7399888762707</v>
      </c>
    </row>
    <row r="123" spans="1:17">
      <c r="A123" s="2">
        <f ca="1"/>
        <v>122</v>
      </c>
      <c r="B123" s="2">
        <f ca="1"/>
        <v>-0.17966101694915249</v>
      </c>
      <c r="C123" s="7">
        <f ca="1"/>
        <v>3.0249999999999999E-2</v>
      </c>
      <c r="D123" s="4">
        <f ca="1"/>
        <v>1.005471435310328</v>
      </c>
      <c r="E123" s="4">
        <f ca="1"/>
        <v>71.42687637645956</v>
      </c>
      <c r="F123" s="4">
        <f ca="1"/>
        <v>1438.4437913754557</v>
      </c>
      <c r="G123">
        <f ca="1"/>
        <v>-202639.40364404937</v>
      </c>
      <c r="H123">
        <f ca="1"/>
        <v>1.005471435310328</v>
      </c>
      <c r="I123">
        <f ca="1"/>
        <v>1.0560019951569919E-2</v>
      </c>
      <c r="J123">
        <f ca="1"/>
        <v>6.9442625649248036E-3</v>
      </c>
      <c r="K123">
        <f ca="1"/>
        <v>0</v>
      </c>
      <c r="L123">
        <f ca="1"/>
        <v>0.5080745332084885</v>
      </c>
      <c r="M123">
        <f ca="1"/>
        <v>15.189995136136689</v>
      </c>
      <c r="N123">
        <f ca="1"/>
        <v>17.714114755105918</v>
      </c>
      <c r="O123">
        <f ca="1"/>
        <v>0</v>
      </c>
      <c r="P123">
        <f ca="1"/>
        <v>33.412184424451098</v>
      </c>
      <c r="Q123">
        <f ca="1"/>
        <v>-2701.8007874228661</v>
      </c>
    </row>
    <row r="124" spans="1:17">
      <c r="A124" s="2">
        <f ca="1"/>
        <v>123</v>
      </c>
      <c r="B124" s="2">
        <f ca="1"/>
        <v>-0.17288135593220333</v>
      </c>
      <c r="C124" s="7">
        <f ca="1"/>
        <v>3.0499999999999999E-2</v>
      </c>
      <c r="D124" s="4">
        <f ca="1"/>
        <v>1.0233725770066742</v>
      </c>
      <c r="E124" s="4">
        <f ca="1"/>
        <v>71.780137923665677</v>
      </c>
      <c r="F124" s="4">
        <f ca="1"/>
        <v>1387.5815537219555</v>
      </c>
      <c r="G124">
        <f ca="1"/>
        <v>-204248.18488369777</v>
      </c>
      <c r="H124">
        <f ca="1"/>
        <v>1.0233725770066742</v>
      </c>
      <c r="I124">
        <f ca="1"/>
        <v>1.0682624334259325E-2</v>
      </c>
      <c r="J124">
        <f ca="1"/>
        <v>6.7511078193522797E-3</v>
      </c>
      <c r="K124">
        <f ca="1"/>
        <v>0</v>
      </c>
      <c r="L124">
        <f ca="1"/>
        <v>0.49636314687733274</v>
      </c>
      <c r="M124">
        <f ca="1"/>
        <v>14.823012471559524</v>
      </c>
      <c r="N124">
        <f ca="1"/>
        <v>17.392164133828476</v>
      </c>
      <c r="O124">
        <f ca="1"/>
        <v>0</v>
      </c>
      <c r="P124">
        <f ca="1"/>
        <v>32.711539752265331</v>
      </c>
      <c r="Q124">
        <f ca="1"/>
        <v>-2898.8517482987509</v>
      </c>
    </row>
    <row r="125" spans="1:17">
      <c r="A125" s="2">
        <f ca="1"/>
        <v>124</v>
      </c>
      <c r="B125" s="2">
        <f ca="1"/>
        <v>-0.16610169491525417</v>
      </c>
      <c r="C125" s="7">
        <f ca="1"/>
        <v>3.075E-2</v>
      </c>
      <c r="D125" s="4">
        <f ca="1"/>
        <v>1.0413604404956449</v>
      </c>
      <c r="E125" s="4">
        <f ca="1"/>
        <v>72.120634281588465</v>
      </c>
      <c r="F125" s="4">
        <f ca="1"/>
        <v>1336.3248552837335</v>
      </c>
      <c r="G125">
        <f ca="1"/>
        <v>-205795.08992182123</v>
      </c>
      <c r="H125">
        <f ca="1"/>
        <v>1.0413604404956449</v>
      </c>
      <c r="I125">
        <f ca="1"/>
        <v>1.0802318139689973E-2</v>
      </c>
      <c r="J125">
        <f ca="1"/>
        <v>6.5533714576662874E-3</v>
      </c>
      <c r="K125">
        <f ca="1"/>
        <v>0</v>
      </c>
      <c r="L125">
        <f ca="1"/>
        <v>0.48404541232595361</v>
      </c>
      <c r="M125">
        <f ca="1"/>
        <v>14.435406224750054</v>
      </c>
      <c r="N125">
        <f ca="1"/>
        <v>17.043306913225717</v>
      </c>
      <c r="O125">
        <f ca="1"/>
        <v>0</v>
      </c>
      <c r="P125">
        <f ca="1"/>
        <v>31.962758550301722</v>
      </c>
      <c r="Q125">
        <f ca="1"/>
        <v>-3074.8329967365794</v>
      </c>
    </row>
    <row r="126" spans="1:17">
      <c r="A126" s="2">
        <f ca="1"/>
        <v>125</v>
      </c>
      <c r="B126" s="2">
        <f ca="1"/>
        <v>-0.15932203389830502</v>
      </c>
      <c r="C126" s="7">
        <f ca="1"/>
        <v>3.1E-2</v>
      </c>
      <c r="D126" s="4">
        <f ca="1"/>
        <v>1.0594318223141554</v>
      </c>
      <c r="E126" s="4">
        <f ca="1"/>
        <v>72.448268768663027</v>
      </c>
      <c r="F126" s="4">
        <f ca="1"/>
        <v>1284.6891651111716</v>
      </c>
      <c r="G126">
        <f ca="1"/>
        <v>-207280.11875841979</v>
      </c>
      <c r="H126">
        <f ca="1"/>
        <v>1.0594318223141554</v>
      </c>
      <c r="I126">
        <f ca="1"/>
        <v>1.0918942362744991E-2</v>
      </c>
      <c r="J126">
        <f ca="1"/>
        <v>6.354099156103344E-3</v>
      </c>
      <c r="K126">
        <f ca="1"/>
        <v>0</v>
      </c>
      <c r="L126">
        <f ca="1"/>
        <v>0.47113209877444606</v>
      </c>
      <c r="M126">
        <f ca="1"/>
        <v>14.027446947891866</v>
      </c>
      <c r="N126">
        <f ca="1"/>
        <v>16.675544207230729</v>
      </c>
      <c r="O126">
        <f ca="1"/>
        <v>0</v>
      </c>
      <c r="P126">
        <f ca="1"/>
        <v>31.17412325389704</v>
      </c>
      <c r="Q126">
        <f ca="1"/>
        <v>-3299.5360966761609</v>
      </c>
    </row>
    <row r="127" spans="1:17">
      <c r="A127" s="2">
        <f ca="1"/>
        <v>126</v>
      </c>
      <c r="B127" s="2">
        <f ca="1"/>
        <v>-0.15254237288135586</v>
      </c>
      <c r="C127" s="7">
        <f ca="1"/>
        <v>3.125E-2</v>
      </c>
      <c r="D127" s="4">
        <f ca="1"/>
        <v>1.0775834953121382</v>
      </c>
      <c r="E127" s="4">
        <f ca="1"/>
        <v>72.762948570587056</v>
      </c>
      <c r="F127" s="4">
        <f ca="1"/>
        <v>1232.6899522546507</v>
      </c>
      <c r="G127">
        <f ca="1"/>
        <v>-208703.2713934934</v>
      </c>
      <c r="H127">
        <f ca="1"/>
        <v>1.0775834953121382</v>
      </c>
      <c r="I127">
        <f ca="1"/>
        <v>1.1032337274663738E-2</v>
      </c>
      <c r="J127">
        <f ca="1"/>
        <v>6.1407376248331048E-3</v>
      </c>
      <c r="K127">
        <f ca="1"/>
        <v>0</v>
      </c>
      <c r="L127">
        <f ca="1"/>
        <v>0.45763521393940265</v>
      </c>
      <c r="M127">
        <f ca="1"/>
        <v>13.599451308362447</v>
      </c>
      <c r="N127">
        <f ca="1"/>
        <v>16.255903979661792</v>
      </c>
      <c r="O127">
        <f ca="1"/>
        <v>0</v>
      </c>
      <c r="P127">
        <f ca="1"/>
        <v>30.31299050196364</v>
      </c>
      <c r="Q127">
        <f ca="1"/>
        <v>-3549.5791318054485</v>
      </c>
    </row>
    <row r="128" spans="1:17">
      <c r="A128" s="2">
        <f ca="1"/>
        <v>127</v>
      </c>
      <c r="B128" s="2">
        <f ca="1"/>
        <v>-0.1457627118644067</v>
      </c>
      <c r="C128" s="7">
        <f ca="1"/>
        <v>3.15E-2</v>
      </c>
      <c r="D128" s="4">
        <f ca="1"/>
        <v>1.0958122096193574</v>
      </c>
      <c r="E128" s="4">
        <f ca="1"/>
        <v>73.064584740320882</v>
      </c>
      <c r="F128" s="4">
        <f ca="1"/>
        <v>1180.342685764552</v>
      </c>
      <c r="G128">
        <f ca="1"/>
        <v>-210064.54782704209</v>
      </c>
      <c r="H128">
        <f ca="1"/>
        <v>1.0958122096193574</v>
      </c>
      <c r="I128">
        <f ca="1"/>
        <v>1.1142293246935981E-2</v>
      </c>
      <c r="J128">
        <f ca="1"/>
        <v>5.9208534660405623E-3</v>
      </c>
      <c r="K128">
        <f ca="1"/>
        <v>0</v>
      </c>
      <c r="L128">
        <f ca="1"/>
        <v>0.44356797736460168</v>
      </c>
      <c r="M128">
        <f ca="1"/>
        <v>13.151724336664648</v>
      </c>
      <c r="N128">
        <f ca="1"/>
        <v>15.804041373965065</v>
      </c>
      <c r="O128">
        <f ca="1"/>
        <v>0</v>
      </c>
      <c r="P128">
        <f ca="1"/>
        <v>29.399333687994314</v>
      </c>
      <c r="Q128">
        <f ca="1"/>
        <v>-3734.1359398777849</v>
      </c>
    </row>
    <row r="129" spans="1:17">
      <c r="A129" s="2">
        <f ca="1"/>
        <v>128</v>
      </c>
      <c r="B129" s="2">
        <f ca="1"/>
        <v>-0.13898305084745755</v>
      </c>
      <c r="C129" s="7">
        <f ca="1"/>
        <v>3.175E-2</v>
      </c>
      <c r="D129" s="4">
        <f ca="1"/>
        <v>1.1141146936122257</v>
      </c>
      <c r="E129" s="4">
        <f ca="1"/>
        <v>73.35309219808741</v>
      </c>
      <c r="F129" s="4">
        <f ca="1"/>
        <v>1127.6628346912566</v>
      </c>
      <c r="G129">
        <f ca="1"/>
        <v>-211363.94805906579</v>
      </c>
      <c r="H129">
        <f ca="1"/>
        <v>1.1141146936122257</v>
      </c>
      <c r="I129">
        <f ca="1"/>
        <v>1.1248650040683057E-2</v>
      </c>
      <c r="J129">
        <f ca="1"/>
        <v>5.6990210020401791E-3</v>
      </c>
      <c r="K129">
        <f ca="1"/>
        <v>0</v>
      </c>
      <c r="L129">
        <f ca="1"/>
        <v>0.42894479136732538</v>
      </c>
      <c r="M129">
        <f ca="1"/>
        <v>12.684684591326574</v>
      </c>
      <c r="N129">
        <f ca="1"/>
        <v>15.332293149330848</v>
      </c>
      <c r="O129">
        <f ca="1"/>
        <v>0</v>
      </c>
      <c r="P129">
        <f ca="1"/>
        <v>28.445922532024746</v>
      </c>
      <c r="Q129">
        <f ca="1"/>
        <v>-3894.346900391849</v>
      </c>
    </row>
    <row r="130" spans="1:17">
      <c r="A130" s="2">
        <f ca="1"/>
        <v>129</v>
      </c>
      <c r="B130" s="2">
        <f ca="1"/>
        <v>-0.13220338983050839</v>
      </c>
      <c r="C130" s="7">
        <f ca="1"/>
        <v>3.2000000000000001E-2</v>
      </c>
      <c r="D130" s="4">
        <f ca="1"/>
        <v>1.1324876548806186</v>
      </c>
      <c r="E130" s="4">
        <f ca="1"/>
        <v>73.62838973137211</v>
      </c>
      <c r="F130" s="4">
        <f ca="1"/>
        <v>1074.6658680851463</v>
      </c>
      <c r="G130">
        <f ca="1"/>
        <v>-212601.47208956457</v>
      </c>
      <c r="H130">
        <f ca="1"/>
        <v>1.1324876548806186</v>
      </c>
      <c r="I130">
        <f ca="1"/>
        <v>1.135129128527167E-2</v>
      </c>
      <c r="J130">
        <f ca="1"/>
        <v>5.474691427494338E-3</v>
      </c>
      <c r="K130">
        <f ca="1"/>
        <v>0</v>
      </c>
      <c r="L130">
        <f ca="1"/>
        <v>0.41378120965110027</v>
      </c>
      <c r="M130">
        <f ca="1"/>
        <v>12.198845302973835</v>
      </c>
      <c r="N130">
        <f ca="1"/>
        <v>14.839533725173455</v>
      </c>
      <c r="O130">
        <f ca="1"/>
        <v>0</v>
      </c>
      <c r="P130">
        <f ca="1"/>
        <v>27.452160237798388</v>
      </c>
      <c r="Q130">
        <f ca="1"/>
        <v>-4113.0440730329346</v>
      </c>
    </row>
    <row r="131" spans="1:17">
      <c r="A131" s="2">
        <f ca="1"/>
        <v>130</v>
      </c>
      <c r="B131" s="2">
        <f ca="1"/>
        <v>-0.12542372881355923</v>
      </c>
      <c r="C131" s="7">
        <f ca="1"/>
        <v>3.2250000000000001E-2</v>
      </c>
      <c r="D131" s="4">
        <f ca="1"/>
        <v>1.1509277811946914</v>
      </c>
      <c r="E131" s="4">
        <f ca="1"/>
        <v>73.890399994923115</v>
      </c>
      <c r="F131" s="4">
        <f ca="1"/>
        <v>1021.3672549966016</v>
      </c>
      <c r="G131">
        <f ca="1"/>
        <v>-213777.11991853846</v>
      </c>
      <c r="H131">
        <f ca="1"/>
        <v>1.1509277811946914</v>
      </c>
      <c r="I131">
        <f ca="1"/>
        <v>1.1450068307859898E-2</v>
      </c>
      <c r="J131">
        <f ca="1"/>
        <v>5.2370433963645586E-3</v>
      </c>
      <c r="K131">
        <f ca="1"/>
        <v>0</v>
      </c>
      <c r="L131">
        <f ca="1"/>
        <v>0.39809390376453135</v>
      </c>
      <c r="M131">
        <f ca="1"/>
        <v>11.694724837122447</v>
      </c>
      <c r="N131">
        <f ca="1"/>
        <v>14.296581754621299</v>
      </c>
      <c r="O131">
        <f ca="1"/>
        <v>0</v>
      </c>
      <c r="P131">
        <f ca="1"/>
        <v>26.389400495508276</v>
      </c>
      <c r="Q131">
        <f ca="1"/>
        <v>-4332.0624482574985</v>
      </c>
    </row>
    <row r="132" spans="1:17">
      <c r="A132" s="2">
        <f ca="1"/>
        <v>131</v>
      </c>
      <c r="B132" s="2">
        <f ca="1"/>
        <v>-0.11864406779661008</v>
      </c>
      <c r="C132" s="7">
        <f ca="1"/>
        <v>3.2500000000000001E-2</v>
      </c>
      <c r="D132" s="4">
        <f ca="1"/>
        <v>1.1694317414716942</v>
      </c>
      <c r="E132" s="4">
        <f ca="1"/>
        <v>74.139049510751079</v>
      </c>
      <c r="F132" s="4">
        <f ca="1"/>
        <v>967.78246447600407</v>
      </c>
      <c r="G132">
        <f ca="1"/>
        <v>-214890.89154598734</v>
      </c>
      <c r="H132">
        <f ca="1"/>
        <v>1.1694317414716942</v>
      </c>
      <c r="I132">
        <f ca="1"/>
        <v>1.1544789366077409E-2</v>
      </c>
      <c r="J132">
        <f ca="1"/>
        <v>4.9963207705208852E-3</v>
      </c>
      <c r="K132">
        <f ca="1"/>
        <v>0</v>
      </c>
      <c r="L132">
        <f ca="1"/>
        <v>0.38189927713358013</v>
      </c>
      <c r="M132">
        <f ca="1"/>
        <v>11.172844704558759</v>
      </c>
      <c r="N132">
        <f ca="1"/>
        <v>13.731385031977295</v>
      </c>
      <c r="O132">
        <f ca="1"/>
        <v>0</v>
      </c>
      <c r="P132">
        <f ca="1"/>
        <v>25.286129013669637</v>
      </c>
      <c r="Q132">
        <f ca="1"/>
        <v>-4478.4635043387225</v>
      </c>
    </row>
    <row r="133" spans="1:17">
      <c r="A133" s="2">
        <f ca="1"/>
        <v>132</v>
      </c>
      <c r="B133" s="2">
        <f ca="1"/>
        <v>-0.11186440677966092</v>
      </c>
      <c r="C133" s="7">
        <f ca="1"/>
        <v>3.2750000000000001E-2</v>
      </c>
      <c r="D133" s="4">
        <f ca="1"/>
        <v>1.1879961867427871</v>
      </c>
      <c r="E133" s="4">
        <f ca="1"/>
        <v>74.374268668129304</v>
      </c>
      <c r="F133" s="4">
        <f ca="1"/>
        <v>913.92696557373495</v>
      </c>
      <c r="G133">
        <f ca="1"/>
        <v>-215942.78697191132</v>
      </c>
      <c r="H133">
        <f ca="1"/>
        <v>1.1879961867427871</v>
      </c>
      <c r="I133">
        <f ca="1"/>
        <v>1.1635319322687373E-2</v>
      </c>
      <c r="J133">
        <f ca="1"/>
        <v>4.7549726128114748E-3</v>
      </c>
      <c r="K133">
        <f ca="1"/>
        <v>0</v>
      </c>
      <c r="L133">
        <f ca="1"/>
        <v>0.36519545841885176</v>
      </c>
      <c r="M133">
        <f ca="1"/>
        <v>10.633832082065116</v>
      </c>
      <c r="N133">
        <f ca="1"/>
        <v>13.151141202854946</v>
      </c>
      <c r="O133">
        <f ca="1"/>
        <v>0</v>
      </c>
      <c r="P133">
        <f ca="1"/>
        <v>24.150168743338913</v>
      </c>
      <c r="Q133">
        <f ca="1"/>
        <v>-4636.5748435875066</v>
      </c>
    </row>
    <row r="134" spans="1:17">
      <c r="A134" s="2">
        <f ca="1"/>
        <v>133</v>
      </c>
      <c r="B134" s="2">
        <f ca="1"/>
        <v>-0.10508474576271176</v>
      </c>
      <c r="C134" s="7">
        <f ca="1"/>
        <v>3.3000000000000002E-2</v>
      </c>
      <c r="D134" s="4">
        <f ca="1"/>
        <v>1.206617751119857</v>
      </c>
      <c r="E134" s="4">
        <f ca="1"/>
        <v>74.59599172359367</v>
      </c>
      <c r="F134" s="4">
        <f ca="1"/>
        <v>859.81622734017526</v>
      </c>
      <c r="G134">
        <f ca="1"/>
        <v>-216932.80619631032</v>
      </c>
      <c r="H134">
        <f ca="1"/>
        <v>1.206617751119857</v>
      </c>
      <c r="I134">
        <f ca="1"/>
        <v>1.1721569741792684E-2</v>
      </c>
      <c r="J134">
        <f ca="1"/>
        <v>4.5076037922878618E-3</v>
      </c>
      <c r="K134">
        <f ca="1"/>
        <v>0</v>
      </c>
      <c r="L134">
        <f ca="1"/>
        <v>0.34802537348433132</v>
      </c>
      <c r="M134">
        <f ca="1"/>
        <v>10.078395873892937</v>
      </c>
      <c r="N134">
        <f ca="1"/>
        <v>12.541420344498613</v>
      </c>
      <c r="O134">
        <f ca="1"/>
        <v>0</v>
      </c>
      <c r="P134">
        <f ca="1"/>
        <v>22.967841591875882</v>
      </c>
      <c r="Q134">
        <f ca="1"/>
        <v>-4822.7666903727622</v>
      </c>
    </row>
    <row r="135" spans="1:17">
      <c r="A135" s="2">
        <f ca="1"/>
        <v>134</v>
      </c>
      <c r="B135" s="2">
        <f ca="1"/>
        <v>-9.8305084745762605E-2</v>
      </c>
      <c r="C135" s="7">
        <f ca="1"/>
        <v>3.3250000000000002E-2</v>
      </c>
      <c r="D135" s="4">
        <f ca="1"/>
        <v>1.225293052762332</v>
      </c>
      <c r="E135" s="4">
        <f ca="1"/>
        <v>74.80415680094265</v>
      </c>
      <c r="F135" s="4">
        <f ca="1"/>
        <v>805.46571882570663</v>
      </c>
      <c r="G135">
        <f ca="1"/>
        <v>-217860.94921918443</v>
      </c>
      <c r="H135">
        <f ca="1"/>
        <v>1.225293052762332</v>
      </c>
      <c r="I135">
        <f ca="1"/>
        <v>1.1803387572755874E-2</v>
      </c>
      <c r="J135">
        <f ca="1"/>
        <v>4.253706365298913E-3</v>
      </c>
      <c r="K135">
        <f ca="1"/>
        <v>0</v>
      </c>
      <c r="L135">
        <f ca="1"/>
        <v>0.33041007504835573</v>
      </c>
      <c r="M135">
        <f ca="1"/>
        <v>9.5072240558682228</v>
      </c>
      <c r="N135">
        <f ca="1"/>
        <v>11.901151267235951</v>
      </c>
      <c r="O135">
        <f ca="1"/>
        <v>0</v>
      </c>
      <c r="P135">
        <f ca="1"/>
        <v>21.73878539815253</v>
      </c>
      <c r="Q135">
        <f ca="1"/>
        <v>-4995.6938441913035</v>
      </c>
    </row>
    <row r="136" spans="1:17">
      <c r="A136" s="2">
        <f ca="1"/>
        <v>135</v>
      </c>
      <c r="B136" s="2">
        <f ca="1"/>
        <v>-9.1525423728813449E-2</v>
      </c>
      <c r="C136" s="7">
        <f ca="1"/>
        <v>3.3500000000000002E-2</v>
      </c>
      <c r="D136" s="4">
        <f ca="1"/>
        <v>1.244018694843998</v>
      </c>
      <c r="E136" s="4">
        <f ca="1"/>
        <v>74.998705891237307</v>
      </c>
      <c r="F136" s="4">
        <f ca="1"/>
        <v>750.89090908071023</v>
      </c>
      <c r="G136">
        <f ca="1"/>
        <v>-218727.21604053359</v>
      </c>
      <c r="H136">
        <f ca="1"/>
        <v>1.244018694843998</v>
      </c>
      <c r="I136">
        <f ca="1"/>
        <v>1.1880633599339344E-2</v>
      </c>
      <c r="J136">
        <f ca="1"/>
        <v>3.9953604127325251E-3</v>
      </c>
      <c r="K136">
        <f ca="1"/>
        <v>0</v>
      </c>
      <c r="L136">
        <f ca="1"/>
        <v>0.31237152408071656</v>
      </c>
      <c r="M136">
        <f ca="1"/>
        <v>8.9210597638627505</v>
      </c>
      <c r="N136">
        <f ca="1"/>
        <v>11.23656338183676</v>
      </c>
      <c r="O136">
        <f ca="1"/>
        <v>0</v>
      </c>
      <c r="P136">
        <f ca="1"/>
        <v>20.469994669780228</v>
      </c>
      <c r="Q136">
        <f ca="1"/>
        <v>-5117.7305563522241</v>
      </c>
    </row>
    <row r="137" spans="1:17">
      <c r="A137" s="2">
        <f ca="1"/>
        <v>136</v>
      </c>
      <c r="B137" s="2">
        <f ca="1"/>
        <v>-8.4745762711864292E-2</v>
      </c>
      <c r="C137" s="7">
        <f ca="1"/>
        <v>3.3750000000000002E-2</v>
      </c>
      <c r="D137" s="4">
        <f ca="1"/>
        <v>1.262791266519814</v>
      </c>
      <c r="E137" s="4">
        <f ca="1"/>
        <v>75.179584852801327</v>
      </c>
      <c r="F137" s="4">
        <f ca="1"/>
        <v>696.107267155567</v>
      </c>
      <c r="G137">
        <f ca="1"/>
        <v>-219531.60666035782</v>
      </c>
      <c r="H137">
        <f ca="1"/>
        <v>1.262791266519814</v>
      </c>
      <c r="I137">
        <f ca="1"/>
        <v>1.195322899212296E-2</v>
      </c>
      <c r="J137">
        <f ca="1"/>
        <v>3.7386108022875739E-3</v>
      </c>
      <c r="K137">
        <f ca="1"/>
        <v>0</v>
      </c>
      <c r="L137">
        <f ca="1"/>
        <v>0.29393254441155492</v>
      </c>
      <c r="M137">
        <f ca="1"/>
        <v>8.3207295673914068</v>
      </c>
      <c r="N137">
        <f ca="1"/>
        <v>10.565258008173455</v>
      </c>
      <c r="O137">
        <f ca="1"/>
        <v>0</v>
      </c>
      <c r="P137">
        <f ca="1"/>
        <v>19.179920119976416</v>
      </c>
      <c r="Q137">
        <f ca="1"/>
        <v>-5265.3884651836997</v>
      </c>
    </row>
    <row r="138" spans="1:17">
      <c r="A138" s="2">
        <f ca="1"/>
        <v>137</v>
      </c>
      <c r="B138" s="2">
        <f ca="1"/>
        <v>-7.7966101694915135E-2</v>
      </c>
      <c r="C138" s="7">
        <f ca="1"/>
        <v>3.4000000000000002E-2</v>
      </c>
      <c r="D138" s="4">
        <f ca="1"/>
        <v>1.2816073438927276</v>
      </c>
      <c r="E138" s="4">
        <f ca="1"/>
        <v>75.346743411220956</v>
      </c>
      <c r="F138" s="4">
        <f ca="1"/>
        <v>641.13026210065823</v>
      </c>
      <c r="G138">
        <f ca="1"/>
        <v>-220274.12107865707</v>
      </c>
      <c r="H138">
        <f ca="1"/>
        <v>1.2816073438927276</v>
      </c>
      <c r="I138">
        <f ca="1"/>
        <v>1.2021058919253182E-2</v>
      </c>
      <c r="J138">
        <f ca="1"/>
        <v>3.4718655308334924E-3</v>
      </c>
      <c r="K138">
        <f ca="1"/>
        <v>0</v>
      </c>
      <c r="L138">
        <f ca="1"/>
        <v>0.27511677586074706</v>
      </c>
      <c r="M138">
        <f ca="1"/>
        <v>7.7070646556282476</v>
      </c>
      <c r="N138">
        <f ca="1"/>
        <v>9.8551190056993807</v>
      </c>
      <c r="O138">
        <f ca="1"/>
        <v>0</v>
      </c>
      <c r="P138">
        <f ca="1"/>
        <v>17.837300437188375</v>
      </c>
      <c r="Q138">
        <f ca="1"/>
        <v>-5434.8053416240227</v>
      </c>
    </row>
    <row r="139" spans="1:17">
      <c r="A139" s="2">
        <f ca="1"/>
        <v>138</v>
      </c>
      <c r="B139" s="2">
        <f ca="1"/>
        <v>-7.1186440677965979E-2</v>
      </c>
      <c r="C139" s="7">
        <f ca="1"/>
        <v>3.4250000000000003E-2</v>
      </c>
      <c r="D139" s="4">
        <f ca="1"/>
        <v>1.3004634909804909</v>
      </c>
      <c r="E139" s="4">
        <f ca="1"/>
        <v>75.500135159345035</v>
      </c>
      <c r="F139" s="4">
        <f ca="1"/>
        <v>585.97536296636531</v>
      </c>
      <c r="G139">
        <f ca="1"/>
        <v>-220954.7592954314</v>
      </c>
      <c r="H139">
        <f ca="1"/>
        <v>1.3004634909804909</v>
      </c>
      <c r="I139">
        <f ca="1"/>
        <v>1.2084013492177676E-2</v>
      </c>
      <c r="J139">
        <f ca="1"/>
        <v>3.2018251683154533E-3</v>
      </c>
      <c r="K139">
        <f ca="1"/>
        <v>0</v>
      </c>
      <c r="L139">
        <f ca="1"/>
        <v>0.25594862599805879</v>
      </c>
      <c r="M139">
        <f ca="1"/>
        <v>7.0809341921692699</v>
      </c>
      <c r="N139">
        <f ca="1"/>
        <v>9.1256346309970731</v>
      </c>
      <c r="O139">
        <f ca="1"/>
        <v>0</v>
      </c>
      <c r="P139">
        <f ca="1"/>
        <v>16.462517449164402</v>
      </c>
      <c r="Q139">
        <f ca="1"/>
        <v>-5528.5798749172509</v>
      </c>
    </row>
    <row r="140" spans="1:17">
      <c r="A140" s="2">
        <f ca="1"/>
        <v>139</v>
      </c>
      <c r="B140" s="2">
        <f ca="1"/>
        <v>-6.4406779661016822E-2</v>
      </c>
      <c r="C140" s="7">
        <f ca="1"/>
        <v>3.4500000000000003E-2</v>
      </c>
      <c r="D140" s="4">
        <f ca="1"/>
        <v>1.3193562606824758</v>
      </c>
      <c r="E140" s="4">
        <f ca="1"/>
        <v>75.639717557285053</v>
      </c>
      <c r="F140" s="4">
        <f ca="1"/>
        <v>530.65803880306953</v>
      </c>
      <c r="G140">
        <f ca="1"/>
        <v>-221573.52131068081</v>
      </c>
      <c r="H140">
        <f ca="1"/>
        <v>1.3193562606824758</v>
      </c>
      <c r="I140">
        <f ca="1"/>
        <v>1.2141987607411937E-2</v>
      </c>
      <c r="J140">
        <f ca="1"/>
        <v>2.9340240315963444E-3</v>
      </c>
      <c r="K140">
        <f ca="1"/>
        <v>0</v>
      </c>
      <c r="L140">
        <f ca="1"/>
        <v>0.23645322058177726</v>
      </c>
      <c r="M140">
        <f ca="1"/>
        <v>6.4432433309203931</v>
      </c>
      <c r="N140">
        <f ca="1"/>
        <v>8.3933139482275774</v>
      </c>
      <c r="O140">
        <f ca="1"/>
        <v>0</v>
      </c>
      <c r="P140">
        <f ca="1"/>
        <v>15.073010499729747</v>
      </c>
      <c r="Q140">
        <f ca="1"/>
        <v>-5631.7207656542241</v>
      </c>
    </row>
    <row r="141" spans="1:17">
      <c r="A141" s="2">
        <f ca="1"/>
        <v>140</v>
      </c>
      <c r="B141" s="2">
        <f ca="1"/>
        <v>-5.7627118644067665E-2</v>
      </c>
      <c r="C141" s="7">
        <f ca="1"/>
        <v>3.4750000000000003E-2</v>
      </c>
      <c r="D141" s="4">
        <f ca="1"/>
        <v>1.3382821957464901</v>
      </c>
      <c r="E141" s="4">
        <f ca="1"/>
        <v>75.765451932415019</v>
      </c>
      <c r="F141" s="4">
        <f ca="1"/>
        <v>475.193758661152</v>
      </c>
      <c r="G141">
        <f ca="1"/>
        <v>-222130.40712440526</v>
      </c>
      <c r="H141">
        <f ca="1"/>
        <v>1.3382821957464901</v>
      </c>
      <c r="I141">
        <f ca="1"/>
        <v>1.2194928898205847E-2</v>
      </c>
      <c r="J141">
        <f ca="1"/>
        <v>2.6601078963036811E-3</v>
      </c>
      <c r="K141">
        <f ca="1"/>
        <v>0</v>
      </c>
      <c r="L141">
        <f ca="1"/>
        <v>0.21665635274685224</v>
      </c>
      <c r="M141">
        <f ca="1"/>
        <v>5.7949540997439373</v>
      </c>
      <c r="N141">
        <f ca="1"/>
        <v>7.6350466138464963</v>
      </c>
      <c r="O141">
        <f ca="1"/>
        <v>0</v>
      </c>
      <c r="P141">
        <f ca="1"/>
        <v>13.646657066337287</v>
      </c>
      <c r="Q141">
        <f ca="1"/>
        <v>-5765.6180678260916</v>
      </c>
    </row>
    <row r="142" spans="1:17">
      <c r="A142" s="2">
        <f ca="1"/>
        <v>141</v>
      </c>
      <c r="B142" s="2">
        <f ca="1"/>
        <v>-5.0847457627118509E-2</v>
      </c>
      <c r="C142" s="7">
        <f ca="1"/>
        <v>3.5000000000000003E-2</v>
      </c>
      <c r="D142" s="4">
        <f ca="1"/>
        <v>1.3572378297355931</v>
      </c>
      <c r="E142" s="4">
        <f ca="1"/>
        <v>75.877303479371605</v>
      </c>
      <c r="F142" s="4">
        <f ca="1"/>
        <v>419.59799159099396</v>
      </c>
      <c r="G142">
        <f ca="1"/>
        <v>-222625.41673660476</v>
      </c>
      <c r="H142">
        <f ca="1"/>
        <v>1.3572378297355931</v>
      </c>
      <c r="I142">
        <f ca="1"/>
        <v>1.2242768559191552E-2</v>
      </c>
      <c r="J142">
        <f ca="1"/>
        <v>2.3818450688961033E-3</v>
      </c>
      <c r="K142">
        <f ca="1"/>
        <v>0</v>
      </c>
      <c r="L142">
        <f ca="1"/>
        <v>0.19658443102716458</v>
      </c>
      <c r="M142">
        <f ca="1"/>
        <v>5.1370410989501423</v>
      </c>
      <c r="N142">
        <f ca="1"/>
        <v>6.8565759358393912</v>
      </c>
      <c r="O142">
        <f ca="1"/>
        <v>0</v>
      </c>
      <c r="P142">
        <f ca="1"/>
        <v>12.190201465816699</v>
      </c>
      <c r="Q142">
        <f ca="1"/>
        <v>-5852.2093638877823</v>
      </c>
    </row>
    <row r="143" spans="1:17">
      <c r="A143" s="2">
        <f ca="1"/>
        <v>142</v>
      </c>
      <c r="B143" s="2">
        <f ca="1"/>
        <v>-4.4067796610169352E-2</v>
      </c>
      <c r="C143" s="7">
        <f ca="1"/>
        <v>3.5250000000000004E-2</v>
      </c>
      <c r="D143" s="4">
        <f ca="1"/>
        <v>1.3762196879949107</v>
      </c>
      <c r="E143" s="4">
        <f ca="1"/>
        <v>75.97524126005402</v>
      </c>
      <c r="F143" s="4">
        <f ca="1"/>
        <v>363.88620664297662</v>
      </c>
      <c r="G143">
        <f ca="1"/>
        <v>-223058.55014727931</v>
      </c>
      <c r="H143">
        <f ca="1"/>
        <v>1.3762196879949107</v>
      </c>
      <c r="I143">
        <f ca="1"/>
        <v>1.2285360800837797E-2</v>
      </c>
      <c r="J143">
        <f ca="1"/>
        <v>2.1044923552713214E-3</v>
      </c>
      <c r="K143">
        <f ca="1"/>
        <v>0</v>
      </c>
      <c r="L143">
        <f ca="1"/>
        <v>0.17626442629039749</v>
      </c>
      <c r="M143">
        <f ca="1"/>
        <v>4.4704733390571878</v>
      </c>
      <c r="N143">
        <f ca="1"/>
        <v>6.0738146190458089</v>
      </c>
      <c r="O143">
        <f ca="1"/>
        <v>0</v>
      </c>
      <c r="P143">
        <f ca="1"/>
        <v>10.720552384393393</v>
      </c>
      <c r="Q143">
        <f ca="1"/>
        <v>-5906.431880282893</v>
      </c>
    </row>
    <row r="144" spans="1:17">
      <c r="A144" s="2">
        <f ca="1"/>
        <v>143</v>
      </c>
      <c r="B144" s="2">
        <f ca="1"/>
        <v>-3.7288135593220195E-2</v>
      </c>
      <c r="C144" s="7">
        <f ca="1"/>
        <v>3.5500000000000004E-2</v>
      </c>
      <c r="D144" s="4">
        <f ca="1"/>
        <v>1.3952242886184518</v>
      </c>
      <c r="E144" s="4">
        <f ca="1"/>
        <v>76.059238203624133</v>
      </c>
      <c r="F144" s="4">
        <f ca="1"/>
        <v>308.07387286748127</v>
      </c>
      <c r="G144">
        <f ca="1"/>
        <v>-223429.80735642897</v>
      </c>
      <c r="H144">
        <f ca="1"/>
        <v>1.3952242886184518</v>
      </c>
      <c r="I144">
        <f ca="1"/>
        <v>1.2322703783770405E-2</v>
      </c>
      <c r="J144">
        <f ca="1"/>
        <v>1.8271224131663252E-3</v>
      </c>
      <c r="K144">
        <f ca="1"/>
        <v>0</v>
      </c>
      <c r="L144">
        <f ca="1"/>
        <v>0.15572381758282849</v>
      </c>
      <c r="M144">
        <f ca="1"/>
        <v>3.7963030788649141</v>
      </c>
      <c r="N144">
        <f ca="1"/>
        <v>5.284958629227507</v>
      </c>
      <c r="O144">
        <f ca="1"/>
        <v>0</v>
      </c>
      <c r="P144">
        <f ca="1"/>
        <v>9.2369855256752498</v>
      </c>
      <c r="Q144">
        <f ca="1"/>
        <v>-5998.4068516716052</v>
      </c>
    </row>
    <row r="145" spans="1:17">
      <c r="A145" s="2">
        <f ca="1"/>
        <v>144</v>
      </c>
      <c r="B145" s="2">
        <f ca="1"/>
        <v>-3.0508474576271039E-2</v>
      </c>
      <c r="C145" s="7">
        <f ca="1"/>
        <v>3.5750000000000004E-2</v>
      </c>
      <c r="D145" s="4">
        <f ca="1"/>
        <v>1.4142481434159231</v>
      </c>
      <c r="E145" s="4">
        <f ca="1"/>
        <v>76.129271106506337</v>
      </c>
      <c r="F145" s="4">
        <f ca="1"/>
        <v>252.17645931488914</v>
      </c>
      <c r="G145">
        <f ca="1"/>
        <v>-223739.18836405364</v>
      </c>
      <c r="H145">
        <f ca="1"/>
        <v>1.4142481434159231</v>
      </c>
      <c r="I145">
        <f ca="1"/>
        <v>1.2354763493289581E-2</v>
      </c>
      <c r="J145">
        <f ca="1"/>
        <v>1.5428017193501128E-3</v>
      </c>
      <c r="K145">
        <f ca="1"/>
        <v>0</v>
      </c>
      <c r="L145">
        <f ca="1"/>
        <v>0.13498677268053894</v>
      </c>
      <c r="M145">
        <f ca="1"/>
        <v>3.1155805134106176</v>
      </c>
      <c r="N145">
        <f ca="1"/>
        <v>4.4707816724664315</v>
      </c>
      <c r="O145">
        <f ca="1"/>
        <v>0</v>
      </c>
      <c r="P145">
        <f ca="1"/>
        <v>7.7213489585575878</v>
      </c>
      <c r="Q145">
        <f ca="1"/>
        <v>-6053.2716874824609</v>
      </c>
    </row>
    <row r="146" spans="1:17">
      <c r="A146" s="2">
        <f ca="1"/>
        <v>145</v>
      </c>
      <c r="B146" s="2">
        <f ca="1"/>
        <v>-2.3728813559321882E-2</v>
      </c>
      <c r="C146" s="7">
        <f ca="1"/>
        <v>3.6000000000000004E-2</v>
      </c>
      <c r="D146" s="4">
        <f ca="1"/>
        <v>1.4332877588795458</v>
      </c>
      <c r="E146" s="4">
        <f ca="1"/>
        <v>76.185320632387686</v>
      </c>
      <c r="F146" s="4">
        <f ca="1"/>
        <v>196.20943503558146</v>
      </c>
      <c r="G146">
        <f ca="1"/>
        <v>-223986.69317015342</v>
      </c>
      <c r="H146">
        <f ca="1"/>
        <v>1.4332877588795458</v>
      </c>
      <c r="I146">
        <f ca="1"/>
        <v>1.2381461395765448E-2</v>
      </c>
      <c r="J146">
        <f ca="1"/>
        <v>1.263536018613229E-3</v>
      </c>
      <c r="K146">
        <f ca="1"/>
        <v>0</v>
      </c>
      <c r="L146">
        <f ca="1"/>
        <v>0.11408031118172221</v>
      </c>
      <c r="M146">
        <f ca="1"/>
        <v>2.4293595453780004</v>
      </c>
      <c r="N146">
        <f ca="1"/>
        <v>3.6669098253742942</v>
      </c>
      <c r="O146">
        <f ca="1"/>
        <v>0</v>
      </c>
      <c r="P146">
        <f ca="1"/>
        <v>6.2103496819340167</v>
      </c>
      <c r="Q146">
        <f ca="1"/>
        <v>-6128.886260567393</v>
      </c>
    </row>
    <row r="147" spans="1:17">
      <c r="A147" s="2">
        <f ca="1"/>
        <v>146</v>
      </c>
      <c r="B147" s="2">
        <f ca="1"/>
        <v>-1.6949152542372947E-2</v>
      </c>
      <c r="C147" s="7">
        <f ca="1"/>
        <v>3.6249999999999998E-2</v>
      </c>
      <c r="D147" s="4">
        <f ca="1"/>
        <v>1.4523396371508697</v>
      </c>
      <c r="E147" s="4">
        <f ca="1"/>
        <v>76.22737131221777</v>
      </c>
      <c r="F147" s="4">
        <f ca="1"/>
        <v>140.18826907994128</v>
      </c>
      <c r="G147">
        <f ca="1"/>
        <v>-224172.32177472822</v>
      </c>
      <c r="H147">
        <f ca="1"/>
        <v>1.4523396371508697</v>
      </c>
      <c r="I147">
        <f ca="1"/>
        <v>1.2402750240616319E-2</v>
      </c>
      <c r="J147">
        <f ca="1"/>
        <v>9.7240839605976194E-4</v>
      </c>
      <c r="K147">
        <f ca="1"/>
        <v>0</v>
      </c>
      <c r="L147">
        <f ca="1"/>
        <v>9.3041725995321983E-2</v>
      </c>
      <c r="M147">
        <f ca="1"/>
        <v>1.7387200880628271</v>
      </c>
      <c r="N147">
        <f ca="1"/>
        <v>2.8251440142157827</v>
      </c>
      <c r="O147">
        <f ca="1"/>
        <v>0</v>
      </c>
      <c r="P147">
        <f ca="1"/>
        <v>4.6569058282739313</v>
      </c>
      <c r="Q147">
        <f ca="1"/>
        <v>-6195.2360695547086</v>
      </c>
    </row>
    <row r="148" spans="1:17">
      <c r="A148" s="2">
        <f ca="1"/>
        <v>147</v>
      </c>
      <c r="B148" s="2">
        <f ca="1"/>
        <v>-1.0169491525423791E-2</v>
      </c>
      <c r="C148" s="7">
        <f ca="1"/>
        <v>3.6499999999999998E-2</v>
      </c>
      <c r="D148" s="4">
        <f ca="1"/>
        <v>1.4714002769875918</v>
      </c>
      <c r="E148" s="4">
        <f ca="1"/>
        <v>76.255411544208826</v>
      </c>
      <c r="F148" s="4">
        <f ca="1"/>
        <v>84.128430498346191</v>
      </c>
      <c r="G148">
        <f ca="1"/>
        <v>-224296.07417777812</v>
      </c>
      <c r="H148">
        <f ca="1"/>
        <v>1.4714002769875918</v>
      </c>
      <c r="I148">
        <f ca="1"/>
        <v>1.2418596057040647E-2</v>
      </c>
      <c r="J148">
        <f ca="1"/>
        <v>6.8653933940166379E-4</v>
      </c>
      <c r="K148">
        <f ca="1"/>
        <v>0</v>
      </c>
      <c r="L148">
        <f ca="1"/>
        <v>7.1900040940889115E-2</v>
      </c>
      <c r="M148">
        <f ca="1"/>
        <v>1.0447569952717801</v>
      </c>
      <c r="N148">
        <f ca="1"/>
        <v>1.9960746109440335</v>
      </c>
      <c r="O148">
        <f ca="1"/>
        <v>0</v>
      </c>
      <c r="P148">
        <f ca="1"/>
        <v>3.1127316471567026</v>
      </c>
      <c r="Q148">
        <f ca="1"/>
        <v>-6164.002394481754</v>
      </c>
    </row>
    <row r="149" spans="1:17">
      <c r="A149" s="2">
        <f ca="1"/>
        <v>148</v>
      </c>
      <c r="B149" s="2">
        <f ca="1"/>
        <v>-3.3898305084746339E-3</v>
      </c>
      <c r="C149" s="7">
        <f ca="1"/>
        <v>3.6749999999999998E-2</v>
      </c>
      <c r="D149" s="4">
        <f ca="1"/>
        <v>1.490466174730368</v>
      </c>
      <c r="E149" s="4">
        <f ca="1"/>
        <v>76.269433593835657</v>
      </c>
      <c r="F149" s="4">
        <f ca="1"/>
        <v>28.045388341179244</v>
      </c>
      <c r="G149">
        <f ca="1"/>
        <v>-224357.95037930307</v>
      </c>
      <c r="H149">
        <f ca="1"/>
        <v>1.490466174730368</v>
      </c>
      <c r="I149">
        <f ca="1"/>
        <v>1.242898062481218E-2</v>
      </c>
      <c r="J149">
        <f ca="1"/>
        <v>4.0420808083532365E-4</v>
      </c>
      <c r="K149">
        <f ca="1"/>
        <v>0</v>
      </c>
      <c r="L149">
        <f ca="1"/>
        <v>5.0684483712165655E-2</v>
      </c>
      <c r="M149">
        <f ca="1"/>
        <v>0.34857558830785024</v>
      </c>
      <c r="N149">
        <f ca="1"/>
        <v>1.1756445590130358</v>
      </c>
      <c r="O149">
        <f ca="1"/>
        <v>0</v>
      </c>
      <c r="P149">
        <f ca="1"/>
        <v>1.5749046310330517</v>
      </c>
      <c r="Q149">
        <f ca="1"/>
        <v>-6218.9254934680703</v>
      </c>
    </row>
    <row r="150" spans="1:17">
      <c r="A150" s="2">
        <f ca="1"/>
        <v>149</v>
      </c>
      <c r="B150" s="2">
        <f ca="1"/>
        <v>3.3898305084745228E-3</v>
      </c>
      <c r="C150" s="7">
        <f ca="1"/>
        <v>3.6999999999999998E-2</v>
      </c>
      <c r="D150" s="4">
        <f ca="1"/>
        <v>1.5095338252696318</v>
      </c>
      <c r="E150" s="4">
        <f ca="1"/>
        <v>76.269433593835657</v>
      </c>
      <c r="F150" s="4">
        <f ca="1"/>
        <v>-28.045388341178324</v>
      </c>
      <c r="G150">
        <f ca="1"/>
        <v>-224357.95037930307</v>
      </c>
      <c r="H150">
        <f ca="1"/>
        <v>1.5095338252696318</v>
      </c>
      <c r="I150">
        <f ca="1"/>
        <v>1.2433886867078092E-2</v>
      </c>
      <c r="J150">
        <f ca="1"/>
        <v>1.1090121717328349E-4</v>
      </c>
      <c r="K150">
        <f ca="1"/>
        <v>0</v>
      </c>
      <c r="L150">
        <f ca="1"/>
        <v>2.9424426570350069E-2</v>
      </c>
      <c r="M150">
        <f ca="1"/>
        <v>-0.34871318577748217</v>
      </c>
      <c r="N150">
        <f ca="1"/>
        <v>0.32255765962979693</v>
      </c>
      <c r="O150">
        <f ca="1"/>
        <v>0</v>
      </c>
      <c r="P150">
        <f ca="1"/>
        <v>3.2689004226648111E-3</v>
      </c>
      <c r="Q150">
        <f ca="1"/>
        <v>-6248.9522281501995</v>
      </c>
    </row>
    <row r="151" spans="1:17">
      <c r="A151" s="2">
        <f ca="1"/>
        <v>150</v>
      </c>
      <c r="B151" s="2">
        <f ca="1"/>
        <v>1.0169491525423791E-2</v>
      </c>
      <c r="C151" s="7">
        <f ca="1"/>
        <v>3.7249999999999998E-2</v>
      </c>
      <c r="D151" s="4">
        <f ca="1"/>
        <v>1.5285997230124082</v>
      </c>
      <c r="E151" s="4">
        <f ca="1"/>
        <v>76.255411544208826</v>
      </c>
      <c r="F151" s="4">
        <f ca="1"/>
        <v>-84.128430498346191</v>
      </c>
      <c r="G151">
        <f ca="1"/>
        <v>-224296.07417777812</v>
      </c>
      <c r="H151">
        <f ca="1"/>
        <v>1.5285997230124082</v>
      </c>
      <c r="I151">
        <f ca="1"/>
        <v>1.2433300123249953E-2</v>
      </c>
      <c r="J151">
        <f ca="1"/>
        <v>-1.7600572971186634E-4</v>
      </c>
      <c r="K151">
        <f ca="1"/>
        <v>0</v>
      </c>
      <c r="L151">
        <f ca="1"/>
        <v>8.1493265579928587E-3</v>
      </c>
      <c r="M151">
        <f ca="1"/>
        <v>-1.0459940252839128</v>
      </c>
      <c r="N151">
        <f ca="1"/>
        <v>-0.51172678431613106</v>
      </c>
      <c r="O151">
        <f ca="1"/>
        <v>0</v>
      </c>
      <c r="P151">
        <f ca="1"/>
        <v>-1.5495714830420511</v>
      </c>
      <c r="Q151">
        <f ca="1"/>
        <v>-6188.923648370147</v>
      </c>
    </row>
    <row r="152" spans="1:17">
      <c r="A152" s="2">
        <f ca="1"/>
        <v>151</v>
      </c>
      <c r="B152" s="2">
        <f ca="1"/>
        <v>1.6949152542372836E-2</v>
      </c>
      <c r="C152" s="7">
        <f ca="1"/>
        <v>3.7499999999999999E-2</v>
      </c>
      <c r="D152" s="4">
        <f ca="1"/>
        <v>1.5476603628491299</v>
      </c>
      <c r="E152" s="4">
        <f ca="1"/>
        <v>76.22737131221777</v>
      </c>
      <c r="F152" s="4">
        <f ca="1"/>
        <v>-140.18826907994037</v>
      </c>
      <c r="G152">
        <f ca="1"/>
        <v>-224172.32177472825</v>
      </c>
      <c r="H152">
        <f ca="1"/>
        <v>1.5476603628491299</v>
      </c>
      <c r="I152">
        <f ca="1"/>
        <v>1.2427229408640706E-2</v>
      </c>
      <c r="J152">
        <f ca="1"/>
        <v>-4.5982412081826388E-4</v>
      </c>
      <c r="K152">
        <f ca="1"/>
        <v>0</v>
      </c>
      <c r="L152">
        <f ca="1"/>
        <v>-1.3111334810510066E-2</v>
      </c>
      <c r="M152">
        <f ca="1"/>
        <v>-1.7421517802566715</v>
      </c>
      <c r="N152">
        <f ca="1"/>
        <v>-1.3359298086952298</v>
      </c>
      <c r="O152">
        <f ca="1"/>
        <v>0</v>
      </c>
      <c r="P152">
        <f ca="1"/>
        <v>-3.0911929237624114</v>
      </c>
      <c r="Q152">
        <f ca="1"/>
        <v>-6206.949205545543</v>
      </c>
    </row>
    <row r="153" spans="1:17">
      <c r="A153" s="2">
        <f ca="1"/>
        <v>152</v>
      </c>
      <c r="B153" s="2">
        <f ca="1"/>
        <v>2.3728813559322104E-2</v>
      </c>
      <c r="C153" s="7">
        <f ca="1"/>
        <v>3.7749999999999999E-2</v>
      </c>
      <c r="D153" s="4">
        <f ca="1"/>
        <v>1.5667122411204548</v>
      </c>
      <c r="E153" s="4">
        <f ca="1"/>
        <v>76.185320632387686</v>
      </c>
      <c r="F153" s="4">
        <f ca="1"/>
        <v>-196.20943503558331</v>
      </c>
      <c r="G153">
        <f ca="1"/>
        <v>-223986.69317015339</v>
      </c>
      <c r="H153">
        <f ca="1"/>
        <v>1.5667122411204548</v>
      </c>
      <c r="I153">
        <f ca="1"/>
        <v>1.241568840524904E-2</v>
      </c>
      <c r="J153">
        <f ca="1"/>
        <v>-7.5209041998096241E-4</v>
      </c>
      <c r="K153">
        <f ca="1"/>
        <v>0</v>
      </c>
      <c r="L153">
        <f ca="1"/>
        <v>-3.4328112249824169E-2</v>
      </c>
      <c r="M153">
        <f ca="1"/>
        <v>-2.4360752075717564</v>
      </c>
      <c r="N153">
        <f ca="1"/>
        <v>-2.1826427659932452</v>
      </c>
      <c r="O153">
        <f ca="1"/>
        <v>0</v>
      </c>
      <c r="P153">
        <f ca="1"/>
        <v>-4.6530460858148253</v>
      </c>
      <c r="Q153">
        <f ca="1"/>
        <v>-6191.1166710567104</v>
      </c>
    </row>
    <row r="154" spans="1:17">
      <c r="A154" s="2">
        <f ca="1"/>
        <v>153</v>
      </c>
      <c r="B154" s="2">
        <f ca="1"/>
        <v>3.050847457627115E-2</v>
      </c>
      <c r="C154" s="7">
        <f ca="1"/>
        <v>3.7999999999999999E-2</v>
      </c>
      <c r="D154" s="4">
        <f ca="1"/>
        <v>1.5857518565840771</v>
      </c>
      <c r="E154" s="4">
        <f ca="1"/>
        <v>76.129271106506337</v>
      </c>
      <c r="F154" s="4">
        <f ca="1"/>
        <v>-252.17645931489008</v>
      </c>
      <c r="G154">
        <f ca="1"/>
        <v>-223739.18836405364</v>
      </c>
      <c r="H154">
        <f ca="1"/>
        <v>1.5857518565840771</v>
      </c>
      <c r="I154">
        <f ca="1"/>
        <v>1.2398680062368364E-2</v>
      </c>
      <c r="J154">
        <f ca="1"/>
        <v>-1.0368521599245872E-3</v>
      </c>
      <c r="K154">
        <f ca="1"/>
        <v>0</v>
      </c>
      <c r="L154">
        <f ca="1"/>
        <v>-5.5471657718558831E-2</v>
      </c>
      <c r="M154">
        <f ca="1"/>
        <v>-3.1266552383061748</v>
      </c>
      <c r="N154">
        <f ca="1"/>
        <v>-3.0046243632660357</v>
      </c>
      <c r="O154">
        <f ca="1"/>
        <v>0</v>
      </c>
      <c r="P154">
        <f ca="1"/>
        <v>-6.1867512592907694</v>
      </c>
      <c r="Q154">
        <f ca="1"/>
        <v>-6114.507531197848</v>
      </c>
    </row>
    <row r="155" spans="1:17">
      <c r="A155" s="2">
        <f ca="1"/>
        <v>154</v>
      </c>
      <c r="B155" s="2">
        <f ca="1"/>
        <v>3.7288135593220417E-2</v>
      </c>
      <c r="C155" s="7">
        <f ca="1"/>
        <v>3.8249999999999999E-2</v>
      </c>
      <c r="D155" s="4">
        <f ca="1"/>
        <v>1.6047757113815488</v>
      </c>
      <c r="E155" s="4">
        <f ca="1"/>
        <v>76.059238203624133</v>
      </c>
      <c r="F155" s="4">
        <f ca="1"/>
        <v>-308.07387286748309</v>
      </c>
      <c r="G155">
        <f ca="1"/>
        <v>-223429.80735642897</v>
      </c>
      <c r="H155">
        <f ca="1"/>
        <v>1.6047757113815488</v>
      </c>
      <c r="I155">
        <f ca="1"/>
        <v>1.2376234776626711E-2</v>
      </c>
      <c r="J155">
        <f ca="1"/>
        <v>-1.3209982347766581E-3</v>
      </c>
      <c r="K155">
        <f ca="1"/>
        <v>0</v>
      </c>
      <c r="L155">
        <f ca="1"/>
        <v>-7.6512781682080408E-2</v>
      </c>
      <c r="M155">
        <f ca="1"/>
        <v>-3.8127945791526203</v>
      </c>
      <c r="N155">
        <f ca="1"/>
        <v>-3.8209924905790511</v>
      </c>
      <c r="O155">
        <f ca="1"/>
        <v>0</v>
      </c>
      <c r="P155">
        <f ca="1"/>
        <v>-7.710299851413752</v>
      </c>
      <c r="Q155">
        <f ca="1"/>
        <v>-6077.1592287922276</v>
      </c>
    </row>
    <row r="156" spans="1:17">
      <c r="A156" s="2">
        <f ca="1"/>
        <v>155</v>
      </c>
      <c r="B156" s="2">
        <f ca="1"/>
        <v>4.4067796610169463E-2</v>
      </c>
      <c r="C156" s="7">
        <f ca="1"/>
        <v>3.85E-2</v>
      </c>
      <c r="D156" s="4">
        <f ca="1"/>
        <v>1.6237803120050895</v>
      </c>
      <c r="E156" s="4">
        <f ca="1"/>
        <v>75.97524126005402</v>
      </c>
      <c r="F156" s="4">
        <f ca="1"/>
        <v>-363.88620664297753</v>
      </c>
      <c r="G156">
        <f ca="1"/>
        <v>-223058.55014727931</v>
      </c>
      <c r="H156">
        <f ca="1"/>
        <v>1.6237803120050895</v>
      </c>
      <c r="I156">
        <f ca="1"/>
        <v>1.2348406492621953E-2</v>
      </c>
      <c r="J156">
        <f ca="1"/>
        <v>-1.6057890455155428E-3</v>
      </c>
      <c r="K156">
        <f ca="1"/>
        <v>0</v>
      </c>
      <c r="L156">
        <f ca="1"/>
        <v>-9.7418377199127382E-2</v>
      </c>
      <c r="M156">
        <f ca="1"/>
        <v>-4.493414796685717</v>
      </c>
      <c r="N156">
        <f ca="1"/>
        <v>-4.6344976998020417</v>
      </c>
      <c r="O156">
        <f ca="1"/>
        <v>0</v>
      </c>
      <c r="P156">
        <f ca="1"/>
        <v>-9.225330873686886</v>
      </c>
      <c r="Q156">
        <f ca="1"/>
        <v>-6033.9986833535449</v>
      </c>
    </row>
    <row r="157" spans="1:17">
      <c r="A157" s="2">
        <f ca="1"/>
        <v>156</v>
      </c>
      <c r="B157" s="2">
        <f ca="1"/>
        <v>5.0847457627118731E-2</v>
      </c>
      <c r="C157" s="7">
        <f ca="1"/>
        <v>3.875E-2</v>
      </c>
      <c r="D157" s="4">
        <f ca="1"/>
        <v>1.6427621702644075</v>
      </c>
      <c r="E157" s="4">
        <f ca="1"/>
        <v>75.877303479371605</v>
      </c>
      <c r="F157" s="4">
        <f ca="1"/>
        <v>-419.59799159099578</v>
      </c>
      <c r="G157">
        <f ca="1"/>
        <v>-222625.41673660476</v>
      </c>
      <c r="H157">
        <f ca="1"/>
        <v>1.6427621702644075</v>
      </c>
      <c r="I157">
        <f ca="1"/>
        <v>1.2315201497048544E-2</v>
      </c>
      <c r="J157">
        <f ca="1"/>
        <v>-1.8903473207838196E-3</v>
      </c>
      <c r="K157">
        <f ca="1"/>
        <v>0</v>
      </c>
      <c r="L157">
        <f ca="1"/>
        <v>-0.11815545437731306</v>
      </c>
      <c r="M157">
        <f ca="1"/>
        <v>-5.1674338141999936</v>
      </c>
      <c r="N157">
        <f ca="1"/>
        <v>-5.441709924513221</v>
      </c>
      <c r="O157">
        <f ca="1"/>
        <v>0</v>
      </c>
      <c r="P157">
        <f ca="1"/>
        <v>-10.727299193090527</v>
      </c>
      <c r="Q157">
        <f ca="1"/>
        <v>-5965.2014121133961</v>
      </c>
    </row>
    <row r="158" spans="1:17">
      <c r="A158" s="2">
        <f ca="1"/>
        <v>157</v>
      </c>
      <c r="B158" s="2">
        <f ca="1"/>
        <v>5.7627118644067776E-2</v>
      </c>
      <c r="C158" s="7">
        <f ca="1"/>
        <v>3.9E-2</v>
      </c>
      <c r="D158" s="4">
        <f ca="1"/>
        <v>1.6617178042535101</v>
      </c>
      <c r="E158" s="4">
        <f ca="1"/>
        <v>75.765451932415019</v>
      </c>
      <c r="F158" s="4">
        <f ca="1"/>
        <v>-475.19375866115291</v>
      </c>
      <c r="G158">
        <f ca="1"/>
        <v>-222130.40712440526</v>
      </c>
      <c r="H158">
        <f ca="1"/>
        <v>1.6617178042535101</v>
      </c>
      <c r="I158">
        <f ca="1"/>
        <v>1.2276693207000089E-2</v>
      </c>
      <c r="J158">
        <f ca="1"/>
        <v>-2.1724683560399873E-3</v>
      </c>
      <c r="K158">
        <f ca="1"/>
        <v>0</v>
      </c>
      <c r="L158">
        <f ca="1"/>
        <v>-0.13870088912133838</v>
      </c>
      <c r="M158">
        <f ca="1"/>
        <v>-5.8338079889642156</v>
      </c>
      <c r="N158">
        <f ca="1"/>
        <v>-6.2354227016580337</v>
      </c>
      <c r="O158">
        <f ca="1"/>
        <v>0</v>
      </c>
      <c r="P158">
        <f ca="1"/>
        <v>-12.207931579743587</v>
      </c>
      <c r="Q158">
        <f ca="1"/>
        <v>-5852.3762655254523</v>
      </c>
    </row>
    <row r="159" spans="1:17">
      <c r="A159" s="2">
        <f ca="1"/>
        <v>158</v>
      </c>
      <c r="B159" s="2">
        <f ca="1"/>
        <v>6.4406779661017044E-2</v>
      </c>
      <c r="C159" s="7">
        <f ca="1"/>
        <v>3.925E-2</v>
      </c>
      <c r="D159" s="4">
        <f ca="1"/>
        <v>1.6806437393175249</v>
      </c>
      <c r="E159" s="4">
        <f ca="1"/>
        <v>75.639717557285039</v>
      </c>
      <c r="F159" s="4">
        <f ca="1"/>
        <v>-530.65803880307146</v>
      </c>
      <c r="G159">
        <f ca="1"/>
        <v>-221573.52131068078</v>
      </c>
      <c r="H159">
        <f ca="1"/>
        <v>1.6806437393175249</v>
      </c>
      <c r="I159">
        <f ca="1"/>
        <v>1.2232952407250622E-2</v>
      </c>
      <c r="J159">
        <f ca="1"/>
        <v>-2.4479975004679114E-3</v>
      </c>
      <c r="K159">
        <f ca="1"/>
        <v>0</v>
      </c>
      <c r="L159">
        <f ca="1"/>
        <v>-0.15902689151384655</v>
      </c>
      <c r="M159">
        <f ca="1"/>
        <v>-6.4915145332029267</v>
      </c>
      <c r="N159">
        <f ca="1"/>
        <v>-7.0029459011364823</v>
      </c>
      <c r="O159">
        <f ca="1"/>
        <v>0</v>
      </c>
      <c r="P159">
        <f ca="1"/>
        <v>-13.653487325853256</v>
      </c>
      <c r="Q159">
        <f ca="1"/>
        <v>-5775.3126786495222</v>
      </c>
    </row>
    <row r="160" spans="1:17">
      <c r="A160" s="2">
        <f ca="1"/>
        <v>159</v>
      </c>
      <c r="B160" s="2">
        <f ca="1"/>
        <v>7.118644067796609E-2</v>
      </c>
      <c r="C160" s="7">
        <f ca="1"/>
        <v>3.95E-2</v>
      </c>
      <c r="D160" s="4">
        <f ca="1"/>
        <v>1.6995365090195094</v>
      </c>
      <c r="E160" s="4">
        <f ca="1"/>
        <v>75.500135159345035</v>
      </c>
      <c r="F160" s="4">
        <f ca="1"/>
        <v>-585.97536296636622</v>
      </c>
      <c r="G160">
        <f ca="1"/>
        <v>-220954.7592954314</v>
      </c>
      <c r="H160">
        <f ca="1"/>
        <v>1.6995365090195094</v>
      </c>
      <c r="I160">
        <f ca="1"/>
        <v>1.2184010772865789E-2</v>
      </c>
      <c r="J160">
        <f ca="1"/>
        <v>-2.7286255103326283E-3</v>
      </c>
      <c r="K160">
        <f ca="1"/>
        <v>0</v>
      </c>
      <c r="L160">
        <f ca="1"/>
        <v>-0.1791061570481173</v>
      </c>
      <c r="M160">
        <f ca="1"/>
        <v>-7.1395301350161473</v>
      </c>
      <c r="N160">
        <f ca="1"/>
        <v>-7.7769516270040864</v>
      </c>
      <c r="O160">
        <f ca="1"/>
        <v>0</v>
      </c>
      <c r="P160">
        <f ca="1"/>
        <v>-15.09558791906835</v>
      </c>
      <c r="Q160">
        <f ca="1"/>
        <v>-5698.805359799645</v>
      </c>
    </row>
    <row r="161" spans="1:17">
      <c r="A161" s="2">
        <f ca="1"/>
        <v>160</v>
      </c>
      <c r="B161" s="2">
        <f ca="1"/>
        <v>7.7966101694915357E-2</v>
      </c>
      <c r="C161" s="7">
        <f ca="1"/>
        <v>3.9750000000000001E-2</v>
      </c>
      <c r="D161" s="4">
        <f ca="1"/>
        <v>1.7183926561072731</v>
      </c>
      <c r="E161" s="4">
        <f ca="1"/>
        <v>75.346743411220942</v>
      </c>
      <c r="F161" s="4">
        <f ca="1"/>
        <v>-641.13026210065993</v>
      </c>
      <c r="G161">
        <f ca="1"/>
        <v>-220274.12107865704</v>
      </c>
      <c r="H161">
        <f ca="1"/>
        <v>1.7183926561072731</v>
      </c>
      <c r="I161">
        <f ca="1"/>
        <v>1.212997250845186E-2</v>
      </c>
      <c r="J161">
        <f ca="1"/>
        <v>-3.0040118889678455E-3</v>
      </c>
      <c r="K161">
        <f ca="1"/>
        <v>0</v>
      </c>
      <c r="L161">
        <f ca="1"/>
        <v>-0.19891192701726607</v>
      </c>
      <c r="M161">
        <f ca="1"/>
        <v>-7.7768924536175401</v>
      </c>
      <c r="N161">
        <f ca="1"/>
        <v>-8.5270856251182732</v>
      </c>
      <c r="O161">
        <f ca="1"/>
        <v>0</v>
      </c>
      <c r="P161">
        <f ca="1"/>
        <v>-16.502890005753081</v>
      </c>
      <c r="Q161">
        <f ca="1"/>
        <v>-5537.2663974827337</v>
      </c>
    </row>
    <row r="162" spans="1:17">
      <c r="A162" s="2">
        <f ca="1"/>
        <v>161</v>
      </c>
      <c r="B162" s="2">
        <f ca="1"/>
        <v>8.4745762711864403E-2</v>
      </c>
      <c r="C162" s="7">
        <f ca="1"/>
        <v>0.04</v>
      </c>
      <c r="D162" s="4">
        <f ca="1"/>
        <v>1.7372087334801862</v>
      </c>
      <c r="E162" s="4">
        <f ca="1"/>
        <v>75.179584852801327</v>
      </c>
      <c r="F162" s="4">
        <f ca="1"/>
        <v>-696.1072671555678</v>
      </c>
      <c r="G162">
        <f ca="1"/>
        <v>-219531.60666035776</v>
      </c>
      <c r="H162">
        <f ca="1"/>
        <v>1.7372087334801862</v>
      </c>
      <c r="I162">
        <f ca="1"/>
        <v>1.2070918916098711E-2</v>
      </c>
      <c r="J162">
        <f ca="1"/>
        <v>-3.2707706253326386E-3</v>
      </c>
      <c r="K162">
        <f ca="1"/>
        <v>0</v>
      </c>
      <c r="L162">
        <f ca="1"/>
        <v>-0.21841804836969658</v>
      </c>
      <c r="M162">
        <f ca="1"/>
        <v>-8.4026543787419214</v>
      </c>
      <c r="N162">
        <f ca="1"/>
        <v>-9.2431486906980993</v>
      </c>
      <c r="O162">
        <f ca="1"/>
        <v>0</v>
      </c>
      <c r="P162">
        <f ca="1"/>
        <v>-17.86422111780972</v>
      </c>
      <c r="Q162">
        <f ca="1"/>
        <v>-5437.8087542171252</v>
      </c>
    </row>
    <row r="163" spans="1:17">
      <c r="A163" s="2">
        <f ca="1"/>
        <v>162</v>
      </c>
      <c r="B163" s="2">
        <f ca="1"/>
        <v>9.1525423728813671E-2</v>
      </c>
      <c r="C163" s="7">
        <f ca="1"/>
        <v>4.0250000000000001E-2</v>
      </c>
      <c r="D163" s="4">
        <f ca="1"/>
        <v>1.7559813051560025</v>
      </c>
      <c r="E163" s="4">
        <f ca="1"/>
        <v>74.998705891237307</v>
      </c>
      <c r="F163" s="4">
        <f ca="1"/>
        <v>-750.89090908071194</v>
      </c>
      <c r="G163">
        <f ca="1"/>
        <v>-218727.21604053353</v>
      </c>
      <c r="H163">
        <f ca="1"/>
        <v>1.7559813051560025</v>
      </c>
      <c r="I163">
        <f ca="1"/>
        <v>1.2006947002828963E-2</v>
      </c>
      <c r="J163">
        <f ca="1"/>
        <v>-3.5444024924252112E-3</v>
      </c>
      <c r="K163">
        <f ca="1"/>
        <v>0</v>
      </c>
      <c r="L163">
        <f ca="1"/>
        <v>-0.23759903288392861</v>
      </c>
      <c r="M163">
        <f ca="1"/>
        <v>-9.0159073502381695</v>
      </c>
      <c r="N163">
        <f ca="1"/>
        <v>-9.9682879997395464</v>
      </c>
      <c r="O163">
        <f ca="1"/>
        <v>0</v>
      </c>
      <c r="P163">
        <f ca="1"/>
        <v>-19.221794382861646</v>
      </c>
      <c r="Q163">
        <f ca="1"/>
        <v>-5319.4444897324565</v>
      </c>
    </row>
    <row r="164" spans="1:17">
      <c r="A164" s="2">
        <f ca="1"/>
        <v>163</v>
      </c>
      <c r="B164" s="2">
        <f ca="1"/>
        <v>9.8305084745762716E-2</v>
      </c>
      <c r="C164" s="7">
        <f ca="1"/>
        <v>4.0500000000000001E-2</v>
      </c>
      <c r="D164" s="4">
        <f ca="1"/>
        <v>1.7747069472376684</v>
      </c>
      <c r="E164" s="4">
        <f ca="1"/>
        <v>74.80415680094265</v>
      </c>
      <c r="F164" s="4">
        <f ca="1"/>
        <v>-805.46571882570754</v>
      </c>
      <c r="G164">
        <f ca="1"/>
        <v>-217860.9492191844</v>
      </c>
      <c r="H164">
        <f ca="1"/>
        <v>1.7747069472376684</v>
      </c>
      <c r="I164">
        <f ca="1"/>
        <v>1.1938130398930462E-2</v>
      </c>
      <c r="J164">
        <f ca="1"/>
        <v>-3.8071487171559867E-3</v>
      </c>
      <c r="K164">
        <f ca="1"/>
        <v>0</v>
      </c>
      <c r="L164">
        <f ca="1"/>
        <v>-0.25643011551498451</v>
      </c>
      <c r="M164">
        <f ca="1"/>
        <v>-9.6157547832095549</v>
      </c>
      <c r="N164">
        <f ca="1"/>
        <v>-10.651758463951413</v>
      </c>
      <c r="O164">
        <f ca="1"/>
        <v>0</v>
      </c>
      <c r="P164">
        <f ca="1"/>
        <v>-20.523943362675951</v>
      </c>
      <c r="Q164">
        <f ca="1"/>
        <v>-5140.883426096816</v>
      </c>
    </row>
    <row r="165" spans="1:17">
      <c r="A165" s="2">
        <f ca="1"/>
        <v>164</v>
      </c>
      <c r="B165" s="2">
        <f ca="1"/>
        <v>0.10508474576271198</v>
      </c>
      <c r="C165" s="7">
        <f ca="1"/>
        <v>4.0750000000000001E-2</v>
      </c>
      <c r="D165" s="4">
        <f ca="1"/>
        <v>1.7933822488801436</v>
      </c>
      <c r="E165" s="4">
        <f ca="1"/>
        <v>74.59599172359367</v>
      </c>
      <c r="F165" s="4">
        <f ca="1"/>
        <v>-859.81622734017708</v>
      </c>
      <c r="G165">
        <f ca="1"/>
        <v>-216932.8061963103</v>
      </c>
      <c r="H165">
        <f ca="1"/>
        <v>1.7933822488801436</v>
      </c>
      <c r="I165">
        <f ca="1"/>
        <v>1.1864595606008162E-2</v>
      </c>
      <c r="J165">
        <f ca="1"/>
        <v>-4.0671582019867411E-3</v>
      </c>
      <c r="K165">
        <f ca="1"/>
        <v>0</v>
      </c>
      <c r="L165">
        <f ca="1"/>
        <v>-0.27488731183089277</v>
      </c>
      <c r="M165">
        <f ca="1"/>
        <v>-10.201371832874781</v>
      </c>
      <c r="N165">
        <f ca="1"/>
        <v>-11.315976951204384</v>
      </c>
      <c r="O165">
        <f ca="1"/>
        <v>0</v>
      </c>
      <c r="P165">
        <f ca="1"/>
        <v>-21.792236095910056</v>
      </c>
      <c r="Q165">
        <f ca="1"/>
        <v>-4984.8962390900297</v>
      </c>
    </row>
    <row r="166" spans="1:17">
      <c r="A166" s="2">
        <f ca="1"/>
        <v>165</v>
      </c>
      <c r="B166" s="2">
        <f ca="1"/>
        <v>0.11186440677966103</v>
      </c>
      <c r="C166" s="7">
        <f ca="1"/>
        <v>4.1000000000000002E-2</v>
      </c>
      <c r="D166" s="4">
        <f ca="1"/>
        <v>1.8120038132572132</v>
      </c>
      <c r="E166" s="4">
        <f ca="1"/>
        <v>74.374268668129304</v>
      </c>
      <c r="F166" s="4">
        <f ca="1"/>
        <v>-913.92696557373563</v>
      </c>
      <c r="G166">
        <f ca="1"/>
        <v>-215942.78697191129</v>
      </c>
      <c r="H166">
        <f ca="1"/>
        <v>1.8120038132572132</v>
      </c>
      <c r="I166">
        <f ca="1"/>
        <v>1.1786481694080026E-2</v>
      </c>
      <c r="J166">
        <f ca="1"/>
        <v>-4.3212118828413826E-3</v>
      </c>
      <c r="K166">
        <f ca="1"/>
        <v>0</v>
      </c>
      <c r="L166">
        <f ca="1"/>
        <v>-0.29294747427313489</v>
      </c>
      <c r="M166">
        <f ca="1"/>
        <v>-10.77198344946094</v>
      </c>
      <c r="N166">
        <f ca="1"/>
        <v>-11.951460558486893</v>
      </c>
      <c r="O166">
        <f ca="1"/>
        <v>0</v>
      </c>
      <c r="P166">
        <f ca="1"/>
        <v>-23.016391482220968</v>
      </c>
      <c r="Q166">
        <f ca="1"/>
        <v>-4838.858620083779</v>
      </c>
    </row>
    <row r="167" spans="1:17">
      <c r="A167" s="2">
        <f ca="1"/>
        <v>166</v>
      </c>
      <c r="B167" s="2">
        <f ca="1"/>
        <v>0.1186440677966103</v>
      </c>
      <c r="C167" s="7">
        <f ca="1"/>
        <v>4.1250000000000002E-2</v>
      </c>
      <c r="D167" s="4">
        <f ca="1"/>
        <v>1.8305682585283063</v>
      </c>
      <c r="E167" s="4">
        <f ca="1"/>
        <v>74.139049510751065</v>
      </c>
      <c r="F167" s="4">
        <f ca="1"/>
        <v>-967.78246447600566</v>
      </c>
      <c r="G167">
        <f ca="1"/>
        <v>-214890.89154598731</v>
      </c>
      <c r="H167">
        <f ca="1"/>
        <v>1.8305682585283063</v>
      </c>
      <c r="I167">
        <f ca="1"/>
        <v>1.170386944580178E-2</v>
      </c>
      <c r="J167">
        <f ca="1"/>
        <v>-4.5752940009024957E-3</v>
      </c>
      <c r="K167">
        <f ca="1"/>
        <v>0</v>
      </c>
      <c r="L167">
        <f ca="1"/>
        <v>-0.31058834716177863</v>
      </c>
      <c r="M167">
        <f ca="1"/>
        <v>-11.326799616163468</v>
      </c>
      <c r="N167">
        <f ca="1"/>
        <v>-12.574277442626698</v>
      </c>
      <c r="O167">
        <f ca="1"/>
        <v>0</v>
      </c>
      <c r="P167">
        <f ca="1"/>
        <v>-24.211665405951948</v>
      </c>
      <c r="Q167">
        <f ca="1"/>
        <v>-4687.8781017797128</v>
      </c>
    </row>
    <row r="168" spans="1:17">
      <c r="A168" s="2">
        <f ca="1"/>
        <v>167</v>
      </c>
      <c r="B168" s="2">
        <f ca="1"/>
        <v>0.12542372881355934</v>
      </c>
      <c r="C168" s="7">
        <f ca="1"/>
        <v>4.1500000000000002E-2</v>
      </c>
      <c r="D168" s="4">
        <f ca="1"/>
        <v>1.8490722188053088</v>
      </c>
      <c r="E168" s="4">
        <f ca="1"/>
        <v>73.890399994923101</v>
      </c>
      <c r="F168" s="4">
        <f ca="1"/>
        <v>-1021.3672549966022</v>
      </c>
      <c r="G168">
        <f ca="1"/>
        <v>-213777.1199185384</v>
      </c>
      <c r="H168">
        <f ca="1"/>
        <v>1.8490722188053088</v>
      </c>
      <c r="I168">
        <f ca="1"/>
        <v>1.1616915593446752E-2</v>
      </c>
      <c r="J168">
        <f ca="1"/>
        <v>-4.8234096183632216E-3</v>
      </c>
      <c r="K168">
        <f ca="1"/>
        <v>0</v>
      </c>
      <c r="L168">
        <f ca="1"/>
        <v>-0.32778862022054905</v>
      </c>
      <c r="M168">
        <f ca="1"/>
        <v>-11.865137191205934</v>
      </c>
      <c r="N168">
        <f ca="1"/>
        <v>-13.167404721684342</v>
      </c>
      <c r="O168">
        <f ca="1"/>
        <v>0</v>
      </c>
      <c r="P168">
        <f ca="1"/>
        <v>-25.360330533110826</v>
      </c>
      <c r="Q168">
        <f ca="1"/>
        <v>-4474.1286604048473</v>
      </c>
    </row>
    <row r="169" spans="1:17">
      <c r="A169" s="2">
        <f ca="1"/>
        <v>168</v>
      </c>
      <c r="B169" s="2">
        <f ca="1"/>
        <v>0.13220338983050861</v>
      </c>
      <c r="C169" s="7">
        <f ca="1"/>
        <v>4.1750000000000002E-2</v>
      </c>
      <c r="D169" s="4">
        <f ca="1"/>
        <v>1.867512345119382</v>
      </c>
      <c r="E169" s="4">
        <f ca="1"/>
        <v>73.628389731372096</v>
      </c>
      <c r="F169" s="4">
        <f ca="1"/>
        <v>-1074.6658680851481</v>
      </c>
      <c r="G169">
        <f ca="1"/>
        <v>-212601.47208956454</v>
      </c>
      <c r="H169">
        <f ca="1"/>
        <v>1.867512345119382</v>
      </c>
      <c r="I169">
        <f ca="1"/>
        <v>1.1525759556545567E-2</v>
      </c>
      <c r="J169">
        <f ca="1"/>
        <v>-5.0608772860629529E-3</v>
      </c>
      <c r="K169">
        <f ca="1"/>
        <v>0</v>
      </c>
      <c r="L169">
        <f ca="1"/>
        <v>-0.34452776247383116</v>
      </c>
      <c r="M169">
        <f ca="1"/>
        <v>-12.386340399175733</v>
      </c>
      <c r="N169">
        <f ca="1"/>
        <v>-13.717861574504809</v>
      </c>
      <c r="O169">
        <f ca="1"/>
        <v>0</v>
      </c>
      <c r="P169">
        <f ca="1"/>
        <v>-26.448729736154373</v>
      </c>
      <c r="Q169">
        <f ca="1"/>
        <v>-4298.0543173959195</v>
      </c>
    </row>
    <row r="170" spans="1:17">
      <c r="A170" s="2">
        <f ca="1"/>
        <v>169</v>
      </c>
      <c r="B170" s="2">
        <f ca="1"/>
        <v>0.13898305084745766</v>
      </c>
      <c r="C170" s="7">
        <f ca="1"/>
        <v>4.2000000000000003E-2</v>
      </c>
      <c r="D170" s="4">
        <f ca="1"/>
        <v>1.8858853063877747</v>
      </c>
      <c r="E170" s="4">
        <f ca="1"/>
        <v>73.353092198087396</v>
      </c>
      <c r="F170" s="4">
        <f ca="1"/>
        <v>-1127.6628346912578</v>
      </c>
      <c r="G170">
        <f ca="1"/>
        <v>-211363.94805906579</v>
      </c>
      <c r="H170">
        <f ca="1"/>
        <v>1.8858853063877747</v>
      </c>
      <c r="I170">
        <f ca="1"/>
        <v>1.1430545772205277E-2</v>
      </c>
      <c r="J170">
        <f ca="1"/>
        <v>-5.2999993347842556E-3</v>
      </c>
      <c r="K170">
        <f ca="1"/>
        <v>0</v>
      </c>
      <c r="L170">
        <f ca="1"/>
        <v>-0.3607660761049124</v>
      </c>
      <c r="M170">
        <f ca="1"/>
        <v>-12.889801647553176</v>
      </c>
      <c r="N170">
        <f ca="1"/>
        <v>-14.258789968150701</v>
      </c>
      <c r="O170">
        <f ca="1"/>
        <v>0</v>
      </c>
      <c r="P170">
        <f ca="1"/>
        <v>-27.509357691808788</v>
      </c>
      <c r="Q170">
        <f ca="1"/>
        <v>-4130.4995905359083</v>
      </c>
    </row>
    <row r="171" spans="1:17">
      <c r="A171" s="2">
        <f ca="1"/>
        <v>170</v>
      </c>
      <c r="B171" s="2">
        <f ca="1"/>
        <v>0.14576271186440692</v>
      </c>
      <c r="C171" s="7">
        <f ca="1"/>
        <v>4.2250000000000003E-2</v>
      </c>
      <c r="D171" s="4">
        <f ca="1"/>
        <v>1.9041877903806432</v>
      </c>
      <c r="E171" s="4">
        <f ca="1"/>
        <v>73.064584740320882</v>
      </c>
      <c r="F171" s="4">
        <f ca="1"/>
        <v>-1180.3426857645538</v>
      </c>
      <c r="G171">
        <f ca="1"/>
        <v>-210064.547827042</v>
      </c>
      <c r="H171">
        <f ca="1"/>
        <v>1.9041877903806432</v>
      </c>
      <c r="I171">
        <f ca="1"/>
        <v>1.1331413543614036E-2</v>
      </c>
      <c r="J171">
        <f ca="1"/>
        <v>-5.5306570221824941E-3</v>
      </c>
      <c r="K171">
        <f ca="1"/>
        <v>0</v>
      </c>
      <c r="L171">
        <f ca="1"/>
        <v>-0.37650595405840176</v>
      </c>
      <c r="M171">
        <f ca="1"/>
        <v>-13.374951095578231</v>
      </c>
      <c r="N171">
        <f ca="1"/>
        <v>-14.762522481785696</v>
      </c>
      <c r="O171">
        <f ca="1"/>
        <v>0</v>
      </c>
      <c r="P171">
        <f ca="1"/>
        <v>-28.513979531422329</v>
      </c>
      <c r="Q171">
        <f ca="1"/>
        <v>-3926.0573117582676</v>
      </c>
    </row>
    <row r="172" spans="1:17">
      <c r="A172" s="2">
        <f ca="1"/>
        <v>171</v>
      </c>
      <c r="B172" s="2">
        <f ca="1"/>
        <v>0.15254237288135597</v>
      </c>
      <c r="C172" s="7">
        <f ca="1"/>
        <v>4.2500000000000003E-2</v>
      </c>
      <c r="D172" s="4">
        <f ca="1"/>
        <v>1.9224165046878623</v>
      </c>
      <c r="E172" s="4">
        <f ca="1"/>
        <v>72.762948570587056</v>
      </c>
      <c r="F172" s="4">
        <f ca="1"/>
        <v>-1232.6899522546516</v>
      </c>
      <c r="G172">
        <f ca="1"/>
        <v>-208703.27139349337</v>
      </c>
      <c r="H172">
        <f ca="1"/>
        <v>1.9224165046878623</v>
      </c>
      <c r="I172">
        <f ca="1"/>
        <v>1.1228526910490441E-2</v>
      </c>
      <c r="J172">
        <f ca="1"/>
        <v>-5.7567350282243827E-3</v>
      </c>
      <c r="K172">
        <f ca="1"/>
        <v>0</v>
      </c>
      <c r="L172">
        <f ca="1"/>
        <v>-0.39173070410651073</v>
      </c>
      <c r="M172">
        <f ca="1"/>
        <v>-13.841292301182532</v>
      </c>
      <c r="N172">
        <f ca="1"/>
        <v>-15.239363342398878</v>
      </c>
      <c r="O172">
        <f ca="1"/>
        <v>0</v>
      </c>
      <c r="P172">
        <f ca="1"/>
        <v>-29.472386347687923</v>
      </c>
      <c r="Q172">
        <f ca="1"/>
        <v>-3702.8234810730933</v>
      </c>
    </row>
    <row r="173" spans="1:17">
      <c r="A173" s="2">
        <f ca="1"/>
        <v>172</v>
      </c>
      <c r="B173" s="2">
        <f ca="1"/>
        <v>0.15932203389830524</v>
      </c>
      <c r="C173" s="7">
        <f ca="1"/>
        <v>4.2750000000000003E-2</v>
      </c>
      <c r="D173" s="4">
        <f ca="1"/>
        <v>1.9405681776858452</v>
      </c>
      <c r="E173" s="4">
        <f ca="1"/>
        <v>72.448268768663013</v>
      </c>
      <c r="F173" s="4">
        <f ca="1"/>
        <v>-1284.6891651111735</v>
      </c>
      <c r="G173">
        <f ca="1"/>
        <v>-207280.11875841976</v>
      </c>
      <c r="H173">
        <f ca="1"/>
        <v>1.9405681776858452</v>
      </c>
      <c r="I173">
        <f ca="1"/>
        <v>1.1122066981904976E-2</v>
      </c>
      <c r="J173">
        <f ca="1"/>
        <v>-5.9711598313469246E-3</v>
      </c>
      <c r="K173">
        <f ca="1"/>
        <v>0</v>
      </c>
      <c r="L173">
        <f ca="1"/>
        <v>-0.40642482530263618</v>
      </c>
      <c r="M173">
        <f ca="1"/>
        <v>-14.288398945294052</v>
      </c>
      <c r="N173">
        <f ca="1"/>
        <v>-15.670567501362191</v>
      </c>
      <c r="O173">
        <f ca="1"/>
        <v>0</v>
      </c>
      <c r="P173">
        <f ca="1"/>
        <v>-30.365391271958877</v>
      </c>
      <c r="Q173">
        <f ca="1"/>
        <v>-3511.6525578847554</v>
      </c>
    </row>
    <row r="174" spans="1:17">
      <c r="A174" s="2">
        <f ca="1"/>
        <v>173</v>
      </c>
      <c r="B174" s="2">
        <f ca="1"/>
        <v>0.16610169491525428</v>
      </c>
      <c r="C174" s="7">
        <f ca="1"/>
        <v>4.3000000000000003E-2</v>
      </c>
      <c r="D174" s="4">
        <f ca="1"/>
        <v>1.9586395595043555</v>
      </c>
      <c r="E174" s="4">
        <f ca="1"/>
        <v>72.120634281588465</v>
      </c>
      <c r="F174" s="4">
        <f ca="1"/>
        <v>-1336.3248552837345</v>
      </c>
      <c r="G174">
        <f ca="1"/>
        <v>-205795.08992182123</v>
      </c>
      <c r="H174">
        <f ca="1"/>
        <v>1.9586395595043555</v>
      </c>
      <c r="I174">
        <f ca="1"/>
        <v>1.1012198358157864E-2</v>
      </c>
      <c r="J174">
        <f ca="1"/>
        <v>-6.1874910053943315E-3</v>
      </c>
      <c r="K174">
        <f ca="1"/>
        <v>0</v>
      </c>
      <c r="L174">
        <f ca="1"/>
        <v>-0.42057404687031974</v>
      </c>
      <c r="M174">
        <f ca="1"/>
        <v>-14.715874377321086</v>
      </c>
      <c r="N174">
        <f ca="1"/>
        <v>-16.091764202438895</v>
      </c>
      <c r="O174">
        <f ca="1"/>
        <v>0</v>
      </c>
      <c r="P174">
        <f ca="1"/>
        <v>-31.228212626630302</v>
      </c>
      <c r="Q174">
        <f ca="1"/>
        <v>-3313.362631827556</v>
      </c>
    </row>
    <row r="175" spans="1:17">
      <c r="A175" s="2">
        <f ca="1"/>
        <v>174</v>
      </c>
      <c r="B175" s="2">
        <f ca="1"/>
        <v>0.17288135593220355</v>
      </c>
      <c r="C175" s="7">
        <f ca="1"/>
        <v>4.3250000000000004E-2</v>
      </c>
      <c r="D175" s="4">
        <f ca="1"/>
        <v>1.9766274229933263</v>
      </c>
      <c r="E175" s="4">
        <f ca="1"/>
        <v>71.780137923665677</v>
      </c>
      <c r="F175" s="4">
        <f ca="1"/>
        <v>-1387.5815537219571</v>
      </c>
      <c r="G175">
        <f ca="1"/>
        <v>-204248.18488369772</v>
      </c>
      <c r="H175">
        <f ca="1"/>
        <v>1.9766274229933263</v>
      </c>
      <c r="I175">
        <f ca="1"/>
        <v>1.0899076714903835E-2</v>
      </c>
      <c r="J175">
        <f ca="1"/>
        <v>-6.3910360715460461E-3</v>
      </c>
      <c r="K175">
        <f ca="1"/>
        <v>0</v>
      </c>
      <c r="L175">
        <f ca="1"/>
        <v>-0.43416536417951429</v>
      </c>
      <c r="M175">
        <f ca="1"/>
        <v>-15.123357802201067</v>
      </c>
      <c r="N175">
        <f ca="1"/>
        <v>-16.464549421492073</v>
      </c>
      <c r="O175">
        <f ca="1"/>
        <v>0</v>
      </c>
      <c r="P175">
        <f ca="1"/>
        <v>-32.022072587872657</v>
      </c>
      <c r="Q175">
        <f ca="1"/>
        <v>-3075.5384634363568</v>
      </c>
    </row>
    <row r="176" spans="1:17">
      <c r="A176" s="2">
        <f ca="1"/>
        <v>175</v>
      </c>
      <c r="B176" s="2">
        <f ca="1"/>
        <v>0.17966101694915282</v>
      </c>
      <c r="C176" s="7">
        <f ca="1"/>
        <v>4.3500000000000004E-2</v>
      </c>
      <c r="D176" s="4">
        <f ca="1"/>
        <v>1.9945285646896729</v>
      </c>
      <c r="E176" s="4">
        <f ca="1"/>
        <v>71.426876376459532</v>
      </c>
      <c r="F176" s="4">
        <f ca="1"/>
        <v>-1438.4437913754582</v>
      </c>
      <c r="G176">
        <f ca="1"/>
        <v>-202639.40364404928</v>
      </c>
      <c r="H176">
        <f ca="1"/>
        <v>1.9945285646896729</v>
      </c>
      <c r="I176">
        <f ca="1"/>
        <v>1.0782906686078167E-2</v>
      </c>
      <c r="J176">
        <f ca="1"/>
        <v>-6.5891230533420683E-3</v>
      </c>
      <c r="K176">
        <f ca="1"/>
        <v>0</v>
      </c>
      <c r="L176">
        <f ca="1"/>
        <v>-0.44718707140547043</v>
      </c>
      <c r="M176">
        <f ca="1"/>
        <v>-15.510605175570056</v>
      </c>
      <c r="N176">
        <f ca="1"/>
        <v>-16.808189611372953</v>
      </c>
      <c r="O176">
        <f ca="1"/>
        <v>0</v>
      </c>
      <c r="P176">
        <f ca="1"/>
        <v>-32.765981858348482</v>
      </c>
      <c r="Q176">
        <f ca="1"/>
        <v>-2854.0322355318867</v>
      </c>
    </row>
    <row r="177" spans="1:17">
      <c r="A177" s="2">
        <f ca="1"/>
        <v>176</v>
      </c>
      <c r="B177" s="2">
        <f ca="1"/>
        <v>0.18644067796610186</v>
      </c>
      <c r="C177" s="7">
        <f ca="1"/>
        <v>4.3750000000000004E-2</v>
      </c>
      <c r="D177" s="4">
        <f ca="1"/>
        <v>2.0123398057841091</v>
      </c>
      <c r="E177" s="4">
        <f ca="1"/>
        <v>71.060950188797534</v>
      </c>
      <c r="F177" s="4">
        <f ca="1"/>
        <v>-1488.8960991938548</v>
      </c>
      <c r="G177">
        <f ca="1"/>
        <v>-200968.74620287592</v>
      </c>
      <c r="H177">
        <f ca="1"/>
        <v>2.0123398057841091</v>
      </c>
      <c r="I177">
        <f ca="1"/>
        <v>1.0663866940103484E-2</v>
      </c>
      <c r="J177">
        <f ca="1"/>
        <v>-6.7775155666824106E-3</v>
      </c>
      <c r="K177">
        <f ca="1"/>
        <v>0</v>
      </c>
      <c r="L177">
        <f ca="1"/>
        <v>-0.45962879080135993</v>
      </c>
      <c r="M177">
        <f ca="1"/>
        <v>-15.877389889442385</v>
      </c>
      <c r="N177">
        <f ca="1"/>
        <v>-17.112070025394861</v>
      </c>
      <c r="O177">
        <f ca="1"/>
        <v>0</v>
      </c>
      <c r="P177">
        <f ca="1"/>
        <v>-33.449088705638601</v>
      </c>
      <c r="Q177">
        <f ca="1"/>
        <v>-2620.3635895152984</v>
      </c>
    </row>
    <row r="178" spans="1:17">
      <c r="A178" s="2">
        <f ca="1"/>
        <v>177</v>
      </c>
      <c r="B178" s="2">
        <f ca="1"/>
        <v>0.19322033898305091</v>
      </c>
      <c r="C178" s="7">
        <f ca="1"/>
        <v>4.3999999999999997E-2</v>
      </c>
      <c r="D178" s="4">
        <f ca="1"/>
        <v>2.030057993087965</v>
      </c>
      <c r="E178" s="4">
        <f ca="1"/>
        <v>70.682463776769737</v>
      </c>
      <c r="F178" s="4">
        <f ca="1"/>
        <v>-1538.9230081267672</v>
      </c>
      <c r="G178">
        <f ca="1"/>
        <v>-199236.21256017764</v>
      </c>
      <c r="H178">
        <f ca="1"/>
        <v>2.030057993087965</v>
      </c>
      <c r="I178">
        <f ca="1"/>
        <v>1.0542158008711411E-2</v>
      </c>
      <c r="J178">
        <f ca="1"/>
        <v>-6.9579965832619519E-3</v>
      </c>
      <c r="K178">
        <f ca="1"/>
        <v>0</v>
      </c>
      <c r="L178">
        <f ca="1"/>
        <v>-0.4714814981785202</v>
      </c>
      <c r="M178">
        <f ca="1"/>
        <v>-16.223569514913855</v>
      </c>
      <c r="N178">
        <f ca="1"/>
        <v>-17.38111264001374</v>
      </c>
      <c r="O178">
        <f ca="1"/>
        <v>0</v>
      </c>
      <c r="P178">
        <f ca="1"/>
        <v>-34.076163653106114</v>
      </c>
      <c r="Q178">
        <f ca="1"/>
        <v>-2426.1854440731299</v>
      </c>
    </row>
    <row r="179" spans="1:17">
      <c r="A179" s="2">
        <f ca="1"/>
        <v>178</v>
      </c>
      <c r="B179" s="2">
        <f ca="1"/>
        <v>0.19999999999999996</v>
      </c>
      <c r="C179" s="7">
        <f ca="1"/>
        <v>4.4249999999999998E-2</v>
      </c>
      <c r="D179" s="4">
        <f ca="1"/>
        <v>2.0476799999999997</v>
      </c>
      <c r="E179" s="4">
        <f ca="1"/>
        <v>70.291525423728814</v>
      </c>
      <c r="F179" s="4">
        <f ca="1"/>
        <v>-1588.509049123815</v>
      </c>
      <c r="G179">
        <f ca="1"/>
        <v>-197441.80271595443</v>
      </c>
      <c r="H179">
        <f ca="1"/>
        <v>2.0476799999999997</v>
      </c>
      <c r="I179">
        <f ca="1"/>
        <v>1.0417946468952581E-2</v>
      </c>
      <c r="J179">
        <f ca="1"/>
        <v>-7.136532547021914E-3</v>
      </c>
      <c r="K179">
        <f ca="1"/>
        <v>0</v>
      </c>
      <c r="L179">
        <f ca="1"/>
        <v>-0.4827375445169112</v>
      </c>
      <c r="M179">
        <f ca="1"/>
        <v>-16.54900223921867</v>
      </c>
      <c r="N179">
        <f ca="1"/>
        <v>-17.630441643939569</v>
      </c>
      <c r="O179">
        <f ca="1"/>
        <v>0</v>
      </c>
      <c r="P179">
        <f ca="1"/>
        <v>-34.662181427675151</v>
      </c>
      <c r="Q179">
        <f ca="1"/>
        <v>-2203.5546192723368</v>
      </c>
    </row>
    <row r="180" spans="1:17">
      <c r="A180" s="2">
        <f ca="1"/>
        <v>179</v>
      </c>
      <c r="B180" s="2">
        <f ca="1"/>
        <v>0.20677966101694922</v>
      </c>
      <c r="C180" s="7">
        <f ca="1"/>
        <v>4.4499999999999998E-2</v>
      </c>
      <c r="D180" s="4">
        <f ca="1"/>
        <v>2.0652027274732205</v>
      </c>
      <c r="E180" s="4">
        <f ca="1"/>
        <v>69.888247280290017</v>
      </c>
      <c r="F180" s="4">
        <f ca="1"/>
        <v>-1637.6387531346177</v>
      </c>
      <c r="G180">
        <f ca="1"/>
        <v>-195585.51667020621</v>
      </c>
      <c r="H180">
        <f ca="1"/>
        <v>2.0652027274732205</v>
      </c>
      <c r="I180">
        <f ca="1"/>
        <v>1.0291455290434138E-2</v>
      </c>
      <c r="J180">
        <f ca="1"/>
        <v>-7.3011974266658083E-3</v>
      </c>
      <c r="K180">
        <f ca="1"/>
        <v>0</v>
      </c>
      <c r="L180">
        <f ca="1"/>
        <v>-0.49339067338973408</v>
      </c>
      <c r="M180">
        <f ca="1"/>
        <v>-16.853686009767227</v>
      </c>
      <c r="N180">
        <f ca="1"/>
        <v>-17.830864279585324</v>
      </c>
      <c r="O180">
        <f ca="1"/>
        <v>0</v>
      </c>
      <c r="P180">
        <f ca="1"/>
        <v>-35.177940962742284</v>
      </c>
      <c r="Q180">
        <f ca="1"/>
        <v>-1965.5887507997516</v>
      </c>
    </row>
    <row r="181" spans="1:17">
      <c r="A181" s="2">
        <f ca="1"/>
        <v>180</v>
      </c>
      <c r="B181" s="2">
        <f ca="1"/>
        <v>0.21355932203389827</v>
      </c>
      <c r="C181" s="7">
        <f ca="1"/>
        <v>4.4749999999999998E-2</v>
      </c>
      <c r="D181" s="4">
        <f ca="1"/>
        <v>2.0826231049816926</v>
      </c>
      <c r="E181" s="4">
        <f ca="1"/>
        <v>69.472745364331232</v>
      </c>
      <c r="F181" s="4">
        <f ca="1"/>
        <v>-1686.2966511087909</v>
      </c>
      <c r="G181">
        <f ca="1"/>
        <v>-193667.35442293313</v>
      </c>
      <c r="H181">
        <f ca="1"/>
        <v>2.0826231049816926</v>
      </c>
      <c r="I181">
        <f ca="1"/>
        <v>1.0162872275000592E-2</v>
      </c>
      <c r="J181">
        <f ca="1"/>
        <v>-7.460504604091314E-3</v>
      </c>
      <c r="K181">
        <f ca="1"/>
        <v>0</v>
      </c>
      <c r="L181">
        <f ca="1"/>
        <v>-0.50343603402597015</v>
      </c>
      <c r="M181">
        <f ca="1"/>
        <v>-17.137617482979877</v>
      </c>
      <c r="N181">
        <f ca="1"/>
        <v>-18.003922286069184</v>
      </c>
      <c r="O181">
        <f ca="1"/>
        <v>0</v>
      </c>
      <c r="P181">
        <f ca="1"/>
        <v>-35.644975803075027</v>
      </c>
      <c r="Q181">
        <f ca="1"/>
        <v>-1731.9937900208784</v>
      </c>
    </row>
    <row r="182" spans="1:17">
      <c r="A182" s="2">
        <f ca="1"/>
        <v>181</v>
      </c>
      <c r="B182" s="2">
        <f ca="1"/>
        <v>0.22033898305084754</v>
      </c>
      <c r="C182" s="7">
        <f ca="1"/>
        <v>4.4999999999999998E-2</v>
      </c>
      <c r="D182" s="4">
        <f ca="1"/>
        <v>2.099938091487362</v>
      </c>
      <c r="E182" s="4">
        <f ca="1"/>
        <v>69.04513956099288</v>
      </c>
      <c r="F182" s="4">
        <f ca="1"/>
        <v>-1734.4672739959569</v>
      </c>
      <c r="G182">
        <f ca="1"/>
        <v>-191687.31597413504</v>
      </c>
      <c r="H182">
        <f ca="1"/>
        <v>2.099938091487362</v>
      </c>
      <c r="I182">
        <f ca="1"/>
        <v>1.003240870683998E-2</v>
      </c>
      <c r="J182">
        <f ca="1"/>
        <v>-7.6061688460750286E-3</v>
      </c>
      <c r="K182">
        <f ca="1"/>
        <v>0</v>
      </c>
      <c r="L182">
        <f ca="1"/>
        <v>-0.51287018976052479</v>
      </c>
      <c r="M182">
        <f ca="1"/>
        <v>-17.400884581366043</v>
      </c>
      <c r="N182">
        <f ca="1"/>
        <v>-18.130183086626158</v>
      </c>
      <c r="O182">
        <f ca="1"/>
        <v>0</v>
      </c>
      <c r="P182">
        <f ca="1"/>
        <v>-36.043937857752724</v>
      </c>
      <c r="Q182">
        <f ca="1"/>
        <v>-1503.7291973203808</v>
      </c>
    </row>
    <row r="183" spans="1:17">
      <c r="A183" s="2">
        <f ca="1"/>
        <v>182</v>
      </c>
      <c r="B183" s="2">
        <f ca="1"/>
        <v>0.22711864406779658</v>
      </c>
      <c r="C183" s="7">
        <f ca="1"/>
        <v>4.5249999999999999E-2</v>
      </c>
      <c r="D183" s="4">
        <f ca="1"/>
        <v>2.1171446764068653</v>
      </c>
      <c r="E183" s="4">
        <f ca="1"/>
        <v>68.60555362267803</v>
      </c>
      <c r="F183" s="4">
        <f ca="1"/>
        <v>-1782.1351527457314</v>
      </c>
      <c r="G183">
        <f ca="1"/>
        <v>-189645.40132381208</v>
      </c>
      <c r="H183">
        <f ca="1"/>
        <v>2.1171446764068653</v>
      </c>
      <c r="I183">
        <f ca="1"/>
        <v>9.9002698423786249E-3</v>
      </c>
      <c r="J183">
        <f ca="1"/>
        <v>-7.7470181664595324E-3</v>
      </c>
      <c r="K183">
        <f ca="1"/>
        <v>0</v>
      </c>
      <c r="L183">
        <f ca="1"/>
        <v>-0.52169112169604404</v>
      </c>
      <c r="M183">
        <f ca="1"/>
        <v>-17.643618907771387</v>
      </c>
      <c r="N183">
        <f ca="1"/>
        <v>-18.231530372267784</v>
      </c>
      <c r="O183">
        <f ca="1"/>
        <v>0</v>
      </c>
      <c r="P183">
        <f ca="1"/>
        <v>-36.396840401735219</v>
      </c>
      <c r="Q183">
        <f ca="1"/>
        <v>-1324.3379200929428</v>
      </c>
    </row>
    <row r="184" spans="1:17">
      <c r="A184" s="2">
        <f ca="1"/>
        <v>183</v>
      </c>
      <c r="B184" s="2">
        <f ca="1"/>
        <v>0.23389830508474585</v>
      </c>
      <c r="C184" s="7">
        <f ca="1"/>
        <v>4.5499999999999999E-2</v>
      </c>
      <c r="D184" s="4">
        <f ca="1"/>
        <v>2.1342398805783493</v>
      </c>
      <c r="E184" s="4">
        <f ca="1"/>
        <v>68.154115169052332</v>
      </c>
      <c r="F184" s="4">
        <f ca="1"/>
        <v>-1829.284818307736</v>
      </c>
      <c r="G184">
        <f ca="1"/>
        <v>-187541.61047196412</v>
      </c>
      <c r="H184">
        <f ca="1"/>
        <v>2.1342398805783493</v>
      </c>
      <c r="I184">
        <f ca="1"/>
        <v>9.7666380752978576E-3</v>
      </c>
      <c r="J184">
        <f ca="1"/>
        <v>-7.8838799623247059E-3</v>
      </c>
      <c r="K184">
        <f ca="1"/>
        <v>0</v>
      </c>
      <c r="L184">
        <f ca="1"/>
        <v>-0.52989822738979842</v>
      </c>
      <c r="M184">
        <f ca="1"/>
        <v>-17.86596275704866</v>
      </c>
      <c r="N184">
        <f ca="1"/>
        <v>-18.310245833360735</v>
      </c>
      <c r="O184">
        <f ca="1"/>
        <v>0</v>
      </c>
      <c r="P184">
        <f ca="1"/>
        <v>-36.706106817799196</v>
      </c>
      <c r="Q184">
        <f ca="1"/>
        <v>-1097.495357157924</v>
      </c>
    </row>
    <row r="185" spans="1:17">
      <c r="A185" s="2">
        <f ca="1"/>
        <v>184</v>
      </c>
      <c r="B185" s="2">
        <f ca="1"/>
        <v>0.2406779661016949</v>
      </c>
      <c r="C185" s="7">
        <f ca="1"/>
        <v>4.5749999999999999E-2</v>
      </c>
      <c r="D185" s="4">
        <f ca="1"/>
        <v>2.151220757228284</v>
      </c>
      <c r="E185" s="4">
        <f ca="1"/>
        <v>67.69095568704401</v>
      </c>
      <c r="F185" s="4">
        <f ca="1"/>
        <v>-1875.9008016315868</v>
      </c>
      <c r="G185">
        <f ca="1"/>
        <v>-185375.94341859125</v>
      </c>
      <c r="H185">
        <f ca="1"/>
        <v>2.151220757228284</v>
      </c>
      <c r="I185">
        <f ca="1"/>
        <v>9.6317393123488571E-3</v>
      </c>
      <c r="J185">
        <f ca="1"/>
        <v>-8.0050834461182236E-3</v>
      </c>
      <c r="K185">
        <f ca="1"/>
        <v>0</v>
      </c>
      <c r="L185">
        <f ca="1"/>
        <v>-0.53749231437755174</v>
      </c>
      <c r="M185">
        <f ca="1"/>
        <v>-18.06818749714169</v>
      </c>
      <c r="N185">
        <f ca="1"/>
        <v>-18.33990826879494</v>
      </c>
      <c r="O185">
        <f ca="1"/>
        <v>0</v>
      </c>
      <c r="P185">
        <f ca="1"/>
        <v>-36.945588080314181</v>
      </c>
      <c r="Q185">
        <f ca="1"/>
        <v>-862.54525912795464</v>
      </c>
    </row>
    <row r="186" spans="1:17">
      <c r="A186" s="2">
        <f ca="1"/>
        <v>185</v>
      </c>
      <c r="B186" s="2">
        <f ca="1"/>
        <v>0.24745762711864416</v>
      </c>
      <c r="C186" s="7">
        <f ca="1"/>
        <v>4.5999999999999999E-2</v>
      </c>
      <c r="D186" s="4">
        <f ca="1"/>
        <v>2.1680843929382796</v>
      </c>
      <c r="E186" s="4">
        <f ca="1"/>
        <v>67.21621053084391</v>
      </c>
      <c r="F186" s="4">
        <f ca="1"/>
        <v>-1921.9676336669047</v>
      </c>
      <c r="G186">
        <f ca="1"/>
        <v>-183148.40016369341</v>
      </c>
      <c r="H186">
        <f ca="1"/>
        <v>2.1680843929382796</v>
      </c>
      <c r="I186">
        <f ca="1"/>
        <v>9.4957766022256886E-3</v>
      </c>
      <c r="J186">
        <f ca="1"/>
        <v>-8.1196332919248066E-3</v>
      </c>
      <c r="K186">
        <f ca="1"/>
        <v>0</v>
      </c>
      <c r="L186">
        <f ca="1"/>
        <v>-0.54447558837728716</v>
      </c>
      <c r="M186">
        <f ca="1"/>
        <v>-18.250575286009269</v>
      </c>
      <c r="N186">
        <f ca="1"/>
        <v>-18.342328572976619</v>
      </c>
      <c r="O186">
        <f ca="1"/>
        <v>0</v>
      </c>
      <c r="P186">
        <f ca="1"/>
        <v>-37.137379447363173</v>
      </c>
      <c r="Q186">
        <f ca="1"/>
        <v>-656.93228924322909</v>
      </c>
    </row>
    <row r="187" spans="1:17">
      <c r="A187" s="2">
        <f ca="1"/>
        <v>186</v>
      </c>
      <c r="B187" s="2">
        <f ca="1"/>
        <v>0.25423728813559321</v>
      </c>
      <c r="C187" s="7">
        <f ca="1"/>
        <v>4.6249999999999999E-2</v>
      </c>
      <c r="D187" s="4">
        <f ca="1"/>
        <v>2.1848279086119016</v>
      </c>
      <c r="E187" s="4">
        <f ca="1"/>
        <v>66.730018921905469</v>
      </c>
      <c r="F187" s="4">
        <f ca="1"/>
        <v>-1967.4698453633061</v>
      </c>
      <c r="G187">
        <f ca="1"/>
        <v>-180858.98070727068</v>
      </c>
      <c r="H187">
        <f ca="1"/>
        <v>2.1848279086119016</v>
      </c>
      <c r="I187">
        <f ca="1"/>
        <v>9.3589477095006052E-3</v>
      </c>
      <c r="J187">
        <f ca="1"/>
        <v>-8.2237526091582993E-3</v>
      </c>
      <c r="K187">
        <f ca="1"/>
        <v>0</v>
      </c>
      <c r="L187">
        <f ca="1"/>
        <v>-0.5508516360279575</v>
      </c>
      <c r="M187">
        <f ca="1"/>
        <v>-18.413447402774423</v>
      </c>
      <c r="N187">
        <f ca="1"/>
        <v>-18.309755186133412</v>
      </c>
      <c r="O187">
        <f ca="1"/>
        <v>0</v>
      </c>
      <c r="P187">
        <f ca="1"/>
        <v>-37.274054224935796</v>
      </c>
      <c r="Q187">
        <f ca="1"/>
        <v>-440.57359146188406</v>
      </c>
    </row>
    <row r="188" spans="1:17">
      <c r="A188" s="2">
        <f ca="1"/>
        <v>187</v>
      </c>
      <c r="B188" s="2">
        <f ca="1"/>
        <v>0.26101694915254248</v>
      </c>
      <c r="C188" s="7">
        <f ca="1"/>
        <v>4.65E-2</v>
      </c>
      <c r="D188" s="4">
        <f ca="1"/>
        <v>2.2014484604414881</v>
      </c>
      <c r="E188" s="4">
        <f ca="1"/>
        <v>66.232523948944689</v>
      </c>
      <c r="F188" s="4">
        <f ca="1"/>
        <v>-2012.3919676704131</v>
      </c>
      <c r="G188">
        <f ca="1"/>
        <v>-178507.68504932296</v>
      </c>
      <c r="H188">
        <f ca="1"/>
        <v>2.2014484604414881</v>
      </c>
      <c r="I188">
        <f ca="1"/>
        <v>9.2214631338448528E-3</v>
      </c>
      <c r="J188">
        <f ca="1"/>
        <v>-8.3177085659769164E-3</v>
      </c>
      <c r="K188">
        <f ca="1"/>
        <v>0</v>
      </c>
      <c r="L188">
        <f ca="1"/>
        <v>-0.55662540212736633</v>
      </c>
      <c r="M188">
        <f ca="1"/>
        <v>-18.557198340718216</v>
      </c>
      <c r="N188">
        <f ca="1"/>
        <v>-18.243842500248537</v>
      </c>
      <c r="O188">
        <f ca="1"/>
        <v>0</v>
      </c>
      <c r="P188">
        <f ca="1"/>
        <v>-37.357666243094116</v>
      </c>
      <c r="Q188">
        <f ca="1"/>
        <v>-235.48850810638535</v>
      </c>
    </row>
    <row r="189" spans="1:17">
      <c r="A189" s="2">
        <f ca="1"/>
        <v>188</v>
      </c>
      <c r="B189" s="2">
        <f ca="1"/>
        <v>0.26779661016949152</v>
      </c>
      <c r="C189" s="7">
        <f ca="1"/>
        <v>4.675E-2</v>
      </c>
      <c r="D189" s="4">
        <f ca="1"/>
        <v>2.2179432408749618</v>
      </c>
      <c r="E189" s="4">
        <f ca="1"/>
        <v>65.723872567940234</v>
      </c>
      <c r="F189" s="4">
        <f ca="1"/>
        <v>-2056.7185315378406</v>
      </c>
      <c r="G189">
        <f ca="1"/>
        <v>-176094.51318985035</v>
      </c>
      <c r="H189">
        <f ca="1"/>
        <v>2.2179432408749618</v>
      </c>
      <c r="I189">
        <f ca="1"/>
        <v>9.0835303136628485E-3</v>
      </c>
      <c r="J189">
        <f ca="1"/>
        <v>-8.402451601975211E-3</v>
      </c>
      <c r="K189">
        <f ca="1"/>
        <v>0</v>
      </c>
      <c r="L189">
        <f ca="1"/>
        <v>-0.56180316115606188</v>
      </c>
      <c r="M189">
        <f ca="1"/>
        <v>-18.682265127896116</v>
      </c>
      <c r="N189">
        <f ca="1"/>
        <v>-18.147730189936809</v>
      </c>
      <c r="O189">
        <f ca="1"/>
        <v>0</v>
      </c>
      <c r="P189">
        <f ca="1"/>
        <v>-37.391798478988989</v>
      </c>
      <c r="Q189">
        <f ca="1"/>
        <v>-63.139234448868763</v>
      </c>
    </row>
    <row r="190" spans="1:17">
      <c r="A190" s="2">
        <f ca="1"/>
        <v>189</v>
      </c>
      <c r="B190" s="2">
        <f ca="1"/>
        <v>0.27457627118644079</v>
      </c>
      <c r="C190" s="7">
        <f ca="1"/>
        <v>4.7E-2</v>
      </c>
      <c r="D190" s="4">
        <f ca="1"/>
        <v>2.2343094795826492</v>
      </c>
      <c r="E190" s="4">
        <f ca="1"/>
        <v>65.204215602133289</v>
      </c>
      <c r="F190" s="4">
        <f ca="1"/>
        <v>-2100.434067915211</v>
      </c>
      <c r="G190">
        <f ca="1"/>
        <v>-173619.46512885272</v>
      </c>
      <c r="H190">
        <f ca="1"/>
        <v>2.2343094795826492</v>
      </c>
      <c r="I190">
        <f ca="1"/>
        <v>8.9453340105462437E-3</v>
      </c>
      <c r="J190">
        <f ca="1"/>
        <v>-8.4833016391556507E-3</v>
      </c>
      <c r="K190">
        <f ca="1"/>
        <v>0</v>
      </c>
      <c r="L190">
        <f ca="1"/>
        <v>-0.56639248321226676</v>
      </c>
      <c r="M190">
        <f ca="1"/>
        <v>-18.789084304631935</v>
      </c>
      <c r="N190">
        <f ca="1"/>
        <v>-18.03375907247435</v>
      </c>
      <c r="O190">
        <f ca="1"/>
        <v>0</v>
      </c>
      <c r="P190">
        <f ca="1"/>
        <v>-37.38923586031855</v>
      </c>
      <c r="Q190">
        <f ca="1"/>
        <v>121.11840211539959</v>
      </c>
    </row>
    <row r="191" spans="1:17">
      <c r="A191" s="2">
        <f ca="1"/>
        <v>190</v>
      </c>
      <c r="B191" s="2">
        <f ca="1"/>
        <v>0.28135593220338984</v>
      </c>
      <c r="C191" s="7">
        <f ca="1"/>
        <v>4.725E-2</v>
      </c>
      <c r="D191" s="4">
        <f ca="1"/>
        <v>2.2505444444240941</v>
      </c>
      <c r="E191" s="4">
        <f ca="1"/>
        <v>64.673707742027673</v>
      </c>
      <c r="F191" s="4">
        <f ca="1"/>
        <v>-2143.5231077521398</v>
      </c>
      <c r="G191">
        <f ca="1"/>
        <v>-171082.54086633024</v>
      </c>
      <c r="H191">
        <f ca="1"/>
        <v>2.2505444444240941</v>
      </c>
      <c r="I191">
        <f ca="1"/>
        <v>8.8070719695512601E-3</v>
      </c>
      <c r="J191">
        <f ca="1"/>
        <v>-8.5508202725788698E-3</v>
      </c>
      <c r="K191">
        <f ca="1"/>
        <v>0</v>
      </c>
      <c r="L191">
        <f ca="1"/>
        <v>-0.5703683047241126</v>
      </c>
      <c r="M191">
        <f ca="1"/>
        <v>-18.878162278369278</v>
      </c>
      <c r="N191">
        <f ca="1"/>
        <v>-17.882708694837895</v>
      </c>
      <c r="O191">
        <f ca="1"/>
        <v>0</v>
      </c>
      <c r="P191">
        <f ca="1"/>
        <v>-37.331239277931289</v>
      </c>
      <c r="Q191">
        <f ca="1"/>
        <v>328.69180527040925</v>
      </c>
    </row>
    <row r="192" spans="1:17">
      <c r="A192" s="2">
        <f ca="1"/>
        <v>191</v>
      </c>
      <c r="B192" s="2">
        <f ca="1"/>
        <v>0.2881355932203391</v>
      </c>
      <c r="C192" s="7">
        <f ca="1"/>
        <v>4.7500000000000001E-2</v>
      </c>
      <c r="D192" s="4">
        <f ca="1"/>
        <v>2.2666454424148763</v>
      </c>
      <c r="E192" s="4">
        <f ca="1"/>
        <v>64.132507545389771</v>
      </c>
      <c r="F192" s="4">
        <f ca="1"/>
        <v>-2185.9701819982492</v>
      </c>
      <c r="G192">
        <f ca="1"/>
        <v>-168483.74040228274</v>
      </c>
      <c r="H192">
        <f ca="1"/>
        <v>2.2666454424148763</v>
      </c>
      <c r="I192">
        <f ca="1"/>
        <v>8.6689411279469962E-3</v>
      </c>
      <c r="J192">
        <f ca="1"/>
        <v>-8.6074285927825282E-3</v>
      </c>
      <c r="K192">
        <f ca="1"/>
        <v>0</v>
      </c>
      <c r="L192">
        <f ca="1"/>
        <v>-0.57375866774792983</v>
      </c>
      <c r="M192">
        <f ca="1"/>
        <v>-18.950046815190404</v>
      </c>
      <c r="N192">
        <f ca="1"/>
        <v>-17.701084474745006</v>
      </c>
      <c r="O192">
        <f ca="1"/>
        <v>0</v>
      </c>
      <c r="P192">
        <f ca="1"/>
        <v>-37.224889957683345</v>
      </c>
      <c r="Q192">
        <f ca="1"/>
        <v>505.83030181984111</v>
      </c>
    </row>
    <row r="193" spans="1:17">
      <c r="A193" s="2">
        <f ca="1"/>
        <v>192</v>
      </c>
      <c r="B193" s="2">
        <f ca="1"/>
        <v>0.29491525423728815</v>
      </c>
      <c r="C193" s="7">
        <f ca="1"/>
        <v>4.7750000000000001E-2</v>
      </c>
      <c r="D193" s="4">
        <f ca="1"/>
        <v>2.2826098206934216</v>
      </c>
      <c r="E193" s="4">
        <f ca="1"/>
        <v>63.580777437248642</v>
      </c>
      <c r="F193" s="4">
        <f ca="1"/>
        <v>-2227.7598216031547</v>
      </c>
      <c r="G193">
        <f ca="1"/>
        <v>-165823.06373671041</v>
      </c>
      <c r="H193">
        <f ca="1"/>
        <v>2.2826098206934216</v>
      </c>
      <c r="I193">
        <f ca="1"/>
        <v>8.5311346307722653E-3</v>
      </c>
      <c r="J193">
        <f ca="1"/>
        <v>-8.6562047882078382E-3</v>
      </c>
      <c r="K193">
        <f ca="1"/>
        <v>0</v>
      </c>
      <c r="L193">
        <f ca="1"/>
        <v>-0.57658519094810445</v>
      </c>
      <c r="M193">
        <f ca="1"/>
        <v>-19.005318963121717</v>
      </c>
      <c r="N193">
        <f ca="1"/>
        <v>-17.496419972951546</v>
      </c>
      <c r="O193">
        <f ca="1"/>
        <v>0</v>
      </c>
      <c r="P193">
        <f ca="1"/>
        <v>-37.078324127021368</v>
      </c>
      <c r="Q193">
        <f ca="1"/>
        <v>669.09636497324186</v>
      </c>
    </row>
    <row r="194" spans="1:17">
      <c r="A194" s="2">
        <f ca="1"/>
        <v>193</v>
      </c>
      <c r="B194" s="2">
        <f ca="1"/>
        <v>0.30169491525423742</v>
      </c>
      <c r="C194" s="7">
        <f ca="1"/>
        <v>4.8000000000000001E-2</v>
      </c>
      <c r="D194" s="4">
        <f ca="1"/>
        <v>2.2984349674878239</v>
      </c>
      <c r="E194" s="4">
        <f ca="1"/>
        <v>63.018683709895832</v>
      </c>
      <c r="F194" s="4">
        <f ca="1"/>
        <v>-2268.8765575164771</v>
      </c>
      <c r="G194">
        <f ca="1"/>
        <v>-163100.51086961303</v>
      </c>
      <c r="H194">
        <f ca="1"/>
        <v>2.2984349674878239</v>
      </c>
      <c r="I194">
        <f ca="1"/>
        <v>8.393832216689108E-3</v>
      </c>
      <c r="J194">
        <f ca="1"/>
        <v>-8.6957295911501489E-3</v>
      </c>
      <c r="K194">
        <f ca="1"/>
        <v>0</v>
      </c>
      <c r="L194">
        <f ca="1"/>
        <v>-0.57886022482185073</v>
      </c>
      <c r="M194">
        <f ca="1"/>
        <v>-19.044569144172485</v>
      </c>
      <c r="N194">
        <f ca="1"/>
        <v>-17.266912406202387</v>
      </c>
      <c r="O194">
        <f ca="1"/>
        <v>0</v>
      </c>
      <c r="P194">
        <f ca="1"/>
        <v>-36.890341775196724</v>
      </c>
      <c r="Q194">
        <f ca="1"/>
        <v>829.09311523063354</v>
      </c>
    </row>
    <row r="195" spans="1:17">
      <c r="A195" s="2">
        <f ca="1"/>
        <v>194</v>
      </c>
      <c r="B195" s="2">
        <f ca="1"/>
        <v>0.30847457627118646</v>
      </c>
      <c r="C195" s="7">
        <f ca="1"/>
        <v>4.8250000000000001E-2</v>
      </c>
      <c r="D195" s="4">
        <f ca="1"/>
        <v>2.3141183130826555</v>
      </c>
      <c r="E195" s="4">
        <f ca="1"/>
        <v>62.446396522885564</v>
      </c>
      <c r="F195" s="4">
        <f ca="1"/>
        <v>-2309.3049206878341</v>
      </c>
      <c r="G195">
        <f ca="1"/>
        <v>-160316.08180099083</v>
      </c>
      <c r="H195">
        <f ca="1"/>
        <v>2.3141183130826555</v>
      </c>
      <c r="I195">
        <f ca="1"/>
        <v>8.2572105979964432E-3</v>
      </c>
      <c r="J195">
        <f ca="1"/>
        <v>-8.7265210894557146E-3</v>
      </c>
      <c r="K195">
        <f ca="1"/>
        <v>0</v>
      </c>
      <c r="L195">
        <f ca="1"/>
        <v>-0.58059720644868407</v>
      </c>
      <c r="M195">
        <f ca="1"/>
        <v>-19.068417065108918</v>
      </c>
      <c r="N195">
        <f ca="1"/>
        <v>-17.014763297848447</v>
      </c>
      <c r="O195">
        <f ca="1"/>
        <v>0</v>
      </c>
      <c r="P195">
        <f ca="1"/>
        <v>-36.663777569406051</v>
      </c>
      <c r="Q195">
        <f ca="1"/>
        <v>984.96501780512256</v>
      </c>
    </row>
    <row r="196" spans="1:17">
      <c r="A196" s="2">
        <f ca="1"/>
        <v>195</v>
      </c>
      <c r="B196" s="2">
        <f ca="1"/>
        <v>0.31525423728813573</v>
      </c>
      <c r="C196" s="7">
        <f ca="1"/>
        <v>4.8500000000000001E-2</v>
      </c>
      <c r="D196" s="4">
        <f ca="1"/>
        <v>2.3296573307857873</v>
      </c>
      <c r="E196" s="4">
        <f ca="1"/>
        <v>61.864089903034603</v>
      </c>
      <c r="F196" s="4">
        <f ca="1"/>
        <v>-2349.0294420668456</v>
      </c>
      <c r="G196">
        <f ca="1"/>
        <v>-157469.77653084355</v>
      </c>
      <c r="H196">
        <f ca="1"/>
        <v>2.3296573307857873</v>
      </c>
      <c r="I196">
        <f ca="1"/>
        <v>8.1214473677297758E-3</v>
      </c>
      <c r="J196">
        <f ca="1"/>
        <v>-8.7472199310848816E-3</v>
      </c>
      <c r="K196">
        <f ca="1"/>
        <v>0</v>
      </c>
      <c r="L196">
        <f ca="1"/>
        <v>-0.58181059393954559</v>
      </c>
      <c r="M196">
        <f ca="1"/>
        <v>-19.077518978993528</v>
      </c>
      <c r="N196">
        <f ca="1"/>
        <v>-16.738529693361087</v>
      </c>
      <c r="O196">
        <f ca="1"/>
        <v>0</v>
      </c>
      <c r="P196">
        <f ca="1"/>
        <v>-36.397859266294162</v>
      </c>
      <c r="Q196">
        <f ca="1"/>
        <v>1132.6487349936363</v>
      </c>
    </row>
    <row r="197" spans="1:17">
      <c r="A197" s="2">
        <f ca="1"/>
        <v>196</v>
      </c>
      <c r="B197" s="2">
        <f ca="1"/>
        <v>0.32203389830508478</v>
      </c>
      <c r="C197" s="7">
        <f ca="1"/>
        <v>4.8750000000000002E-2</v>
      </c>
      <c r="D197" s="4">
        <f ca="1"/>
        <v>2.3450495378952003</v>
      </c>
      <c r="E197" s="4">
        <f ca="1"/>
        <v>61.271941744422364</v>
      </c>
      <c r="F197" s="4">
        <f ca="1"/>
        <v>-2388.0346526031285</v>
      </c>
      <c r="G197">
        <f ca="1"/>
        <v>-154561.59505917144</v>
      </c>
      <c r="H197">
        <f ca="1"/>
        <v>2.3450495378952003</v>
      </c>
      <c r="I197">
        <f ca="1"/>
        <v>7.9867111074676048E-3</v>
      </c>
      <c r="J197">
        <f ca="1"/>
        <v>-8.7593478430232838E-3</v>
      </c>
      <c r="K197">
        <f ca="1"/>
        <v>0</v>
      </c>
      <c r="L197">
        <f ca="1"/>
        <v>-0.58251579570911427</v>
      </c>
      <c r="M197">
        <f ca="1"/>
        <v>-19.072542884962949</v>
      </c>
      <c r="N197">
        <f ca="1"/>
        <v>-16.442394521237169</v>
      </c>
      <c r="O197">
        <f ca="1"/>
        <v>0</v>
      </c>
      <c r="P197">
        <f ca="1"/>
        <v>-36.097453201909232</v>
      </c>
      <c r="Q197">
        <f ca="1"/>
        <v>1270.9921778802868</v>
      </c>
    </row>
    <row r="198" spans="1:17">
      <c r="A198" s="2">
        <f ca="1"/>
        <v>197</v>
      </c>
      <c r="B198" s="2">
        <f ca="1"/>
        <v>0.32881355932203404</v>
      </c>
      <c r="C198" s="7">
        <f ca="1"/>
        <v>4.9000000000000002E-2</v>
      </c>
      <c r="D198" s="4">
        <f ca="1"/>
        <v>2.3602924966658048</v>
      </c>
      <c r="E198" s="4">
        <f ca="1"/>
        <v>60.670133808390801</v>
      </c>
      <c r="F198" s="4">
        <f ca="1"/>
        <v>-2426.3050832463041</v>
      </c>
      <c r="G198">
        <f ca="1"/>
        <v>-151591.53738597428</v>
      </c>
      <c r="H198">
        <f ca="1"/>
        <v>2.3602924966658048</v>
      </c>
      <c r="I198">
        <f ca="1"/>
        <v>7.8531608920614799E-3</v>
      </c>
      <c r="J198">
        <f ca="1"/>
        <v>-8.7617825122039989E-3</v>
      </c>
      <c r="K198">
        <f ca="1"/>
        <v>0</v>
      </c>
      <c r="L198">
        <f ca="1"/>
        <v>-0.58272909476394608</v>
      </c>
      <c r="M198">
        <f ca="1"/>
        <v>-19.054164191959849</v>
      </c>
      <c r="N198">
        <f ca="1"/>
        <v>-16.125469890630225</v>
      </c>
      <c r="O198">
        <f ca="1"/>
        <v>0</v>
      </c>
      <c r="P198">
        <f ca="1"/>
        <v>-35.762363177354018</v>
      </c>
      <c r="Q198">
        <f ca="1"/>
        <v>1396.4353424363185</v>
      </c>
    </row>
    <row r="199" spans="1:17">
      <c r="A199" s="2">
        <f ca="1"/>
        <v>198</v>
      </c>
      <c r="B199" s="2">
        <f ca="1"/>
        <v>0.33559322033898309</v>
      </c>
      <c r="C199" s="7">
        <f ca="1"/>
        <v>4.9250000000000002E-2</v>
      </c>
      <c r="D199" s="4">
        <f ca="1"/>
        <v>2.3753838152762521</v>
      </c>
      <c r="E199" s="4">
        <f ca="1"/>
        <v>60.058851723544507</v>
      </c>
      <c r="F199" s="4">
        <f ca="1"/>
        <v>-2463.8252649459891</v>
      </c>
      <c r="G199">
        <f ca="1"/>
        <v>-148559.60351125229</v>
      </c>
      <c r="H199">
        <f ca="1"/>
        <v>2.3753838152762521</v>
      </c>
      <c r="I199">
        <f ca="1"/>
        <v>7.7209508301169672E-3</v>
      </c>
      <c r="J199">
        <f ca="1"/>
        <v>-8.7570871623192867E-3</v>
      </c>
      <c r="K199">
        <f ca="1"/>
        <v>0</v>
      </c>
      <c r="L199">
        <f ca="1"/>
        <v>-0.58246756830779667</v>
      </c>
      <c r="M199">
        <f ca="1"/>
        <v>-19.02307372464789</v>
      </c>
      <c r="N199">
        <f ca="1"/>
        <v>-15.793694237735384</v>
      </c>
      <c r="O199">
        <f ca="1"/>
        <v>0</v>
      </c>
      <c r="P199">
        <f ca="1"/>
        <v>-35.399235530691072</v>
      </c>
      <c r="Q199">
        <f ca="1"/>
        <v>1513.9682714514024</v>
      </c>
    </row>
    <row r="200" spans="1:17">
      <c r="A200" s="2">
        <f ca="1"/>
        <v>199</v>
      </c>
      <c r="B200" s="2">
        <f ca="1"/>
        <v>0.34237288135593236</v>
      </c>
      <c r="C200" s="7">
        <f ca="1"/>
        <v>4.9500000000000002E-2</v>
      </c>
      <c r="D200" s="4">
        <f ca="1"/>
        <v>2.3903211487957554</v>
      </c>
      <c r="E200" s="4">
        <f ca="1"/>
        <v>59.438284985750627</v>
      </c>
      <c r="F200" s="4">
        <f ca="1"/>
        <v>-2500.5797286518032</v>
      </c>
      <c r="G200">
        <f ca="1"/>
        <v>-145465.7934350053</v>
      </c>
      <c r="H200">
        <f ca="1"/>
        <v>2.3903211487957554</v>
      </c>
      <c r="I200">
        <f ca="1"/>
        <v>7.5902313215798585E-3</v>
      </c>
      <c r="J200">
        <f ca="1"/>
        <v>-8.7427539280819418E-3</v>
      </c>
      <c r="K200">
        <f ca="1"/>
        <v>0</v>
      </c>
      <c r="L200">
        <f ca="1"/>
        <v>-0.58172028811373877</v>
      </c>
      <c r="M200">
        <f ca="1"/>
        <v>-18.97997857852058</v>
      </c>
      <c r="N200">
        <f ca="1"/>
        <v>-15.443680174993995</v>
      </c>
      <c r="O200">
        <f ca="1"/>
        <v>0</v>
      </c>
      <c r="P200">
        <f ca="1"/>
        <v>-35.005379041628316</v>
      </c>
      <c r="Q200">
        <f ca="1"/>
        <v>1627.6789255139463</v>
      </c>
    </row>
    <row r="201" spans="1:17">
      <c r="A201" s="2">
        <f ca="1"/>
        <v>200</v>
      </c>
      <c r="B201" s="2">
        <f ca="1"/>
        <v>0.3491525423728814</v>
      </c>
      <c r="C201" s="7">
        <f ca="1"/>
        <v>4.9750000000000003E-2</v>
      </c>
      <c r="D201" s="4">
        <f ca="1"/>
        <v>2.4051022001509006</v>
      </c>
      <c r="E201" s="4">
        <f ca="1"/>
        <v>58.808626958138966</v>
      </c>
      <c r="F201" s="4">
        <f ca="1"/>
        <v>-2536.5530053133643</v>
      </c>
      <c r="G201">
        <f ca="1"/>
        <v>-142310.10715723343</v>
      </c>
      <c r="H201">
        <f ca="1"/>
        <v>2.4051022001509006</v>
      </c>
      <c r="I201">
        <f ca="1"/>
        <v>7.4611389872444528E-3</v>
      </c>
      <c r="J201">
        <f ca="1"/>
        <v>-8.7202857518679164E-3</v>
      </c>
      <c r="K201">
        <f ca="1"/>
        <v>0</v>
      </c>
      <c r="L201">
        <f ca="1"/>
        <v>-0.58046534034801778</v>
      </c>
      <c r="M201">
        <f ca="1"/>
        <v>-18.925574521155628</v>
      </c>
      <c r="N201">
        <f ca="1"/>
        <v>-15.079356206430454</v>
      </c>
      <c r="O201">
        <f ca="1"/>
        <v>0</v>
      </c>
      <c r="P201">
        <f ca="1"/>
        <v>-34.585396067934099</v>
      </c>
      <c r="Q201">
        <f ca="1"/>
        <v>1722.4027927441184</v>
      </c>
    </row>
    <row r="202" spans="1:17">
      <c r="A202" s="2">
        <f ca="1"/>
        <v>201</v>
      </c>
      <c r="B202" s="2">
        <f ca="1"/>
        <v>0.35593220338983067</v>
      </c>
      <c r="C202" s="7">
        <f ca="1"/>
        <v>0.05</v>
      </c>
      <c r="D202" s="4">
        <f ca="1"/>
        <v>2.4197247210924639</v>
      </c>
      <c r="E202" s="4">
        <f ca="1"/>
        <v>58.170074871101825</v>
      </c>
      <c r="F202" s="4">
        <f ca="1"/>
        <v>-2571.729625880293</v>
      </c>
      <c r="G202">
        <f ca="1"/>
        <v>-139092.54467793653</v>
      </c>
      <c r="H202">
        <f ca="1"/>
        <v>2.4197247210924639</v>
      </c>
      <c r="I202">
        <f ca="1"/>
        <v>7.3338074059969161E-3</v>
      </c>
      <c r="J202">
        <f ca="1"/>
        <v>-8.6914154789950061E-3</v>
      </c>
      <c r="K202">
        <f ca="1"/>
        <v>0</v>
      </c>
      <c r="L202">
        <f ca="1"/>
        <v>-0.57878623217857339</v>
      </c>
      <c r="M202">
        <f ca="1"/>
        <v>-18.860569776502572</v>
      </c>
      <c r="N202">
        <f ca="1"/>
        <v>-14.70482163657511</v>
      </c>
      <c r="O202">
        <f ca="1"/>
        <v>0</v>
      </c>
      <c r="P202">
        <f ca="1"/>
        <v>-34.144177645256256</v>
      </c>
      <c r="Q202">
        <f ca="1"/>
        <v>1811.929217917891</v>
      </c>
    </row>
    <row r="203" spans="1:17">
      <c r="A203" s="2">
        <f ca="1"/>
        <v>202</v>
      </c>
      <c r="B203" s="2">
        <f ca="1"/>
        <v>0.36271186440677972</v>
      </c>
      <c r="C203" s="7">
        <f ca="1"/>
        <v>5.0250000000000003E-2</v>
      </c>
      <c r="D203" s="4">
        <f ca="1"/>
        <v>2.4341865131622278</v>
      </c>
      <c r="E203" s="4">
        <f ca="1"/>
        <v>57.522829822294241</v>
      </c>
      <c r="F203" s="4">
        <f ca="1"/>
        <v>-2606.0941213022056</v>
      </c>
      <c r="G203">
        <f ca="1"/>
        <v>-135813.10599711479</v>
      </c>
      <c r="H203">
        <f ca="1"/>
        <v>2.4341865131622278</v>
      </c>
      <c r="I203">
        <f ca="1"/>
        <v>7.2083621523913385E-3</v>
      </c>
      <c r="J203">
        <f ca="1"/>
        <v>-8.6537293192572654E-3</v>
      </c>
      <c r="K203">
        <f ca="1"/>
        <v>0</v>
      </c>
      <c r="L203">
        <f ca="1"/>
        <v>-0.57670281495223097</v>
      </c>
      <c r="M203">
        <f ca="1"/>
        <v>-18.785670229564381</v>
      </c>
      <c r="N203">
        <f ca="1"/>
        <v>-14.317058414458542</v>
      </c>
      <c r="O203">
        <f ca="1"/>
        <v>0</v>
      </c>
      <c r="P203">
        <f ca="1"/>
        <v>-33.679431458975152</v>
      </c>
      <c r="Q203">
        <f ca="1"/>
        <v>1897.7648643463408</v>
      </c>
    </row>
    <row r="204" spans="1:17">
      <c r="A204" s="2">
        <f ca="1"/>
        <v>203</v>
      </c>
      <c r="B204" s="2">
        <f ca="1"/>
        <v>0.36949152542372898</v>
      </c>
      <c r="C204" s="7">
        <f ca="1"/>
        <v>5.0500000000000003E-2</v>
      </c>
      <c r="D204" s="4">
        <f ca="1"/>
        <v>2.4484854286597977</v>
      </c>
      <c r="E204" s="4">
        <f ca="1"/>
        <v>56.867096776633673</v>
      </c>
      <c r="F204" s="4">
        <f ca="1"/>
        <v>-2639.6310225287234</v>
      </c>
      <c r="G204">
        <f ca="1"/>
        <v>-132471.79111476801</v>
      </c>
      <c r="H204">
        <f ca="1"/>
        <v>2.4484854286597977</v>
      </c>
      <c r="I204">
        <f ca="1"/>
        <v>7.0849178349039806E-3</v>
      </c>
      <c r="J204">
        <f ca="1"/>
        <v>-8.6085743685690407E-3</v>
      </c>
      <c r="K204">
        <f ca="1"/>
        <v>0</v>
      </c>
      <c r="L204">
        <f ca="1"/>
        <v>-0.57423532957403867</v>
      </c>
      <c r="M204">
        <f ca="1"/>
        <v>-18.701568909079583</v>
      </c>
      <c r="N204">
        <f ca="1"/>
        <v>-13.919490974429467</v>
      </c>
      <c r="O204">
        <f ca="1"/>
        <v>0</v>
      </c>
      <c r="P204">
        <f ca="1"/>
        <v>-33.195295213083085</v>
      </c>
      <c r="Q204">
        <f ca="1"/>
        <v>1966.3077715978386</v>
      </c>
    </row>
    <row r="205" spans="1:17">
      <c r="A205" s="2">
        <f ca="1"/>
        <v>204</v>
      </c>
      <c r="B205" s="2">
        <f ca="1"/>
        <v>0.37627118644067803</v>
      </c>
      <c r="C205" s="7">
        <f ca="1"/>
        <v>5.0750000000000003E-2</v>
      </c>
      <c r="D205" s="4">
        <f ca="1"/>
        <v>2.4626193716094127</v>
      </c>
      <c r="E205" s="4">
        <f ca="1"/>
        <v>56.203084566300355</v>
      </c>
      <c r="F205" s="4">
        <f ca="1"/>
        <v>-2672.3248605094623</v>
      </c>
      <c r="G205">
        <f ca="1"/>
        <v>-129068.60003089638</v>
      </c>
      <c r="H205">
        <f ca="1"/>
        <v>2.4626193716094127</v>
      </c>
      <c r="I205">
        <f ca="1"/>
        <v>6.963582620639357E-3</v>
      </c>
      <c r="J205">
        <f ca="1"/>
        <v>-8.5576644025027165E-3</v>
      </c>
      <c r="K205">
        <f ca="1"/>
        <v>0</v>
      </c>
      <c r="L205">
        <f ca="1"/>
        <v>-0.57140430580126012</v>
      </c>
      <c r="M205">
        <f ca="1"/>
        <v>-18.608954955346185</v>
      </c>
      <c r="N205">
        <f ca="1"/>
        <v>-13.515918312028786</v>
      </c>
      <c r="O205">
        <f ca="1"/>
        <v>0</v>
      </c>
      <c r="P205">
        <f ca="1"/>
        <v>-32.696277573176232</v>
      </c>
      <c r="Q205">
        <f ca="1"/>
        <v>2029.4080011774138</v>
      </c>
    </row>
    <row r="206" spans="1:17">
      <c r="A206" s="2">
        <f ca="1"/>
        <v>205</v>
      </c>
      <c r="B206" s="2">
        <f ca="1"/>
        <v>0.3830508474576273</v>
      </c>
      <c r="C206" s="7">
        <f ca="1"/>
        <v>5.1000000000000004E-2</v>
      </c>
      <c r="D206" s="4">
        <f ca="1"/>
        <v>2.4765862987267697</v>
      </c>
      <c r="E206" s="4">
        <f ca="1"/>
        <v>55.531005890736957</v>
      </c>
      <c r="F206" s="4">
        <f ca="1"/>
        <v>-2704.160166194044</v>
      </c>
      <c r="G206">
        <f ca="1"/>
        <v>-125603.53274549975</v>
      </c>
      <c r="H206">
        <f ca="1"/>
        <v>2.4765862987267697</v>
      </c>
      <c r="I206">
        <f ca="1"/>
        <v>6.8444592511778101E-3</v>
      </c>
      <c r="J206">
        <f ca="1"/>
        <v>-8.4988429963730201E-3</v>
      </c>
      <c r="K206">
        <f ca="1"/>
        <v>0</v>
      </c>
      <c r="L206">
        <f ca="1"/>
        <v>-0.56816745333367136</v>
      </c>
      <c r="M206">
        <f ca="1"/>
        <v>-18.508514066173348</v>
      </c>
      <c r="N206">
        <f ca="1"/>
        <v>-13.103909692987354</v>
      </c>
      <c r="O206">
        <f ca="1"/>
        <v>0</v>
      </c>
      <c r="P206">
        <f ca="1"/>
        <v>-32.180591212494377</v>
      </c>
      <c r="Q206">
        <f ca="1"/>
        <v>2088.8503412663563</v>
      </c>
    </row>
    <row r="207" spans="1:17">
      <c r="A207" s="2">
        <f ca="1"/>
        <v>206</v>
      </c>
      <c r="B207" s="2">
        <f ca="1"/>
        <v>0.38983050847457634</v>
      </c>
      <c r="C207" s="7">
        <f ca="1"/>
        <v>5.1250000000000004E-2</v>
      </c>
      <c r="D207" s="4">
        <f ca="1"/>
        <v>2.4903842203858289</v>
      </c>
      <c r="E207" s="4">
        <f ca="1"/>
        <v>54.851077316648876</v>
      </c>
      <c r="F207" s="4">
        <f ca="1"/>
        <v>-2735.1214705320854</v>
      </c>
      <c r="G207">
        <f ca="1"/>
        <v>-122076.58925857824</v>
      </c>
      <c r="H207">
        <f ca="1"/>
        <v>2.4903842203858289</v>
      </c>
      <c r="I207">
        <f ca="1"/>
        <v>6.7276378493575971E-3</v>
      </c>
      <c r="J207">
        <f ca="1"/>
        <v>-8.4333107880705614E-3</v>
      </c>
      <c r="K207">
        <f ca="1"/>
        <v>0</v>
      </c>
      <c r="L207">
        <f ca="1"/>
        <v>-0.56454471097085546</v>
      </c>
      <c r="M207">
        <f ca="1"/>
        <v>-18.400906727742267</v>
      </c>
      <c r="N207">
        <f ca="1"/>
        <v>-12.686400963829929</v>
      </c>
      <c r="O207">
        <f ca="1"/>
        <v>0</v>
      </c>
      <c r="P207">
        <f ca="1"/>
        <v>-31.651852402543053</v>
      </c>
      <c r="Q207">
        <f ca="1"/>
        <v>2135.8493434727261</v>
      </c>
    </row>
    <row r="208" spans="1:17">
      <c r="A208" s="2">
        <f ca="1"/>
        <v>207</v>
      </c>
      <c r="B208" s="2">
        <f ca="1"/>
        <v>0.39661016949152561</v>
      </c>
      <c r="C208" s="7">
        <f ca="1"/>
        <v>5.1500000000000004E-2</v>
      </c>
      <c r="D208" s="4">
        <f ca="1"/>
        <v>2.5040112015856382</v>
      </c>
      <c r="E208" s="4">
        <f ca="1"/>
        <v>54.163519278003989</v>
      </c>
      <c r="F208" s="4">
        <f ca="1"/>
        <v>-2765.1933044732068</v>
      </c>
      <c r="G208">
        <f ca="1"/>
        <v>-118487.7695701317</v>
      </c>
      <c r="H208">
        <f ca="1"/>
        <v>2.5040112015856382</v>
      </c>
      <c r="I208">
        <f ca="1"/>
        <v>6.6132015531252088E-3</v>
      </c>
      <c r="J208">
        <f ca="1"/>
        <v>-8.3616746218281995E-3</v>
      </c>
      <c r="K208">
        <f ca="1"/>
        <v>0</v>
      </c>
      <c r="L208">
        <f ca="1"/>
        <v>-0.56061856691194989</v>
      </c>
      <c r="M208">
        <f ca="1"/>
        <v>-18.286780655833638</v>
      </c>
      <c r="N208">
        <f ca="1"/>
        <v>-12.265267318012427</v>
      </c>
      <c r="O208">
        <f ca="1"/>
        <v>0</v>
      </c>
      <c r="P208">
        <f ca="1"/>
        <v>-31.112666540758013</v>
      </c>
      <c r="Q208">
        <f ca="1"/>
        <v>2174.7233076466209</v>
      </c>
    </row>
    <row r="209" spans="1:17">
      <c r="A209" s="2">
        <f ca="1"/>
        <v>208</v>
      </c>
      <c r="B209" s="2">
        <f ca="1"/>
        <v>0.40338983050847488</v>
      </c>
      <c r="C209" s="7">
        <f ca="1"/>
        <v>5.1750000000000004E-2</v>
      </c>
      <c r="D209" s="4">
        <f ca="1"/>
        <v>2.5174653629171448</v>
      </c>
      <c r="E209" s="4">
        <f ca="1"/>
        <v>53.468556076032861</v>
      </c>
      <c r="F209" s="4">
        <f ca="1"/>
        <v>-2794.3601989670256</v>
      </c>
      <c r="G209">
        <f ca="1"/>
        <v>-114837.0736801602</v>
      </c>
      <c r="H209">
        <f ca="1"/>
        <v>2.5174653629171448</v>
      </c>
      <c r="I209">
        <f ca="1"/>
        <v>6.5012256380906942E-3</v>
      </c>
      <c r="J209">
        <f ca="1"/>
        <v>-8.2838644917913977E-3</v>
      </c>
      <c r="K209">
        <f ca="1"/>
        <v>0</v>
      </c>
      <c r="L209">
        <f ca="1"/>
        <v>-0.55641044558743602</v>
      </c>
      <c r="M209">
        <f ca="1"/>
        <v>-18.16676616758464</v>
      </c>
      <c r="N209">
        <f ca="1"/>
        <v>-11.841314135547664</v>
      </c>
      <c r="O209">
        <f ca="1"/>
        <v>0</v>
      </c>
      <c r="P209">
        <f ca="1"/>
        <v>-30.564490748719741</v>
      </c>
      <c r="Q209">
        <f ca="1"/>
        <v>2206.8839737984954</v>
      </c>
    </row>
    <row r="210" spans="1:17">
      <c r="A210" s="2">
        <f ca="1"/>
        <v>209</v>
      </c>
      <c r="B210" s="2">
        <f ca="1"/>
        <v>0.41016949152542392</v>
      </c>
      <c r="C210" s="7">
        <f ca="1"/>
        <v>5.2000000000000005E-2</v>
      </c>
      <c r="D210" s="4">
        <f ca="1"/>
        <v>2.5307448815300098</v>
      </c>
      <c r="E210" s="4">
        <f ca="1"/>
        <v>52.766415879228617</v>
      </c>
      <c r="F210" s="4">
        <f ca="1"/>
        <v>-2822.6066849631598</v>
      </c>
      <c r="G210">
        <f ca="1"/>
        <v>-111124.50158866392</v>
      </c>
      <c r="H210">
        <f ca="1"/>
        <v>2.5307448815300098</v>
      </c>
      <c r="I210">
        <f ca="1"/>
        <v>6.3917718791717364E-3</v>
      </c>
      <c r="J210">
        <f ca="1"/>
        <v>-8.2001557937509736E-3</v>
      </c>
      <c r="K210">
        <f ca="1"/>
        <v>0</v>
      </c>
      <c r="L210">
        <f ca="1"/>
        <v>-0.55194158766301493</v>
      </c>
      <c r="M210">
        <f ca="1"/>
        <v>-18.041458034909681</v>
      </c>
      <c r="N210">
        <f ca="1"/>
        <v>-11.415824931286069</v>
      </c>
      <c r="O210">
        <f ca="1"/>
        <v>0</v>
      </c>
      <c r="P210">
        <f ca="1"/>
        <v>-30.009224553858765</v>
      </c>
      <c r="Q210">
        <f ca="1"/>
        <v>2231.2489247397739</v>
      </c>
    </row>
    <row r="211" spans="1:17">
      <c r="A211" s="2">
        <f ca="1"/>
        <v>210</v>
      </c>
      <c r="B211" s="2">
        <f ca="1"/>
        <v>0.41694915254237297</v>
      </c>
      <c r="C211" s="7">
        <f ca="1"/>
        <v>5.2249999999999998E-2</v>
      </c>
      <c r="D211" s="4">
        <f ca="1"/>
        <v>2.5438479920994266</v>
      </c>
      <c r="E211" s="4">
        <f ca="1"/>
        <v>52.057330723346965</v>
      </c>
      <c r="F211" s="4">
        <f ca="1"/>
        <v>-2849.9172934112289</v>
      </c>
      <c r="G211">
        <f ca="1"/>
        <v>-107350.05329564266</v>
      </c>
      <c r="H211">
        <f ca="1"/>
        <v>2.5438479920994266</v>
      </c>
      <c r="I211">
        <f ca="1"/>
        <v>6.284905791310867E-3</v>
      </c>
      <c r="J211">
        <f ca="1"/>
        <v>-8.1110369139013976E-3</v>
      </c>
      <c r="K211">
        <f ca="1"/>
        <v>0</v>
      </c>
      <c r="L211">
        <f ca="1"/>
        <v>-0.5470887430167426</v>
      </c>
      <c r="M211">
        <f ca="1"/>
        <v>-17.911461702117226</v>
      </c>
      <c r="N211">
        <f ca="1"/>
        <v>-10.990315841215899</v>
      </c>
      <c r="O211">
        <f ca="1"/>
        <v>0</v>
      </c>
      <c r="P211">
        <f ca="1"/>
        <v>-29.448866286349869</v>
      </c>
      <c r="Q211">
        <f ca="1"/>
        <v>2244.7867596038413</v>
      </c>
    </row>
    <row r="212" spans="1:17">
      <c r="A212" s="2">
        <f ca="1"/>
        <v>211</v>
      </c>
      <c r="B212" s="2">
        <f ca="1"/>
        <v>0.42372881355932202</v>
      </c>
      <c r="C212" s="7">
        <f ca="1"/>
        <v>5.2499999999999998E-2</v>
      </c>
      <c r="D212" s="4">
        <f ca="1"/>
        <v>2.5567729877929355</v>
      </c>
      <c r="E212" s="4">
        <f ca="1"/>
        <v>51.341536511406233</v>
      </c>
      <c r="F212" s="4">
        <f ca="1"/>
        <v>-2876.276555260853</v>
      </c>
      <c r="G212">
        <f ca="1"/>
        <v>-103513.72880109648</v>
      </c>
      <c r="H212">
        <f ca="1"/>
        <v>2.5567729877929355</v>
      </c>
      <c r="I212">
        <f ca="1"/>
        <v>6.1806692920106177E-3</v>
      </c>
      <c r="J212">
        <f ca="1"/>
        <v>-8.0179727097727093E-3</v>
      </c>
      <c r="K212">
        <f ca="1"/>
        <v>0</v>
      </c>
      <c r="L212">
        <f ca="1"/>
        <v>-0.54201589575893272</v>
      </c>
      <c r="M212">
        <f ca="1"/>
        <v>-17.777314180430835</v>
      </c>
      <c r="N212">
        <f ca="1"/>
        <v>-10.567501097867089</v>
      </c>
      <c r="O212">
        <f ca="1"/>
        <v>0</v>
      </c>
      <c r="P212">
        <f ca="1"/>
        <v>-28.886831174056859</v>
      </c>
      <c r="Q212">
        <f ca="1"/>
        <v>2253.324706155764</v>
      </c>
    </row>
    <row r="213" spans="1:17">
      <c r="A213" s="2">
        <f ca="1"/>
        <v>212</v>
      </c>
      <c r="B213" s="2">
        <f ca="1"/>
        <v>0.43050847457627128</v>
      </c>
      <c r="C213" s="7">
        <f ca="1"/>
        <v>5.2749999999999998E-2</v>
      </c>
      <c r="D213" s="4">
        <f ca="1"/>
        <v>2.5695182212372392</v>
      </c>
      <c r="E213" s="4">
        <f ca="1"/>
        <v>50.619273013687277</v>
      </c>
      <c r="F213" s="4">
        <f ca="1"/>
        <v>-2901.6690014616502</v>
      </c>
      <c r="G213">
        <f ca="1"/>
        <v>-99615.528105025238</v>
      </c>
      <c r="H213">
        <f ca="1"/>
        <v>2.5695182212372392</v>
      </c>
      <c r="I213">
        <f ca="1"/>
        <v>6.0791139892113315E-3</v>
      </c>
      <c r="J213">
        <f ca="1"/>
        <v>-7.9193224091391023E-3</v>
      </c>
      <c r="K213">
        <f ca="1"/>
        <v>0</v>
      </c>
      <c r="L213">
        <f ca="1"/>
        <v>-0.53674464389670173</v>
      </c>
      <c r="M213">
        <f ca="1"/>
        <v>-17.639576618846394</v>
      </c>
      <c r="N213">
        <f ca="1"/>
        <v>-10.14588267052889</v>
      </c>
      <c r="O213">
        <f ca="1"/>
        <v>0</v>
      </c>
      <c r="P213">
        <f ca="1"/>
        <v>-28.322203933271986</v>
      </c>
      <c r="Q213">
        <f ca="1"/>
        <v>2260.2618330126115</v>
      </c>
    </row>
    <row r="214" spans="1:17">
      <c r="A214" s="2">
        <f ca="1"/>
        <v>213</v>
      </c>
      <c r="B214" s="2">
        <f ca="1"/>
        <v>0.43728813559322033</v>
      </c>
      <c r="C214" s="7">
        <f ca="1"/>
        <v>5.2999999999999999E-2</v>
      </c>
      <c r="D214" s="4">
        <f ca="1"/>
        <v>2.5820821054850174</v>
      </c>
      <c r="E214" s="4">
        <f ca="1"/>
        <v>49.890783867733667</v>
      </c>
      <c r="F214" s="4">
        <f ca="1"/>
        <v>-2926.0791629632386</v>
      </c>
      <c r="G214">
        <f ca="1"/>
        <v>-95655.451207429171</v>
      </c>
      <c r="H214">
        <f ca="1"/>
        <v>2.5820821054850174</v>
      </c>
      <c r="I214">
        <f ca="1"/>
        <v>5.9802661903658122E-3</v>
      </c>
      <c r="J214">
        <f ca="1"/>
        <v>-7.8154694353830961E-3</v>
      </c>
      <c r="K214">
        <f ca="1"/>
        <v>0</v>
      </c>
      <c r="L214">
        <f ca="1"/>
        <v>-0.53126332979883362</v>
      </c>
      <c r="M214">
        <f ca="1"/>
        <v>-17.498732288602952</v>
      </c>
      <c r="N214">
        <f ca="1"/>
        <v>-9.7267046391487675</v>
      </c>
      <c r="O214">
        <f ca="1"/>
        <v>0</v>
      </c>
      <c r="P214">
        <f ca="1"/>
        <v>-27.756700257550552</v>
      </c>
      <c r="Q214">
        <f ca="1"/>
        <v>2256.7672619684467</v>
      </c>
    </row>
    <row r="215" spans="1:17">
      <c r="A215" s="2">
        <f ca="1"/>
        <v>214</v>
      </c>
      <c r="B215" s="2">
        <f ca="1"/>
        <v>0.4440677966101696</v>
      </c>
      <c r="C215" s="7">
        <f ca="1"/>
        <v>5.3249999999999999E-2</v>
      </c>
      <c r="D215" s="4">
        <f ca="1"/>
        <v>2.5944631149817443</v>
      </c>
      <c r="E215" s="4">
        <f ca="1"/>
        <v>49.156316578351458</v>
      </c>
      <c r="F215" s="4">
        <f ca="1"/>
        <v>-2949.4915707152381</v>
      </c>
      <c r="G215">
        <f ca="1"/>
        <v>-91633.498108308064</v>
      </c>
      <c r="H215">
        <f ca="1"/>
        <v>2.5944631149817443</v>
      </c>
      <c r="I215">
        <f ca="1"/>
        <v>5.8841503249026763E-3</v>
      </c>
      <c r="J215">
        <f ca="1"/>
        <v>-7.708399260939117E-3</v>
      </c>
      <c r="K215">
        <f ca="1"/>
        <v>0</v>
      </c>
      <c r="L215">
        <f ca="1"/>
        <v>-0.52549844927656419</v>
      </c>
      <c r="M215">
        <f ca="1"/>
        <v>-17.355251784121773</v>
      </c>
      <c r="N215">
        <f ca="1"/>
        <v>-9.3130700688894237</v>
      </c>
      <c r="O215">
        <f ca="1"/>
        <v>0</v>
      </c>
      <c r="P215">
        <f ca="1"/>
        <v>-27.193820302287762</v>
      </c>
      <c r="Q215">
        <f ca="1"/>
        <v>2242.3290353888542</v>
      </c>
    </row>
    <row r="216" spans="1:17">
      <c r="A216" s="2">
        <f ca="1"/>
        <v>215</v>
      </c>
      <c r="B216" s="2">
        <f ca="1"/>
        <v>0.45084745762711864</v>
      </c>
      <c r="C216" s="7">
        <f ca="1"/>
        <v>5.3499999999999999E-2</v>
      </c>
      <c r="D216" s="4">
        <f ca="1"/>
        <v>2.6066597865325036</v>
      </c>
      <c r="E216" s="4">
        <f ca="1"/>
        <v>48.416122517609381</v>
      </c>
      <c r="F216" s="4">
        <f ca="1"/>
        <v>-2971.8907556672661</v>
      </c>
      <c r="G216">
        <f ca="1"/>
        <v>-87549.668807662121</v>
      </c>
      <c r="H216">
        <f ca="1"/>
        <v>2.6066597865325036</v>
      </c>
      <c r="I216">
        <f ca="1"/>
        <v>5.7907938733616623E-3</v>
      </c>
      <c r="J216">
        <f ca="1"/>
        <v>-7.5988674726449497E-3</v>
      </c>
      <c r="K216">
        <f ca="1"/>
        <v>0</v>
      </c>
      <c r="L216">
        <f ca="1"/>
        <v>-0.51959685553785961</v>
      </c>
      <c r="M216">
        <f ca="1"/>
        <v>-17.209606780218166</v>
      </c>
      <c r="N216">
        <f ca="1"/>
        <v>-8.9063321041000965</v>
      </c>
      <c r="O216">
        <f ca="1"/>
        <v>0</v>
      </c>
      <c r="P216">
        <f ca="1"/>
        <v>-26.635535739856124</v>
      </c>
      <c r="Q216">
        <f ca="1"/>
        <v>2226.0434167815483</v>
      </c>
    </row>
    <row r="217" spans="1:17">
      <c r="A217" s="2">
        <f ca="1"/>
        <v>216</v>
      </c>
      <c r="B217" s="2">
        <f ca="1"/>
        <v>0.45762711864406791</v>
      </c>
      <c r="C217" s="7">
        <f ca="1"/>
        <v>5.3749999999999999E-2</v>
      </c>
      <c r="D217" s="4">
        <f ca="1"/>
        <v>2.6186707202688044</v>
      </c>
      <c r="E217" s="4">
        <f ca="1"/>
        <v>47.670456924838689</v>
      </c>
      <c r="F217" s="4">
        <f ca="1"/>
        <v>-2993.2612487689421</v>
      </c>
      <c r="G217">
        <f ca="1"/>
        <v>-83403.963305491096</v>
      </c>
      <c r="H217">
        <f ca="1"/>
        <v>2.6186707202688044</v>
      </c>
      <c r="I217">
        <f ca="1"/>
        <v>5.700205650596403E-3</v>
      </c>
      <c r="J217">
        <f ca="1"/>
        <v>-7.4852533749220325E-3</v>
      </c>
      <c r="K217">
        <f ca="1"/>
        <v>0</v>
      </c>
      <c r="L217">
        <f ca="1"/>
        <v>-0.51357782182619327</v>
      </c>
      <c r="M217">
        <f ca="1"/>
        <v>-17.062204683943968</v>
      </c>
      <c r="N217">
        <f ca="1"/>
        <v>-8.505016088126828</v>
      </c>
      <c r="O217">
        <f ca="1"/>
        <v>0</v>
      </c>
      <c r="P217">
        <f ca="1"/>
        <v>-26.080798593896986</v>
      </c>
      <c r="Q217">
        <f ca="1"/>
        <v>2208.7959213682616</v>
      </c>
    </row>
    <row r="218" spans="1:17">
      <c r="A218" s="2">
        <f ca="1"/>
        <v>217</v>
      </c>
      <c r="B218" s="2">
        <f ca="1"/>
        <v>0.46440677966101696</v>
      </c>
      <c r="C218" s="7">
        <f ca="1"/>
        <v>5.3999999999999999E-2</v>
      </c>
      <c r="D218" s="4">
        <f ca="1"/>
        <v>2.6304945806153945</v>
      </c>
      <c r="E218" s="4">
        <f ca="1"/>
        <v>46.919578906633305</v>
      </c>
      <c r="F218" s="4">
        <f ca="1"/>
        <v>-3013.5875809698837</v>
      </c>
      <c r="G218">
        <f ca="1"/>
        <v>-79196.381601795307</v>
      </c>
      <c r="H218">
        <f ca="1"/>
        <v>2.6304945806153945</v>
      </c>
      <c r="I218">
        <f ca="1"/>
        <v>5.6123880826305927E-3</v>
      </c>
      <c r="J218">
        <f ca="1"/>
        <v>-7.3682464185117324E-3</v>
      </c>
      <c r="K218">
        <f ca="1"/>
        <v>0</v>
      </c>
      <c r="L218">
        <f ca="1"/>
        <v>-0.50731319162655342</v>
      </c>
      <c r="M218">
        <f ca="1"/>
        <v>-16.913423025398931</v>
      </c>
      <c r="N218">
        <f ca="1"/>
        <v>-8.1104015621465084</v>
      </c>
      <c r="O218">
        <f ca="1"/>
        <v>0</v>
      </c>
      <c r="P218">
        <f ca="1"/>
        <v>-25.531137779171992</v>
      </c>
      <c r="Q218">
        <f ca="1"/>
        <v>2183.4152183660062</v>
      </c>
    </row>
    <row r="219" spans="1:17">
      <c r="A219" s="2">
        <f ca="1"/>
        <v>218</v>
      </c>
      <c r="B219" s="2">
        <f ca="1"/>
        <v>0.47118644067796622</v>
      </c>
      <c r="C219" s="7">
        <f ca="1"/>
        <v>5.425E-2</v>
      </c>
      <c r="D219" s="4">
        <f ca="1"/>
        <v>2.6421300972570805</v>
      </c>
      <c r="E219" s="4">
        <f ca="1"/>
        <v>46.163751436849665</v>
      </c>
      <c r="F219" s="4">
        <f ca="1"/>
        <v>-3032.8542832197127</v>
      </c>
      <c r="G219">
        <f ca="1"/>
        <v>-74926.923696574406</v>
      </c>
      <c r="H219">
        <f ca="1"/>
        <v>2.6421300972570805</v>
      </c>
      <c r="I219">
        <f ca="1"/>
        <v>5.5273456989897232E-3</v>
      </c>
      <c r="J219">
        <f ca="1"/>
        <v>-7.2493411465904831E-3</v>
      </c>
      <c r="K219">
        <f ca="1"/>
        <v>0</v>
      </c>
      <c r="L219">
        <f ca="1"/>
        <v>-0.50095063842274612</v>
      </c>
      <c r="M219">
        <f ca="1"/>
        <v>-16.763634078017038</v>
      </c>
      <c r="N219">
        <f ca="1"/>
        <v>-7.7245062682741974</v>
      </c>
      <c r="O219">
        <f ca="1"/>
        <v>0</v>
      </c>
      <c r="P219">
        <f ca="1"/>
        <v>-24.989090984713982</v>
      </c>
      <c r="Q219">
        <f ca="1"/>
        <v>2155.5890909076875</v>
      </c>
    </row>
    <row r="220" spans="1:17">
      <c r="A220" s="2">
        <f ca="1"/>
        <v>219</v>
      </c>
      <c r="B220" s="2">
        <f ca="1"/>
        <v>0.47796610169491527</v>
      </c>
      <c r="C220" s="7">
        <f ca="1"/>
        <v>5.45E-2</v>
      </c>
      <c r="D220" s="4">
        <f ca="1"/>
        <v>2.653576066105539</v>
      </c>
      <c r="E220" s="4">
        <f ca="1"/>
        <v>45.403241356606905</v>
      </c>
      <c r="F220" s="4">
        <f ca="1"/>
        <v>-3051.0458864680445</v>
      </c>
      <c r="G220">
        <f ca="1"/>
        <v>-70595.589589828713</v>
      </c>
      <c r="H220">
        <f ca="1"/>
        <v>2.653576066105539</v>
      </c>
      <c r="I220">
        <f ca="1"/>
        <v>5.4450649845295528E-3</v>
      </c>
      <c r="J220">
        <f ca="1"/>
        <v>-7.1266889781787957E-3</v>
      </c>
      <c r="K220">
        <f ca="1"/>
        <v>0</v>
      </c>
      <c r="L220">
        <f ca="1"/>
        <v>-0.49452820017429033</v>
      </c>
      <c r="M220">
        <f ca="1"/>
        <v>-16.613143122600079</v>
      </c>
      <c r="N220">
        <f ca="1"/>
        <v>-7.3456719109437776</v>
      </c>
      <c r="O220">
        <f ca="1"/>
        <v>0</v>
      </c>
      <c r="P220">
        <f ca="1"/>
        <v>-24.453343233718147</v>
      </c>
      <c r="Q220">
        <f ca="1"/>
        <v>2122.0076662259667</v>
      </c>
    </row>
    <row r="221" spans="1:17">
      <c r="A221" s="2">
        <f ca="1"/>
        <v>220</v>
      </c>
      <c r="B221" s="2">
        <f ca="1"/>
        <v>0.48474576271186454</v>
      </c>
      <c r="C221" s="7">
        <f ca="1"/>
        <v>5.475E-2</v>
      </c>
      <c r="D221" s="4">
        <f ca="1"/>
        <v>2.6648313502661352</v>
      </c>
      <c r="E221" s="4">
        <f ca="1"/>
        <v>44.638319374286631</v>
      </c>
      <c r="F221" s="4">
        <f ca="1"/>
        <v>-3068.1469216645</v>
      </c>
      <c r="G221">
        <f ca="1"/>
        <v>-66202.379281557936</v>
      </c>
      <c r="H221">
        <f ca="1"/>
        <v>2.6648313502661352</v>
      </c>
      <c r="I221">
        <f ca="1"/>
        <v>5.3655324837125389E-3</v>
      </c>
      <c r="J221">
        <f ca="1"/>
        <v>-7.0039226379941914E-3</v>
      </c>
      <c r="K221">
        <f ca="1"/>
        <v>0</v>
      </c>
      <c r="L221">
        <f ca="1"/>
        <v>-0.48790864650713711</v>
      </c>
      <c r="M221">
        <f ca="1"/>
        <v>-16.462241972993507</v>
      </c>
      <c r="N221">
        <f ca="1"/>
        <v>-6.9779365321003537</v>
      </c>
      <c r="O221">
        <f ca="1"/>
        <v>0</v>
      </c>
      <c r="P221">
        <f ca="1"/>
        <v>-23.928087151600998</v>
      </c>
      <c r="Q221">
        <f ca="1"/>
        <v>2083.476043267046</v>
      </c>
    </row>
    <row r="222" spans="1:17">
      <c r="A222" s="2">
        <f ca="1"/>
        <v>221</v>
      </c>
      <c r="B222" s="2">
        <f ca="1"/>
        <v>0.49152542372881358</v>
      </c>
      <c r="C222" s="7">
        <f ca="1"/>
        <v>5.5E-2</v>
      </c>
      <c r="D222" s="4">
        <f ca="1"/>
        <v>2.6758948810047372</v>
      </c>
      <c r="E222" s="4">
        <f ca="1"/>
        <v>43.869260065533169</v>
      </c>
      <c r="F222" s="4">
        <f ca="1"/>
        <v>-3084.1419197586965</v>
      </c>
      <c r="G222">
        <f ca="1"/>
        <v>-61747.292771762404</v>
      </c>
      <c r="H222">
        <f ca="1"/>
        <v>2.6758948810047372</v>
      </c>
      <c r="I222">
        <f ca="1"/>
        <v>5.2887355977361385E-3</v>
      </c>
      <c r="J222">
        <f ca="1"/>
        <v>-6.8787789554370649E-3</v>
      </c>
      <c r="K222">
        <f ca="1"/>
        <v>0</v>
      </c>
      <c r="L222">
        <f ca="1"/>
        <v>-0.48124780331147826</v>
      </c>
      <c r="M222">
        <f ca="1"/>
        <v>-16.311211159498093</v>
      </c>
      <c r="N222">
        <f ca="1"/>
        <v>-6.6191462492750528</v>
      </c>
      <c r="O222">
        <f ca="1"/>
        <v>0</v>
      </c>
      <c r="P222">
        <f ca="1"/>
        <v>-23.411605212084623</v>
      </c>
      <c r="Q222">
        <f ca="1"/>
        <v>2045.3724446131628</v>
      </c>
    </row>
    <row r="223" spans="1:17">
      <c r="A223" s="2">
        <f ca="1"/>
        <v>222</v>
      </c>
      <c r="B223" s="2">
        <f ca="1"/>
        <v>0.49830508474576285</v>
      </c>
      <c r="C223" s="7">
        <f ca="1"/>
        <v>5.525E-2</v>
      </c>
      <c r="D223" s="4">
        <f ca="1"/>
        <v>2.6867656587145321</v>
      </c>
      <c r="E223" s="4">
        <f ca="1"/>
        <v>43.096341873253344</v>
      </c>
      <c r="F223" s="4">
        <f ca="1"/>
        <v>-3099.0154117002539</v>
      </c>
      <c r="G223">
        <f ca="1"/>
        <v>-57230.330060441767</v>
      </c>
      <c r="H223">
        <f ca="1"/>
        <v>2.6867656587145321</v>
      </c>
      <c r="I223">
        <f ca="1"/>
        <v>5.2146477457892179E-3</v>
      </c>
      <c r="J223">
        <f ca="1"/>
        <v>-6.752374965707587E-3</v>
      </c>
      <c r="K223">
        <f ca="1"/>
        <v>0</v>
      </c>
      <c r="L223">
        <f ca="1"/>
        <v>-0.4745521382751956</v>
      </c>
      <c r="M223">
        <f ca="1"/>
        <v>-16.160273730788774</v>
      </c>
      <c r="N223">
        <f ca="1"/>
        <v>-6.2705750602304455</v>
      </c>
      <c r="O223">
        <f ca="1"/>
        <v>0</v>
      </c>
      <c r="P223">
        <f ca="1"/>
        <v>-22.905400929294416</v>
      </c>
      <c r="Q223">
        <f ca="1"/>
        <v>2005.8889089534073</v>
      </c>
    </row>
    <row r="224" spans="1:17">
      <c r="A224" s="2">
        <f ca="1"/>
        <v>223</v>
      </c>
      <c r="B224" s="2">
        <f ca="1"/>
        <v>0.5050847457627119</v>
      </c>
      <c r="C224" s="7">
        <f ca="1"/>
        <v>5.5500000000000001E-2</v>
      </c>
      <c r="D224" s="4">
        <f ca="1"/>
        <v>2.6974427538828416</v>
      </c>
      <c r="E224" s="4">
        <f ca="1"/>
        <v>42.319847107616638</v>
      </c>
      <c r="F224" s="4">
        <f ca="1"/>
        <v>-3112.7519284387904</v>
      </c>
      <c r="G224">
        <f ca="1"/>
        <v>-52651.491147596302</v>
      </c>
      <c r="H224">
        <f ca="1"/>
        <v>2.6974427538828416</v>
      </c>
      <c r="I224">
        <f ca="1"/>
        <v>5.1432353197971023E-3</v>
      </c>
      <c r="J224">
        <f ca="1"/>
        <v>-6.6235949196736966E-3</v>
      </c>
      <c r="K224">
        <f ca="1"/>
        <v>0</v>
      </c>
      <c r="L224">
        <f ca="1"/>
        <v>-0.46771699183115611</v>
      </c>
      <c r="M224">
        <f ca="1"/>
        <v>-16.009615660112928</v>
      </c>
      <c r="N224">
        <f ca="1"/>
        <v>-5.9313281056638356</v>
      </c>
      <c r="O224">
        <f ca="1"/>
        <v>0</v>
      </c>
      <c r="P224">
        <f ca="1"/>
        <v>-22.408660757607919</v>
      </c>
      <c r="Q224">
        <f ca="1"/>
        <v>1961.2545251255167</v>
      </c>
    </row>
    <row r="225" spans="1:17">
      <c r="A225" s="2">
        <f ca="1"/>
        <v>224</v>
      </c>
      <c r="B225" s="2">
        <f ca="1"/>
        <v>0.51186440677966116</v>
      </c>
      <c r="C225" s="7">
        <f ca="1"/>
        <v>5.5750000000000001E-2</v>
      </c>
      <c r="D225" s="4">
        <f ca="1"/>
        <v>2.7079253080579377</v>
      </c>
      <c r="E225" s="4">
        <f ca="1"/>
        <v>41.540061946055062</v>
      </c>
      <c r="F225" s="4">
        <f ca="1"/>
        <v>-3125.336000923925</v>
      </c>
      <c r="G225">
        <f ca="1"/>
        <v>-48010.77603322576</v>
      </c>
      <c r="H225">
        <f ca="1"/>
        <v>2.7079253080579377</v>
      </c>
      <c r="I225">
        <f ca="1"/>
        <v>5.0744670953856517E-3</v>
      </c>
      <c r="J225">
        <f ca="1"/>
        <v>-6.4957400502893827E-3</v>
      </c>
      <c r="K225">
        <f ca="1"/>
        <v>0</v>
      </c>
      <c r="L225">
        <f ca="1"/>
        <v>-0.46090997703313191</v>
      </c>
      <c r="M225">
        <f ca="1"/>
        <v>-15.859414698712637</v>
      </c>
      <c r="N225">
        <f ca="1"/>
        <v>-5.6044489909858859</v>
      </c>
      <c r="O225">
        <f ca="1"/>
        <v>0</v>
      </c>
      <c r="P225">
        <f ca="1"/>
        <v>-21.924773666731657</v>
      </c>
      <c r="Q225">
        <f ca="1"/>
        <v>1913.8677609768122</v>
      </c>
    </row>
    <row r="226" spans="1:17">
      <c r="A226" s="2">
        <f ca="1"/>
        <v>225</v>
      </c>
      <c r="B226" s="2">
        <f ca="1"/>
        <v>0.51864406779661021</v>
      </c>
      <c r="C226" s="7">
        <f ca="1"/>
        <v>5.6000000000000001E-2</v>
      </c>
      <c r="D226" s="4">
        <f ca="1"/>
        <v>2.7182125348158577</v>
      </c>
      <c r="E226" s="4">
        <f ca="1"/>
        <v>40.757276433263321</v>
      </c>
      <c r="F226" s="4">
        <f ca="1"/>
        <v>-3136.7521601052758</v>
      </c>
      <c r="G226">
        <f ca="1"/>
        <v>-43308.184717330449</v>
      </c>
      <c r="H226">
        <f ca="1"/>
        <v>2.7182125348158577</v>
      </c>
      <c r="I226">
        <f ca="1"/>
        <v>5.0083074232725499E-3</v>
      </c>
      <c r="J226">
        <f ca="1"/>
        <v>-6.3665035303861299E-3</v>
      </c>
      <c r="K226">
        <f ca="1"/>
        <v>0</v>
      </c>
      <c r="L226">
        <f ca="1"/>
        <v>-0.45403130921673507</v>
      </c>
      <c r="M226">
        <f ca="1"/>
        <v>-15.70981912842146</v>
      </c>
      <c r="N226">
        <f ca="1"/>
        <v>-5.2878764394813151</v>
      </c>
      <c r="O226">
        <f ca="1"/>
        <v>0</v>
      </c>
      <c r="P226">
        <f ca="1"/>
        <v>-21.451726877119512</v>
      </c>
      <c r="Q226">
        <f ca="1"/>
        <v>1867.6280735357464</v>
      </c>
    </row>
    <row r="227" spans="1:17">
      <c r="A227" s="2">
        <f ca="1"/>
        <v>226</v>
      </c>
      <c r="B227" s="2">
        <f ca="1"/>
        <v>0.52542372881355948</v>
      </c>
      <c r="C227" s="7">
        <f ca="1"/>
        <v>5.6250000000000001E-2</v>
      </c>
      <c r="D227" s="4">
        <f ca="1"/>
        <v>2.7283037207272205</v>
      </c>
      <c r="E227" s="4">
        <f ca="1"/>
        <v>39.971784481198597</v>
      </c>
      <c r="F227" s="4">
        <f ca="1"/>
        <v>-3146.9849369324625</v>
      </c>
      <c r="G227">
        <f ca="1"/>
        <v>-38543.717199910032</v>
      </c>
      <c r="H227">
        <f ca="1"/>
        <v>2.7283037207272205</v>
      </c>
      <c r="I227">
        <f ca="1"/>
        <v>4.9447117651362314E-3</v>
      </c>
      <c r="J227">
        <f ca="1"/>
        <v>-6.2373982265095064E-3</v>
      </c>
      <c r="K227">
        <f ca="1"/>
        <v>0</v>
      </c>
      <c r="L227">
        <f ca="1"/>
        <v>-0.44714478063229962</v>
      </c>
      <c r="M227">
        <f ca="1"/>
        <v>-15.560933442356449</v>
      </c>
      <c r="N227">
        <f ca="1"/>
        <v>-4.9828814069750367</v>
      </c>
      <c r="O227">
        <f ca="1"/>
        <v>0</v>
      </c>
      <c r="P227">
        <f ca="1"/>
        <v>-20.990959629963783</v>
      </c>
      <c r="Q227">
        <f ca="1"/>
        <v>1819.7129452439196</v>
      </c>
    </row>
    <row r="228" spans="1:17">
      <c r="A228" s="2">
        <f ca="1"/>
        <v>227</v>
      </c>
      <c r="B228" s="2">
        <f ca="1"/>
        <v>0.53220338983050852</v>
      </c>
      <c r="C228" s="7">
        <f ca="1"/>
        <v>5.6500000000000002E-2</v>
      </c>
      <c r="D228" s="4">
        <f ca="1"/>
        <v>2.7381982263240436</v>
      </c>
      <c r="E228" s="4">
        <f ca="1"/>
        <v>39.183883869080788</v>
      </c>
      <c r="F228" s="4">
        <f ca="1"/>
        <v>-3156.0188623551039</v>
      </c>
      <c r="G228">
        <f ca="1"/>
        <v>-33717.373480964845</v>
      </c>
      <c r="H228">
        <f ca="1"/>
        <v>2.7381982263240436</v>
      </c>
      <c r="I228">
        <f ca="1"/>
        <v>4.8836343173882524E-3</v>
      </c>
      <c r="J228">
        <f ca="1"/>
        <v>-6.1076157254511855E-3</v>
      </c>
      <c r="K228">
        <f ca="1"/>
        <v>0</v>
      </c>
      <c r="L228">
        <f ca="1"/>
        <v>-0.44028277511006575</v>
      </c>
      <c r="M228">
        <f ca="1"/>
        <v>-15.412842022522018</v>
      </c>
      <c r="N228">
        <f ca="1"/>
        <v>-4.6887456068654654</v>
      </c>
      <c r="O228">
        <f ca="1"/>
        <v>0</v>
      </c>
      <c r="P228">
        <f ca="1"/>
        <v>-20.541870404497551</v>
      </c>
      <c r="Q228">
        <f ca="1"/>
        <v>1771.1742630040831</v>
      </c>
    </row>
    <row r="229" spans="1:17">
      <c r="A229" s="2">
        <f ca="1"/>
        <v>228</v>
      </c>
      <c r="B229" s="2">
        <f ca="1"/>
        <v>0.53898305084745779</v>
      </c>
      <c r="C229" s="7">
        <f ca="1"/>
        <v>5.6750000000000002E-2</v>
      </c>
      <c r="D229" s="4">
        <f ca="1"/>
        <v>2.7478954870665548</v>
      </c>
      <c r="E229" s="4">
        <f ca="1"/>
        <v>38.393876243392292</v>
      </c>
      <c r="F229" s="4">
        <f ca="1"/>
        <v>-3163.8384673228188</v>
      </c>
      <c r="G229">
        <f ca="1"/>
        <v>-28829.153560494549</v>
      </c>
      <c r="H229">
        <f ca="1"/>
        <v>2.7478954870665548</v>
      </c>
      <c r="I229">
        <f ca="1"/>
        <v>4.8250349120352812E-3</v>
      </c>
      <c r="J229">
        <f ca="1"/>
        <v>-5.9784255698050823E-3</v>
      </c>
      <c r="K229">
        <f ca="1"/>
        <v>0</v>
      </c>
      <c r="L229">
        <f ca="1"/>
        <v>-0.43337356163292728</v>
      </c>
      <c r="M229">
        <f ca="1"/>
        <v>-15.265631060872796</v>
      </c>
      <c r="N229">
        <f ca="1"/>
        <v>-4.4063678759560183</v>
      </c>
      <c r="O229">
        <f ca="1"/>
        <v>0</v>
      </c>
      <c r="P229">
        <f ca="1"/>
        <v>-20.10537249846174</v>
      </c>
      <c r="Q229">
        <f ca="1"/>
        <v>1720.939765440319</v>
      </c>
    </row>
    <row r="230" spans="1:17">
      <c r="A230" s="2">
        <f ca="1"/>
        <v>229</v>
      </c>
      <c r="B230" s="2">
        <f ca="1"/>
        <v>0.54576271186440684</v>
      </c>
      <c r="C230" s="7">
        <f ca="1"/>
        <v>5.7000000000000002E-2</v>
      </c>
      <c r="D230" s="4">
        <f ca="1"/>
        <v>2.7573950143100117</v>
      </c>
      <c r="E230" s="4">
        <f ca="1"/>
        <v>37.602067117878164</v>
      </c>
      <c r="F230" s="4">
        <f ca="1"/>
        <v>-3170.4282827852244</v>
      </c>
      <c r="G230">
        <f ca="1"/>
        <v>-23879.057438499491</v>
      </c>
      <c r="H230">
        <f ca="1"/>
        <v>2.7573950143100117</v>
      </c>
      <c r="I230">
        <f ca="1"/>
        <v>4.7688508674235122E-3</v>
      </c>
      <c r="J230">
        <f ca="1"/>
        <v>-5.8497720412962508E-3</v>
      </c>
      <c r="K230">
        <f ca="1"/>
        <v>0</v>
      </c>
      <c r="L230">
        <f ca="1"/>
        <v>-0.42655931673286968</v>
      </c>
      <c r="M230">
        <f ca="1"/>
        <v>-15.119299666464354</v>
      </c>
      <c r="N230">
        <f ca="1"/>
        <v>-4.1355415385801653</v>
      </c>
      <c r="O230">
        <f ca="1"/>
        <v>0</v>
      </c>
      <c r="P230">
        <f ca="1"/>
        <v>-19.681400521777391</v>
      </c>
      <c r="Q230">
        <f ca="1"/>
        <v>1671.7920405209752</v>
      </c>
    </row>
    <row r="231" spans="1:17">
      <c r="A231" s="2">
        <f ca="1"/>
        <v>230</v>
      </c>
      <c r="B231" s="2">
        <f ca="1"/>
        <v>0.5525423728813561</v>
      </c>
      <c r="C231" s="7">
        <f ca="1"/>
        <v>5.7250000000000002E-2</v>
      </c>
      <c r="D231" s="4">
        <f ca="1"/>
        <v>2.7666963962715165</v>
      </c>
      <c r="E231" s="4">
        <f ca="1"/>
        <v>36.808765873545987</v>
      </c>
      <c r="F231" s="4">
        <f ca="1"/>
        <v>-3175.7728396919415</v>
      </c>
      <c r="G231">
        <f ca="1"/>
        <v>-18867.085114979316</v>
      </c>
      <c r="H231">
        <f ca="1"/>
        <v>2.7666963962715165</v>
      </c>
      <c r="I231">
        <f ca="1"/>
        <v>4.7150353042809384E-3</v>
      </c>
      <c r="J231">
        <f ca="1"/>
        <v>-5.7213915974623697E-3</v>
      </c>
      <c r="K231">
        <f ca="1"/>
        <v>0</v>
      </c>
      <c r="L231">
        <f ca="1"/>
        <v>-0.41968089216087745</v>
      </c>
      <c r="M231">
        <f ca="1"/>
        <v>-14.973881057524032</v>
      </c>
      <c r="N231">
        <f ca="1"/>
        <v>-3.875914528516343</v>
      </c>
      <c r="O231">
        <f ca="1"/>
        <v>0</v>
      </c>
      <c r="P231">
        <f ca="1"/>
        <v>-19.269476478201252</v>
      </c>
      <c r="Q231">
        <f ca="1"/>
        <v>1622.4363952018152</v>
      </c>
    </row>
    <row r="232" spans="1:17">
      <c r="A232" s="2">
        <f ca="1"/>
        <v>231</v>
      </c>
      <c r="B232" s="2">
        <f ca="1"/>
        <v>0.55932203389830515</v>
      </c>
      <c r="C232" s="7">
        <f ca="1"/>
        <v>5.7500000000000002E-2</v>
      </c>
      <c r="D232" s="4">
        <f ca="1"/>
        <v>2.7757992989968301</v>
      </c>
      <c r="E232" s="4">
        <f ca="1"/>
        <v>36.014285758666034</v>
      </c>
      <c r="F232" s="4">
        <f ca="1"/>
        <v>-3179.8566689925874</v>
      </c>
      <c r="G232">
        <f ca="1"/>
        <v>-13793.236589934346</v>
      </c>
      <c r="H232">
        <f ca="1"/>
        <v>2.7757992989968301</v>
      </c>
      <c r="I232">
        <f ca="1"/>
        <v>4.6635336881294632E-3</v>
      </c>
      <c r="J232">
        <f ca="1"/>
        <v>-5.5941474055576802E-3</v>
      </c>
      <c r="K232">
        <f ca="1"/>
        <v>0</v>
      </c>
      <c r="L232">
        <f ca="1"/>
        <v>-0.41292853623811254</v>
      </c>
      <c r="M232">
        <f ca="1"/>
        <v>-14.829368699270072</v>
      </c>
      <c r="N232">
        <f ca="1"/>
        <v>-3.6278850886682998</v>
      </c>
      <c r="O232">
        <f ca="1"/>
        <v>0</v>
      </c>
      <c r="P232">
        <f ca="1"/>
        <v>-18.870182324176483</v>
      </c>
      <c r="Q232">
        <f ca="1"/>
        <v>1573.426812434134</v>
      </c>
    </row>
    <row r="233" spans="1:17">
      <c r="A233" s="2">
        <f ca="1"/>
        <v>232</v>
      </c>
      <c r="B233" s="2">
        <f ca="1"/>
        <v>0.56610169491525442</v>
      </c>
      <c r="C233" s="7">
        <f ca="1"/>
        <v>5.7750000000000003E-2</v>
      </c>
      <c r="D233" s="4">
        <f ca="1"/>
        <v>2.7847034673271889</v>
      </c>
      <c r="E233" s="4">
        <f ca="1"/>
        <v>35.218943888771065</v>
      </c>
      <c r="F233" s="4">
        <f ca="1"/>
        <v>-3182.6643016367807</v>
      </c>
      <c r="G233">
        <f ca="1"/>
        <v>-8657.511863364296</v>
      </c>
      <c r="H233">
        <f ca="1"/>
        <v>2.7847034673271889</v>
      </c>
      <c r="I233">
        <f ca="1"/>
        <v>4.6142836582728749E-3</v>
      </c>
      <c r="J233">
        <f ca="1"/>
        <v>-5.4675457643414546E-3</v>
      </c>
      <c r="K233">
        <f ca="1"/>
        <v>0</v>
      </c>
      <c r="L233">
        <f ca="1"/>
        <v>-0.4061463666025989</v>
      </c>
      <c r="M233">
        <f ca="1"/>
        <v>-14.685715876811049</v>
      </c>
      <c r="N233">
        <f ca="1"/>
        <v>-3.3909008285705378</v>
      </c>
      <c r="O233">
        <f ca="1"/>
        <v>0</v>
      </c>
      <c r="P233">
        <f ca="1"/>
        <v>-18.482763071984184</v>
      </c>
      <c r="Q233">
        <f ca="1"/>
        <v>1524.6549030182935</v>
      </c>
    </row>
    <row r="234" spans="1:17">
      <c r="A234" s="2">
        <f ca="1"/>
        <v>233</v>
      </c>
      <c r="B234" s="2">
        <f ca="1"/>
        <v>0.57288135593220346</v>
      </c>
      <c r="C234" s="7">
        <f ca="1"/>
        <v>5.8000000000000003E-2</v>
      </c>
      <c r="D234" s="4">
        <f ca="1"/>
        <v>2.7934087258661213</v>
      </c>
      <c r="E234" s="4">
        <f ca="1"/>
        <v>34.423061246656545</v>
      </c>
      <c r="F234" s="4">
        <f ca="1"/>
        <v>-3184.1802685741418</v>
      </c>
      <c r="G234">
        <f ca="1"/>
        <v>-3459.9109352694481</v>
      </c>
      <c r="H234">
        <f ca="1"/>
        <v>2.7934087258661213</v>
      </c>
      <c r="I234">
        <f ca="1"/>
        <v>4.5672275432425691E-3</v>
      </c>
      <c r="J234">
        <f ca="1"/>
        <v>-5.3428229896861877E-3</v>
      </c>
      <c r="K234">
        <f ca="1"/>
        <v>0</v>
      </c>
      <c r="L234">
        <f ca="1"/>
        <v>-0.39949762187250315</v>
      </c>
      <c r="M234">
        <f ca="1"/>
        <v>-14.542875825281341</v>
      </c>
      <c r="N234">
        <f ca="1"/>
        <v>-3.1654814255134913</v>
      </c>
      <c r="O234">
        <f ca="1"/>
        <v>0</v>
      </c>
      <c r="P234">
        <f ca="1"/>
        <v>-18.107854872667335</v>
      </c>
      <c r="Q234">
        <f ca="1"/>
        <v>1476.432424747698</v>
      </c>
    </row>
    <row r="235" spans="1:17">
      <c r="A235" s="2">
        <f ca="1"/>
        <v>234</v>
      </c>
      <c r="B235" s="2">
        <f ca="1"/>
        <v>0.57966101694915273</v>
      </c>
      <c r="C235" s="7">
        <f ca="1"/>
        <v>5.8250000000000003E-2</v>
      </c>
      <c r="D235" s="4">
        <f ca="1"/>
        <v>2.8019149799462619</v>
      </c>
      <c r="E235" s="4">
        <f ca="1"/>
        <v>33.62696268238043</v>
      </c>
      <c r="F235" s="4">
        <f ca="1"/>
        <v>-3184.3891007542888</v>
      </c>
      <c r="G235">
        <f ca="1"/>
        <v>1799.5661943504435</v>
      </c>
      <c r="H235">
        <f ca="1"/>
        <v>2.8019149799462619</v>
      </c>
      <c r="I235">
        <f ca="1"/>
        <v>4.5223041684799414E-3</v>
      </c>
      <c r="J235">
        <f ca="1"/>
        <v>-5.2193103500536254E-3</v>
      </c>
      <c r="K235">
        <f ca="1"/>
        <v>0</v>
      </c>
      <c r="L235">
        <f ca="1"/>
        <v>-0.39284413762307718</v>
      </c>
      <c r="M235">
        <f ca="1"/>
        <v>-14.400776104403212</v>
      </c>
      <c r="N235">
        <f ca="1"/>
        <v>-2.9509266175840465</v>
      </c>
      <c r="O235">
        <f ca="1"/>
        <v>0</v>
      </c>
      <c r="P235">
        <f ca="1"/>
        <v>-17.744546859610335</v>
      </c>
      <c r="Q235">
        <f ca="1"/>
        <v>1430.3648460115342</v>
      </c>
    </row>
    <row r="236" spans="1:17">
      <c r="A236" s="2">
        <f ca="1"/>
        <v>235</v>
      </c>
      <c r="B236" s="2">
        <f ca="1"/>
        <v>0.58644067796610178</v>
      </c>
      <c r="C236" s="7">
        <f ca="1"/>
        <v>5.8500000000000003E-2</v>
      </c>
      <c r="D236" s="4">
        <f ca="1"/>
        <v>2.8102222165961659</v>
      </c>
      <c r="E236" s="4">
        <f ca="1"/>
        <v>32.830976913263363</v>
      </c>
      <c r="F236" s="4">
        <f ca="1"/>
        <v>-3183.2753291268396</v>
      </c>
      <c r="G236">
        <f ca="1"/>
        <v>7120.9195254951674</v>
      </c>
      <c r="H236">
        <f ca="1"/>
        <v>2.8102222165961659</v>
      </c>
      <c r="I236">
        <f ca="1"/>
        <v>4.4794485100293404E-3</v>
      </c>
      <c r="J236">
        <f ca="1"/>
        <v>-5.097099136430909E-3</v>
      </c>
      <c r="K236">
        <f ca="1"/>
        <v>0</v>
      </c>
      <c r="L236">
        <f ca="1"/>
        <v>-0.38634163596343718</v>
      </c>
      <c r="M236">
        <f ca="1"/>
        <v>-14.259317930070379</v>
      </c>
      <c r="N236">
        <f ca="1"/>
        <v>-2.7470128836277539</v>
      </c>
      <c r="O236">
        <f ca="1"/>
        <v>0</v>
      </c>
      <c r="P236">
        <f ca="1"/>
        <v>-17.392672449661568</v>
      </c>
      <c r="Q236">
        <f ca="1"/>
        <v>1385.3365082640239</v>
      </c>
    </row>
    <row r="237" spans="1:17">
      <c r="A237" s="2">
        <f ca="1"/>
        <v>236</v>
      </c>
      <c r="B237" s="2">
        <f ca="1"/>
        <v>0.59322033898305104</v>
      </c>
      <c r="C237" s="7">
        <f ca="1"/>
        <v>5.8750000000000004E-2</v>
      </c>
      <c r="D237" s="4">
        <f ca="1"/>
        <v>2.8183305055071295</v>
      </c>
      <c r="E237" s="4">
        <f ca="1"/>
        <v>32.035436523888499</v>
      </c>
      <c r="F237" s="4">
        <f ca="1"/>
        <v>-3180.8234846414143</v>
      </c>
      <c r="G237">
        <f ca="1"/>
        <v>12504.14905816497</v>
      </c>
      <c r="H237">
        <f ca="1"/>
        <v>2.8183305055071295</v>
      </c>
      <c r="I237">
        <f ca="1"/>
        <v>4.438608229257273E-3</v>
      </c>
      <c r="J237">
        <f ca="1"/>
        <v>-4.9764853722008232E-3</v>
      </c>
      <c r="K237">
        <f ca="1"/>
        <v>0</v>
      </c>
      <c r="L237">
        <f ca="1"/>
        <v>-0.37984249659474545</v>
      </c>
      <c r="M237">
        <f ca="1"/>
        <v>-14.118429294744177</v>
      </c>
      <c r="N237">
        <f ca="1"/>
        <v>-2.5536068141393988</v>
      </c>
      <c r="O237">
        <f ca="1"/>
        <v>0</v>
      </c>
      <c r="P237">
        <f ca="1"/>
        <v>-17.051878605478322</v>
      </c>
      <c r="Q237">
        <f ca="1"/>
        <v>1340.863764612769</v>
      </c>
    </row>
    <row r="238" spans="1:17">
      <c r="A238" s="2">
        <f ca="1"/>
        <v>237</v>
      </c>
      <c r="B238" s="2">
        <f ca="1"/>
        <v>0.60000000000000009</v>
      </c>
      <c r="C238" s="7">
        <f ca="1"/>
        <v>5.9000000000000004E-2</v>
      </c>
      <c r="D238" s="4">
        <f ca="1"/>
        <v>2.8262400000000003</v>
      </c>
      <c r="E238" s="4">
        <f ca="1"/>
        <v>31.240677966101682</v>
      </c>
      <c r="F238" s="4">
        <f ca="1"/>
        <v>-3177.0180982476304</v>
      </c>
      <c r="G238">
        <f ca="1"/>
        <v>17949.25479235957</v>
      </c>
      <c r="H238">
        <f ca="1"/>
        <v>2.8262400000000003</v>
      </c>
      <c r="I238">
        <f ca="1"/>
        <v>4.3997145254931549E-3</v>
      </c>
      <c r="J238">
        <f ca="1"/>
        <v>-4.8582251501154677E-3</v>
      </c>
      <c r="K238">
        <f ca="1"/>
        <v>0</v>
      </c>
      <c r="L238">
        <f ca="1"/>
        <v>-0.37350269943044362</v>
      </c>
      <c r="M238">
        <f ca="1"/>
        <v>-13.977972674614739</v>
      </c>
      <c r="N238">
        <f ca="1"/>
        <v>-2.3707651933099987</v>
      </c>
      <c r="O238">
        <f ca="1"/>
        <v>0</v>
      </c>
      <c r="P238">
        <f ca="1"/>
        <v>-16.722240567355183</v>
      </c>
      <c r="Q238">
        <f ca="1"/>
        <v>1298.1681123944627</v>
      </c>
    </row>
    <row r="239" spans="1:17">
      <c r="A239" s="2">
        <f ca="1"/>
        <v>238</v>
      </c>
      <c r="B239" s="2">
        <f ca="1"/>
        <v>0.60677966101694936</v>
      </c>
      <c r="C239" s="7">
        <f ca="1"/>
        <v>5.9250000000000004E-2</v>
      </c>
      <c r="D239" s="4">
        <f ca="1"/>
        <v>2.8339509379919958</v>
      </c>
      <c r="E239" s="4">
        <f ca="1"/>
        <v>30.44704155901125</v>
      </c>
      <c r="F239" s="4">
        <f ca="1"/>
        <v>-3171.8437008951073</v>
      </c>
      <c r="G239">
        <f ca="1"/>
        <v>23456.236728079286</v>
      </c>
      <c r="H239">
        <f ca="1"/>
        <v>2.8339509379919958</v>
      </c>
      <c r="I239">
        <f ca="1"/>
        <v>4.3627021796330857E-3</v>
      </c>
      <c r="J239">
        <f ca="1"/>
        <v>-4.7415936516685886E-3</v>
      </c>
      <c r="K239">
        <f ca="1"/>
        <v>0</v>
      </c>
      <c r="L239">
        <f ca="1"/>
        <v>-0.36720350150139763</v>
      </c>
      <c r="M239">
        <f ca="1"/>
        <v>-13.837809427350559</v>
      </c>
      <c r="N239">
        <f ca="1"/>
        <v>-2.1977816204291329</v>
      </c>
      <c r="O239">
        <f ca="1"/>
        <v>0</v>
      </c>
      <c r="P239">
        <f ca="1"/>
        <v>-16.40279454928109</v>
      </c>
      <c r="Q239">
        <f ca="1"/>
        <v>1257.8016175919647</v>
      </c>
    </row>
    <row r="240" spans="1:17">
      <c r="A240" s="2">
        <f ca="1"/>
        <v>239</v>
      </c>
      <c r="B240" s="2">
        <f ca="1"/>
        <v>0.6135593220338984</v>
      </c>
      <c r="C240" s="7">
        <f ca="1"/>
        <v>5.9500000000000004E-2</v>
      </c>
      <c r="D240" s="4">
        <f ca="1"/>
        <v>2.8414636429635189</v>
      </c>
      <c r="E240" s="4">
        <f ca="1"/>
        <v>29.654871488988228</v>
      </c>
      <c r="F240" s="4">
        <f ca="1"/>
        <v>-3165.2848235334632</v>
      </c>
      <c r="G240">
        <f ca="1"/>
        <v>29025.094865323728</v>
      </c>
      <c r="H240">
        <f ca="1"/>
        <v>2.8414636429635189</v>
      </c>
      <c r="I240">
        <f ca="1"/>
        <v>4.3275059582947905E-3</v>
      </c>
      <c r="J240">
        <f ca="1"/>
        <v>-4.626971457938822E-3</v>
      </c>
      <c r="K240">
        <f ca="1"/>
        <v>0</v>
      </c>
      <c r="L240">
        <f ca="1"/>
        <v>-0.36104509421887715</v>
      </c>
      <c r="M240">
        <f ca="1"/>
        <v>-13.697788933541137</v>
      </c>
      <c r="N240">
        <f ca="1"/>
        <v>-2.0345057307991863</v>
      </c>
      <c r="O240">
        <f ca="1"/>
        <v>0</v>
      </c>
      <c r="P240">
        <f ca="1"/>
        <v>-16.0933397585592</v>
      </c>
      <c r="Q240">
        <f ca="1"/>
        <v>1218.5404938143688</v>
      </c>
    </row>
    <row r="241" spans="1:17">
      <c r="A241" s="2">
        <f ca="1"/>
        <v>240</v>
      </c>
      <c r="B241" s="2">
        <f ca="1"/>
        <v>0.62033898305084767</v>
      </c>
      <c r="C241" s="7">
        <f ca="1"/>
        <v>5.9750000000000004E-2</v>
      </c>
      <c r="D241" s="4">
        <f ca="1"/>
        <v>2.8487785249249726</v>
      </c>
      <c r="E241" s="4">
        <f ca="1"/>
        <v>28.864515809666141</v>
      </c>
      <c r="F241" s="4">
        <f ca="1"/>
        <v>-3157.3259971123184</v>
      </c>
      <c r="G241">
        <f ca="1"/>
        <v>34655.829204093287</v>
      </c>
      <c r="H241">
        <f ca="1"/>
        <v>2.8487785249249726</v>
      </c>
      <c r="I241">
        <f ca="1"/>
        <v>4.294073901962704E-3</v>
      </c>
      <c r="J241">
        <f ca="1"/>
        <v>-4.514738746887903E-3</v>
      </c>
      <c r="K241">
        <f ca="1"/>
        <v>0</v>
      </c>
      <c r="L241">
        <f ca="1"/>
        <v>-0.35498265491111641</v>
      </c>
      <c r="M241">
        <f ca="1"/>
        <v>-13.557791164188378</v>
      </c>
      <c r="N241">
        <f ca="1"/>
        <v>-1.8807504832744095</v>
      </c>
      <c r="O241">
        <f ca="1"/>
        <v>0</v>
      </c>
      <c r="P241">
        <f ca="1"/>
        <v>-15.793524302373905</v>
      </c>
      <c r="Q241">
        <f ca="1"/>
        <v>1181.4646764482586</v>
      </c>
    </row>
    <row r="242" spans="1:17">
      <c r="A242" s="2">
        <f ca="1"/>
        <v>241</v>
      </c>
      <c r="B242" s="2">
        <f ca="1"/>
        <v>0.62711864406779672</v>
      </c>
      <c r="C242" s="7">
        <f ca="1"/>
        <v>0.06</v>
      </c>
      <c r="D242" s="4">
        <f ca="1"/>
        <v>2.8558960813835759</v>
      </c>
      <c r="E242" s="4">
        <f ca="1"/>
        <v>28.076326441941227</v>
      </c>
      <c r="F242" s="4">
        <f ca="1"/>
        <v>-3147.9517525812903</v>
      </c>
      <c r="G242">
        <f ca="1"/>
        <v>40348.439744387637</v>
      </c>
      <c r="H242">
        <f ca="1"/>
        <v>2.8558960813835759</v>
      </c>
      <c r="I242">
        <f ca="1"/>
        <v>4.2623327316020625E-3</v>
      </c>
      <c r="J242">
        <f ca="1"/>
        <v>-4.4044306280704324E-3</v>
      </c>
      <c r="K242">
        <f ca="1"/>
        <v>0</v>
      </c>
      <c r="L242">
        <f ca="1"/>
        <v>-0.34902710557642586</v>
      </c>
      <c r="M242">
        <f ca="1"/>
        <v>-13.417617792531312</v>
      </c>
      <c r="N242">
        <f ca="1"/>
        <v>-1.7359625222273403</v>
      </c>
      <c r="O242">
        <f ca="1"/>
        <v>0</v>
      </c>
      <c r="P242">
        <f ca="1"/>
        <v>-15.502607420335078</v>
      </c>
      <c r="Q242">
        <f ca="1"/>
        <v>1146.2911436096065</v>
      </c>
    </row>
    <row r="243" spans="1:17">
      <c r="A243" s="2">
        <f ca="1"/>
        <v>242</v>
      </c>
      <c r="B243" s="2">
        <f ca="1"/>
        <v>0.63389830508474576</v>
      </c>
      <c r="C243" s="7">
        <f ca="1"/>
        <v>6.0249999999999998E-2</v>
      </c>
      <c r="D243" s="4">
        <f ca="1"/>
        <v>2.8628168983101805</v>
      </c>
      <c r="E243" s="4">
        <f ca="1"/>
        <v>27.290659173972209</v>
      </c>
      <c r="F243" s="4">
        <f ca="1"/>
        <v>-3137.1466208899974</v>
      </c>
      <c r="G243">
        <f ca="1"/>
        <v>46102.926486206896</v>
      </c>
      <c r="H243">
        <f ca="1"/>
        <v>2.8628168983101805</v>
      </c>
      <c r="I243">
        <f ca="1"/>
        <v>4.2322217291119067E-3</v>
      </c>
      <c r="J243">
        <f ca="1"/>
        <v>-4.2967046167021027E-3</v>
      </c>
      <c r="K243">
        <f ca="1"/>
        <v>0</v>
      </c>
      <c r="L243">
        <f ca="1"/>
        <v>-0.34322863412122728</v>
      </c>
      <c r="M243">
        <f ca="1"/>
        <v>-13.277100096340639</v>
      </c>
      <c r="N243">
        <f ca="1"/>
        <v>-1.6000500001072431</v>
      </c>
      <c r="O243">
        <f ca="1"/>
        <v>0</v>
      </c>
      <c r="P243">
        <f ca="1"/>
        <v>-15.220378730569109</v>
      </c>
      <c r="Q243">
        <f ca="1"/>
        <v>1112.8206794354928</v>
      </c>
    </row>
    <row r="244" spans="1:17">
      <c r="A244" s="2">
        <f ca="1"/>
        <v>243</v>
      </c>
      <c r="B244" s="2">
        <f ca="1"/>
        <v>0.64067796610169503</v>
      </c>
      <c r="C244" s="7">
        <f ca="1"/>
        <v>6.0499999999999998E-2</v>
      </c>
      <c r="D244" s="4">
        <f ca="1"/>
        <v>2.8695416511060845</v>
      </c>
      <c r="E244" s="4">
        <f ca="1"/>
        <v>26.507873661180447</v>
      </c>
      <c r="F244" s="4">
        <f ca="1"/>
        <v>-3124.8951329880592</v>
      </c>
      <c r="G244">
        <f ca="1"/>
        <v>51919.289429551303</v>
      </c>
      <c r="H244">
        <f ca="1"/>
        <v>2.8695416511060845</v>
      </c>
      <c r="I244">
        <f ca="1"/>
        <v>4.2036781523900136E-3</v>
      </c>
      <c r="J244">
        <f ca="1"/>
        <v>-4.1915943118028733E-3</v>
      </c>
      <c r="K244">
        <f ca="1"/>
        <v>0</v>
      </c>
      <c r="L244">
        <f ca="1"/>
        <v>-0.33749541428022228</v>
      </c>
      <c r="M244">
        <f ca="1"/>
        <v>-13.136053399051791</v>
      </c>
      <c r="N244">
        <f ca="1"/>
        <v>-1.4726482672853165</v>
      </c>
      <c r="O244">
        <f ca="1"/>
        <v>0</v>
      </c>
      <c r="P244">
        <f ca="1"/>
        <v>-14.946197080617331</v>
      </c>
      <c r="Q244">
        <f ca="1"/>
        <v>1081.7440609623884</v>
      </c>
    </row>
    <row r="245" spans="1:17">
      <c r="A245" s="2">
        <f ca="1"/>
        <v>244</v>
      </c>
      <c r="B245" s="2">
        <f ca="1"/>
        <v>0.64745762711864407</v>
      </c>
      <c r="C245" s="7">
        <f ca="1"/>
        <v>6.0749999999999998E-2</v>
      </c>
      <c r="D245" s="4">
        <f ca="1"/>
        <v>2.8760711055698502</v>
      </c>
      <c r="E245" s="4">
        <f ca="1"/>
        <v>25.728333426249932</v>
      </c>
      <c r="F245" s="4">
        <f ca="1"/>
        <v>-3111.1818198250949</v>
      </c>
      <c r="G245">
        <f ca="1"/>
        <v>57797.528574420467</v>
      </c>
      <c r="H245">
        <f ca="1"/>
        <v>2.8760711055698502</v>
      </c>
      <c r="I245">
        <f ca="1"/>
        <v>4.1766447866851695E-3</v>
      </c>
      <c r="J245">
        <f ca="1"/>
        <v>-4.0887756478695803E-3</v>
      </c>
      <c r="K245">
        <f ca="1"/>
        <v>0</v>
      </c>
      <c r="L245">
        <f ca="1"/>
        <v>-0.33192869695711097</v>
      </c>
      <c r="M245">
        <f ca="1"/>
        <v>-12.994301328202161</v>
      </c>
      <c r="N245">
        <f ca="1"/>
        <v>-1.3532766749286438</v>
      </c>
      <c r="O245">
        <f ca="1"/>
        <v>0</v>
      </c>
      <c r="P245">
        <f ca="1"/>
        <v>-14.679506700087915</v>
      </c>
      <c r="Q245">
        <f ca="1"/>
        <v>1052.666724748362</v>
      </c>
    </row>
    <row r="246" spans="1:17">
      <c r="A246" s="2">
        <f ca="1"/>
        <v>245</v>
      </c>
      <c r="B246" s="2">
        <f ca="1"/>
        <v>0.65423728813559334</v>
      </c>
      <c r="C246" s="7">
        <f ca="1"/>
        <v>6.0999999999999999E-2</v>
      </c>
      <c r="D246" s="4">
        <f ca="1"/>
        <v>2.8824061188641177</v>
      </c>
      <c r="E246" s="4">
        <f ca="1"/>
        <v>24.952405859127168</v>
      </c>
      <c r="F246" s="4">
        <f ca="1"/>
        <v>-3095.9912123507215</v>
      </c>
      <c r="G246">
        <f ca="1"/>
        <v>63737.643920814749</v>
      </c>
      <c r="H246">
        <f ca="1"/>
        <v>2.8824061188641177</v>
      </c>
      <c r="I246">
        <f ca="1"/>
        <v>4.1510622303847977E-3</v>
      </c>
      <c r="J246">
        <f ca="1"/>
        <v>-3.9886828234170744E-3</v>
      </c>
      <c r="K246">
        <f ca="1"/>
        <v>0</v>
      </c>
      <c r="L246">
        <f ca="1"/>
        <v>-0.32648957945121831</v>
      </c>
      <c r="M246">
        <f ca="1"/>
        <v>-12.85165218719232</v>
      </c>
      <c r="N246">
        <f ca="1"/>
        <v>-1.2417219515996107</v>
      </c>
      <c r="O246">
        <f ca="1"/>
        <v>0</v>
      </c>
      <c r="P246">
        <f ca="1"/>
        <v>-14.41986371824315</v>
      </c>
      <c r="Q246">
        <f ca="1"/>
        <v>1025.8519991196192</v>
      </c>
    </row>
    <row r="247" spans="1:17">
      <c r="A247" s="2">
        <f ca="1"/>
        <v>246</v>
      </c>
      <c r="B247" s="2">
        <f ca="1"/>
        <v>0.66101694915254239</v>
      </c>
      <c r="C247" s="7">
        <f ca="1"/>
        <v>6.1249999999999999E-2</v>
      </c>
      <c r="D247" s="4">
        <f ca="1"/>
        <v>2.8885476404824226</v>
      </c>
      <c r="E247" s="4">
        <f ca="1"/>
        <v>24.180462217021393</v>
      </c>
      <c r="F247" s="4">
        <f ca="1"/>
        <v>-3079.3078415145601</v>
      </c>
      <c r="G247">
        <f ca="1"/>
        <v>69739.63546873373</v>
      </c>
      <c r="H247">
        <f ca="1"/>
        <v>2.8885476404824226</v>
      </c>
      <c r="I247">
        <f ca="1"/>
        <v>4.1268596427302146E-3</v>
      </c>
      <c r="J247">
        <f ca="1"/>
        <v>-3.8910750031219596E-3</v>
      </c>
      <c r="K247">
        <f ca="1"/>
        <v>0</v>
      </c>
      <c r="L247">
        <f ca="1"/>
        <v>-0.32116387285551423</v>
      </c>
      <c r="M247">
        <f ca="1"/>
        <v>-12.707871258689126</v>
      </c>
      <c r="N247">
        <f ca="1"/>
        <v>-1.1375455689834639</v>
      </c>
      <c r="O247">
        <f ca="1"/>
        <v>0</v>
      </c>
      <c r="P247">
        <f ca="1"/>
        <v>-14.166580700528105</v>
      </c>
      <c r="Q247">
        <f ca="1"/>
        <v>1001.1153426936934</v>
      </c>
    </row>
    <row r="248" spans="1:17">
      <c r="A248" s="2">
        <f ca="1"/>
        <v>247</v>
      </c>
      <c r="B248" s="2">
        <f ca="1"/>
        <v>0.66779661016949166</v>
      </c>
      <c r="C248" s="7">
        <f ca="1"/>
        <v>6.1499999999999999E-2</v>
      </c>
      <c r="D248" s="4">
        <f ca="1"/>
        <v>2.89449671321601</v>
      </c>
      <c r="E248" s="4">
        <f ca="1"/>
        <v>23.412877624404238</v>
      </c>
      <c r="F248" s="4">
        <f ca="1"/>
        <v>-3061.1162382662278</v>
      </c>
      <c r="G248">
        <f ca="1"/>
        <v>75803.503218177924</v>
      </c>
      <c r="H248">
        <f ca="1"/>
        <v>2.89449671321601</v>
      </c>
      <c r="I248">
        <f ca="1"/>
        <v>4.1039984682300131E-3</v>
      </c>
      <c r="J248">
        <f ca="1"/>
        <v>-3.7962611457613036E-3</v>
      </c>
      <c r="K248">
        <f ca="1"/>
        <v>0</v>
      </c>
      <c r="L248">
        <f ca="1"/>
        <v>-0.31600505100896115</v>
      </c>
      <c r="M248">
        <f ca="1"/>
        <v>-12.562816352918619</v>
      </c>
      <c r="N248">
        <f ca="1"/>
        <v>-1.0404846429687233</v>
      </c>
      <c r="O248">
        <f ca="1"/>
        <v>0</v>
      </c>
      <c r="P248">
        <f ca="1"/>
        <v>-13.919306046896303</v>
      </c>
      <c r="Q248">
        <f ca="1"/>
        <v>978.49748941338805</v>
      </c>
    </row>
    <row r="249" spans="1:17">
      <c r="A249" s="2">
        <f ca="1"/>
        <v>248</v>
      </c>
      <c r="B249" s="2">
        <f ca="1"/>
        <v>0.6745762711864407</v>
      </c>
      <c r="C249" s="7">
        <f ca="1"/>
        <v>6.1749999999999999E-2</v>
      </c>
      <c r="D249" s="4">
        <f ca="1"/>
        <v>2.9002544741206506</v>
      </c>
      <c r="E249" s="4">
        <f ca="1"/>
        <v>22.650031073010155</v>
      </c>
      <c r="F249" s="4">
        <f ca="1"/>
        <v>-3041.4009335553442</v>
      </c>
      <c r="G249">
        <f ca="1"/>
        <v>81929.247169146809</v>
      </c>
      <c r="H249">
        <f ca="1"/>
        <v>2.9002544741206506</v>
      </c>
      <c r="I249">
        <f ca="1"/>
        <v>4.0824048161859691E-3</v>
      </c>
      <c r="J249">
        <f ca="1"/>
        <v>-3.7040390959286042E-3</v>
      </c>
      <c r="K249">
        <f ca="1"/>
        <v>0</v>
      </c>
      <c r="L249">
        <f ca="1"/>
        <v>-0.3109718312589197</v>
      </c>
      <c r="M249">
        <f ca="1"/>
        <v>-12.41622981909884</v>
      </c>
      <c r="N249">
        <f ca="1"/>
        <v>-0.95013030546365096</v>
      </c>
      <c r="O249">
        <f ca="1"/>
        <v>0</v>
      </c>
      <c r="P249">
        <f ca="1"/>
        <v>-13.67733195582141</v>
      </c>
      <c r="Q249">
        <f ca="1"/>
        <v>958.25472715456704</v>
      </c>
    </row>
    <row r="250" spans="1:17">
      <c r="A250" s="2">
        <f ca="1"/>
        <v>249</v>
      </c>
      <c r="B250" s="2">
        <f ca="1"/>
        <v>0.68135593220338997</v>
      </c>
      <c r="C250" s="7">
        <f ca="1"/>
        <v>6.2E-2</v>
      </c>
      <c r="D250" s="4">
        <f ca="1"/>
        <v>2.9058221554834578</v>
      </c>
      <c r="E250" s="4">
        <f ca="1"/>
        <v>21.892305421835982</v>
      </c>
      <c r="F250" s="4">
        <f ca="1"/>
        <v>-3020.1464583315274</v>
      </c>
      <c r="G250">
        <f ca="1"/>
        <v>88116.867321640879</v>
      </c>
      <c r="H250">
        <f ca="1"/>
        <v>2.9058221554834578</v>
      </c>
      <c r="I250">
        <f ca="1"/>
        <v>4.0620275071308757E-3</v>
      </c>
      <c r="J250">
        <f ca="1"/>
        <v>-3.6146057837470923E-3</v>
      </c>
      <c r="K250">
        <f ca="1"/>
        <v>0</v>
      </c>
      <c r="L250">
        <f ca="1"/>
        <v>-0.30606914881835084</v>
      </c>
      <c r="M250">
        <f ca="1"/>
        <v>-12.267917989306557</v>
      </c>
      <c r="N250">
        <f ca="1"/>
        <v>-0.86619154519411012</v>
      </c>
      <c r="O250">
        <f ca="1"/>
        <v>0</v>
      </c>
      <c r="P250">
        <f ca="1"/>
        <v>-13.440178683319019</v>
      </c>
      <c r="Q250">
        <f ca="1"/>
        <v>939.95568355891646</v>
      </c>
    </row>
    <row r="251" spans="1:17">
      <c r="A251" s="2">
        <f ca="1"/>
        <v>250</v>
      </c>
      <c r="B251" s="2">
        <f ca="1"/>
        <v>0.68813559322033901</v>
      </c>
      <c r="C251" s="7">
        <f ca="1"/>
        <v>6.225E-2</v>
      </c>
      <c r="D251" s="4">
        <f ca="1"/>
        <v>2.9112010857896999</v>
      </c>
      <c r="E251" s="4">
        <f ca="1"/>
        <v>21.140087397141325</v>
      </c>
      <c r="F251" s="4">
        <f ca="1"/>
        <v>-2997.3373435443968</v>
      </c>
      <c r="G251">
        <f ca="1"/>
        <v>94366.363675659639</v>
      </c>
      <c r="H251">
        <f ca="1"/>
        <v>2.9112010857896999</v>
      </c>
      <c r="I251">
        <f ca="1"/>
        <v>4.042815639489817E-3</v>
      </c>
      <c r="J251">
        <f ca="1"/>
        <v>-3.5280077819883275E-3</v>
      </c>
      <c r="K251">
        <f ca="1"/>
        <v>0</v>
      </c>
      <c r="L251">
        <f ca="1"/>
        <v>-0.3013326731756138</v>
      </c>
      <c r="M251">
        <f ca="1"/>
        <v>-12.117682289308149</v>
      </c>
      <c r="N251">
        <f ca="1"/>
        <v>-0.78833915155818968</v>
      </c>
      <c r="O251">
        <f ca="1"/>
        <v>0</v>
      </c>
      <c r="P251">
        <f ca="1"/>
        <v>-13.207354114041951</v>
      </c>
      <c r="Q251">
        <f ca="1"/>
        <v>923.79877149412971</v>
      </c>
    </row>
    <row r="252" spans="1:17">
      <c r="A252" s="2">
        <f ca="1"/>
        <v>251</v>
      </c>
      <c r="B252" s="2">
        <f ca="1"/>
        <v>0.69491525423728828</v>
      </c>
      <c r="C252" s="7">
        <f ca="1"/>
        <v>6.25E-2</v>
      </c>
      <c r="D252" s="4">
        <f ca="1"/>
        <v>2.9163926906896194</v>
      </c>
      <c r="E252" s="4">
        <f ca="1"/>
        <v>20.39376759244826</v>
      </c>
      <c r="F252" s="4">
        <f ca="1"/>
        <v>-2972.9581201435708</v>
      </c>
      <c r="G252">
        <f ca="1"/>
        <v>100677.73623120355</v>
      </c>
      <c r="H252">
        <f ca="1"/>
        <v>2.9163926906896194</v>
      </c>
      <c r="I252">
        <f ca="1"/>
        <v>4.0247177345307458E-3</v>
      </c>
      <c r="J252">
        <f ca="1"/>
        <v>-3.444152838970249E-3</v>
      </c>
      <c r="K252">
        <f ca="1"/>
        <v>0</v>
      </c>
      <c r="L252">
        <f ca="1"/>
        <v>-0.29674053121848276</v>
      </c>
      <c r="M252">
        <f ca="1"/>
        <v>-11.965317270159018</v>
      </c>
      <c r="N252">
        <f ca="1"/>
        <v>-0.71622149619445419</v>
      </c>
      <c r="O252">
        <f ca="1"/>
        <v>0</v>
      </c>
      <c r="P252">
        <f ca="1"/>
        <v>-12.978279297571953</v>
      </c>
      <c r="Q252">
        <f ca="1"/>
        <v>909.87309551446947</v>
      </c>
    </row>
    <row r="253" spans="1:17">
      <c r="A253" s="2">
        <f ca="1"/>
        <v>252</v>
      </c>
      <c r="B253" s="2">
        <f ca="1"/>
        <v>0.70169491525423733</v>
      </c>
      <c r="C253" s="7">
        <f ca="1"/>
        <v>6.275E-2</v>
      </c>
      <c r="D253" s="4">
        <f ca="1"/>
        <v>2.9213984939652473</v>
      </c>
      <c r="E253" s="4">
        <f ca="1"/>
        <v>19.653740468541539</v>
      </c>
      <c r="F253" s="4">
        <f ca="1"/>
        <v>-2946.9933190786683</v>
      </c>
      <c r="G253">
        <f ca="1"/>
        <v>107050.98498827223</v>
      </c>
      <c r="H253">
        <f ca="1"/>
        <v>2.9213984939652473</v>
      </c>
      <c r="I253">
        <f ca="1"/>
        <v>4.0076824489789793E-3</v>
      </c>
      <c r="J253">
        <f ca="1"/>
        <v>-3.3631052457893411E-3</v>
      </c>
      <c r="K253">
        <f ca="1"/>
        <v>0</v>
      </c>
      <c r="L253">
        <f ca="1"/>
        <v>-0.29227164906320646</v>
      </c>
      <c r="M253">
        <f ca="1"/>
        <v>-11.810613402129889</v>
      </c>
      <c r="N253">
        <f ca="1"/>
        <v>-0.64953251509162102</v>
      </c>
      <c r="O253">
        <f ca="1"/>
        <v>0</v>
      </c>
      <c r="P253">
        <f ca="1"/>
        <v>-12.752417566284716</v>
      </c>
      <c r="Q253">
        <f ca="1"/>
        <v>897.99470852448155</v>
      </c>
    </row>
    <row r="254" spans="1:17">
      <c r="A254" s="2">
        <f ca="1"/>
        <v>253</v>
      </c>
      <c r="B254" s="2">
        <f ca="1"/>
        <v>0.7084745762711866</v>
      </c>
      <c r="C254" s="7">
        <f ca="1"/>
        <v>6.3E-2</v>
      </c>
      <c r="D254" s="4">
        <f ca="1"/>
        <v>2.9262201184972172</v>
      </c>
      <c r="E254" s="4">
        <f ca="1"/>
        <v>18.920404353468459</v>
      </c>
      <c r="F254" s="4">
        <f ca="1"/>
        <v>-2919.4274712993069</v>
      </c>
      <c r="G254">
        <f ca="1"/>
        <v>113486.10994686601</v>
      </c>
      <c r="H254">
        <f ca="1"/>
        <v>2.9262201184972172</v>
      </c>
      <c r="I254">
        <f ca="1"/>
        <v>3.9916579645850438E-3</v>
      </c>
      <c r="J254">
        <f ca="1"/>
        <v>-3.2848541325130442E-3</v>
      </c>
      <c r="K254">
        <f ca="1"/>
        <v>0</v>
      </c>
      <c r="L254">
        <f ca="1"/>
        <v>-0.2879671906888091</v>
      </c>
      <c r="M254">
        <f ca="1"/>
        <v>-11.653355917840253</v>
      </c>
      <c r="N254">
        <f ca="1"/>
        <v>-0.58795883478065081</v>
      </c>
      <c r="O254">
        <f ca="1"/>
        <v>0</v>
      </c>
      <c r="P254">
        <f ca="1"/>
        <v>-12.529281943309712</v>
      </c>
      <c r="Q254">
        <f ca="1"/>
        <v>888.12378166225437</v>
      </c>
    </row>
    <row r="255" spans="1:17">
      <c r="A255" s="2">
        <f ca="1"/>
        <v>254</v>
      </c>
      <c r="B255" s="2">
        <f ca="1"/>
        <v>0.71525423728813564</v>
      </c>
      <c r="C255" s="7">
        <f ca="1"/>
        <v>6.3250000000000001E-2</v>
      </c>
      <c r="D255" s="4">
        <f ca="1"/>
        <v>2.9308592872315842</v>
      </c>
      <c r="E255" s="4">
        <f ca="1"/>
        <v>18.194161442538963</v>
      </c>
      <c r="F255" s="4">
        <f ca="1"/>
        <v>-2890.2451077551082</v>
      </c>
      <c r="G255">
        <f ca="1"/>
        <v>119983.11110698456</v>
      </c>
      <c r="H255">
        <f ca="1"/>
        <v>2.9308592872315842</v>
      </c>
      <c r="I255">
        <f ca="1"/>
        <v>3.9765926930474269E-3</v>
      </c>
      <c r="J255">
        <f ca="1"/>
        <v>-3.2094159178993843E-3</v>
      </c>
      <c r="K255">
        <f ca="1"/>
        <v>0</v>
      </c>
      <c r="L255">
        <f ca="1"/>
        <v>-0.28382561795196842</v>
      </c>
      <c r="M255">
        <f ca="1"/>
        <v>-11.493327576615036</v>
      </c>
      <c r="N255">
        <f ca="1"/>
        <v>-0.53120248088658462</v>
      </c>
      <c r="O255">
        <f ca="1"/>
        <v>0</v>
      </c>
      <c r="P255">
        <f ca="1"/>
        <v>-12.308355675453589</v>
      </c>
      <c r="Q255">
        <f ca="1"/>
        <v>880.32883696287024</v>
      </c>
    </row>
    <row r="256" spans="1:17">
      <c r="A256" s="2">
        <f ca="1"/>
        <v>255</v>
      </c>
      <c r="B256" s="2">
        <f ca="1"/>
        <v>0.72203389830508491</v>
      </c>
      <c r="C256" s="7">
        <f ca="1"/>
        <v>6.3500000000000001E-2</v>
      </c>
      <c r="D256" s="4">
        <f ca="1"/>
        <v>2.9353178241466376</v>
      </c>
      <c r="E256" s="4">
        <f ca="1"/>
        <v>17.475417798325502</v>
      </c>
      <c r="F256" s="4">
        <f ca="1"/>
        <v>-2859.4307593956873</v>
      </c>
      <c r="G256">
        <f ca="1"/>
        <v>126541.98846862823</v>
      </c>
      <c r="H256">
        <f ca="1"/>
        <v>2.9353178241466376</v>
      </c>
      <c r="I256">
        <f ca="1"/>
        <v>3.9624442553807988E-3</v>
      </c>
      <c r="J256">
        <f ca="1"/>
        <v>-3.1367861608758148E-3</v>
      </c>
      <c r="K256">
        <f ca="1"/>
        <v>0</v>
      </c>
      <c r="L256">
        <f ca="1"/>
        <v>-0.27981061938701157</v>
      </c>
      <c r="M256">
        <f ca="1"/>
        <v>-11.330334986226596</v>
      </c>
      <c r="N256">
        <f ca="1"/>
        <v>-0.47897191921466842</v>
      </c>
      <c r="O256">
        <f ca="1"/>
        <v>0</v>
      </c>
      <c r="P256">
        <f ca="1"/>
        <v>-12.089117524828277</v>
      </c>
      <c r="Q256">
        <f ca="1"/>
        <v>874.49201918303311</v>
      </c>
    </row>
    <row r="257" spans="1:17">
      <c r="A257" s="2">
        <f ca="1"/>
        <v>256</v>
      </c>
      <c r="B257" s="2">
        <f ca="1"/>
        <v>0.72881355932203395</v>
      </c>
      <c r="C257" s="7">
        <f ca="1"/>
        <v>6.3750000000000001E-2</v>
      </c>
      <c r="D257" s="4">
        <f ca="1"/>
        <v>2.9395976552197172</v>
      </c>
      <c r="E257" s="4">
        <f ca="1"/>
        <v>16.764583350663251</v>
      </c>
      <c r="F257" s="4">
        <f ca="1"/>
        <v>-2826.9689571706667</v>
      </c>
      <c r="G257">
        <f ca="1"/>
        <v>133162.74203179666</v>
      </c>
      <c r="H257">
        <f ca="1"/>
        <v>2.9395976552197172</v>
      </c>
      <c r="I257">
        <f ca="1"/>
        <v>3.9491697936788949E-3</v>
      </c>
      <c r="J257">
        <f ca="1"/>
        <v>-3.0669588389123557E-3</v>
      </c>
      <c r="K257">
        <f ca="1"/>
        <v>0</v>
      </c>
      <c r="L257">
        <f ca="1"/>
        <v>-0.27594293730154934</v>
      </c>
      <c r="M257">
        <f ca="1"/>
        <v>-11.164180413326322</v>
      </c>
      <c r="N257">
        <f ca="1"/>
        <v>-0.43098631523419978</v>
      </c>
      <c r="O257">
        <f ca="1"/>
        <v>0</v>
      </c>
      <c r="P257">
        <f ca="1"/>
        <v>-11.871109665862072</v>
      </c>
      <c r="Q257">
        <f ca="1"/>
        <v>870.49777477533314</v>
      </c>
    </row>
    <row r="258" spans="1:17">
      <c r="A258" s="2">
        <f ca="1"/>
        <v>257</v>
      </c>
      <c r="B258" s="2">
        <f ca="1"/>
        <v>0.73559322033898322</v>
      </c>
      <c r="C258" s="7">
        <f ca="1"/>
        <v>6.4000000000000001E-2</v>
      </c>
      <c r="D258" s="4">
        <f ca="1"/>
        <v>2.9437008093940307</v>
      </c>
      <c r="E258" s="4">
        <f ca="1"/>
        <v>16.062071896649829</v>
      </c>
      <c r="F258" s="4">
        <f ca="1"/>
        <v>-2792.8442320296622</v>
      </c>
      <c r="G258">
        <f ca="1"/>
        <v>139845.37179649019</v>
      </c>
      <c r="H258">
        <f ca="1"/>
        <v>2.9437008093940307</v>
      </c>
      <c r="I258">
        <f ca="1"/>
        <v>3.9367240582402927E-3</v>
      </c>
      <c r="J258">
        <f ca="1"/>
        <v>-2.9999334067174308E-3</v>
      </c>
      <c r="K258">
        <f ca="1"/>
        <v>0</v>
      </c>
      <c r="L258">
        <f ca="1"/>
        <v>-0.27223491807768252</v>
      </c>
      <c r="M258">
        <f ca="1"/>
        <v>-10.994657079148805</v>
      </c>
      <c r="N258">
        <f ca="1"/>
        <v>-0.38697664021412259</v>
      </c>
      <c r="O258">
        <f ca="1"/>
        <v>0</v>
      </c>
      <c r="P258">
        <f ca="1"/>
        <v>-11.65386863744061</v>
      </c>
      <c r="Q258">
        <f ca="1"/>
        <v>868.37918716330898</v>
      </c>
    </row>
    <row r="259" spans="1:17">
      <c r="A259" s="2">
        <f ca="1"/>
        <v>258</v>
      </c>
      <c r="B259" s="2">
        <f ca="1"/>
        <v>0.74237288135593227</v>
      </c>
      <c r="C259" s="7">
        <f ca="1"/>
        <v>6.4250000000000002E-2</v>
      </c>
      <c r="D259" s="4">
        <f ca="1"/>
        <v>2.9476294195454673</v>
      </c>
      <c r="E259" s="4">
        <f ca="1"/>
        <v>15.368301100645626</v>
      </c>
      <c r="F259" s="4">
        <f ca="1"/>
        <v>-2757.0411149222941</v>
      </c>
      <c r="G259">
        <f ca="1"/>
        <v>146589.87776270849</v>
      </c>
      <c r="H259">
        <f ca="1"/>
        <v>2.9476294195454673</v>
      </c>
      <c r="I259">
        <f ca="1"/>
        <v>3.9250617466042182E-3</v>
      </c>
      <c r="J259">
        <f ca="1"/>
        <v>-2.9356588744574633E-3</v>
      </c>
      <c r="K259">
        <f ca="1"/>
        <v>0</v>
      </c>
      <c r="L259">
        <f ca="1"/>
        <v>-0.26868463423609545</v>
      </c>
      <c r="M259">
        <f ca="1"/>
        <v>-10.82155661399654</v>
      </c>
      <c r="N259">
        <f ca="1"/>
        <v>-0.34667882404778133</v>
      </c>
      <c r="O259">
        <f ca="1"/>
        <v>0</v>
      </c>
      <c r="P259">
        <f ca="1"/>
        <v>-11.436920072280417</v>
      </c>
      <c r="Q259">
        <f ca="1"/>
        <v>868.10017945615948</v>
      </c>
    </row>
    <row r="260" spans="1:17">
      <c r="A260" s="2">
        <f ca="1"/>
        <v>259</v>
      </c>
      <c r="B260" s="2">
        <f ca="1"/>
        <v>0.74915254237288154</v>
      </c>
      <c r="C260" s="7">
        <f ca="1"/>
        <v>6.4500000000000002E-2</v>
      </c>
      <c r="D260" s="4">
        <f ca="1"/>
        <v>2.9513857234494139</v>
      </c>
      <c r="E260" s="4">
        <f ca="1"/>
        <v>14.683692494273417</v>
      </c>
      <c r="F260" s="4">
        <f ca="1"/>
        <v>-2719.5441367981812</v>
      </c>
      <c r="G260">
        <f ca="1"/>
        <v>153396.25993045192</v>
      </c>
      <c r="H260">
        <f ca="1"/>
        <v>2.9513857234494139</v>
      </c>
      <c r="I260">
        <f ca="1"/>
        <v>3.9141475319822714E-3</v>
      </c>
      <c r="J260">
        <f ca="1"/>
        <v>-2.8741492195678308E-3</v>
      </c>
      <c r="K260">
        <f ca="1"/>
        <v>0</v>
      </c>
      <c r="L260">
        <f ca="1"/>
        <v>-0.2652727339621988</v>
      </c>
      <c r="M260">
        <f ca="1"/>
        <v>-10.644696971165457</v>
      </c>
      <c r="N260">
        <f ca="1"/>
        <v>-0.30984884258487316</v>
      </c>
      <c r="O260">
        <f ca="1"/>
        <v>0</v>
      </c>
      <c r="P260">
        <f ca="1"/>
        <v>-11.21981854771253</v>
      </c>
      <c r="Q260">
        <f ca="1"/>
        <v>869.55976547076398</v>
      </c>
    </row>
    <row r="261" spans="1:17">
      <c r="A261" s="2">
        <f ca="1"/>
        <v>260</v>
      </c>
      <c r="B261" s="2">
        <f ca="1"/>
        <v>0.75593220338983058</v>
      </c>
      <c r="C261" s="7">
        <f ca="1"/>
        <v>6.4750000000000002E-2</v>
      </c>
      <c r="D261" s="4">
        <f ca="1"/>
        <v>2.9549720647475715</v>
      </c>
      <c r="E261" s="4">
        <f ca="1"/>
        <v>14.00867147641878</v>
      </c>
      <c r="F261" s="4">
        <f ca="1"/>
        <v>-2680.3378286069419</v>
      </c>
      <c r="G261">
        <f ca="1"/>
        <v>160264.5182997201</v>
      </c>
      <c r="H261">
        <f ca="1"/>
        <v>2.9549720647475715</v>
      </c>
      <c r="I261">
        <f ca="1"/>
        <v>3.9039465450097744E-3</v>
      </c>
      <c r="J261">
        <f ca="1"/>
        <v>-2.8153659393697515E-3</v>
      </c>
      <c r="K261">
        <f ca="1"/>
        <v>0</v>
      </c>
      <c r="L261">
        <f ca="1"/>
        <v>-0.26199682887675807</v>
      </c>
      <c r="M261">
        <f ca="1"/>
        <v>-10.463895605449071</v>
      </c>
      <c r="N261">
        <f ca="1"/>
        <v>-0.27624775521920603</v>
      </c>
      <c r="O261">
        <f ca="1"/>
        <v>0</v>
      </c>
      <c r="P261">
        <f ca="1"/>
        <v>-11.002140189545035</v>
      </c>
      <c r="Q261">
        <f ca="1"/>
        <v>872.70129190354521</v>
      </c>
    </row>
    <row r="262" spans="1:17">
      <c r="A262" s="2">
        <f ca="1"/>
        <v>261</v>
      </c>
      <c r="B262" s="2">
        <f ca="1"/>
        <v>0.76271186440677985</v>
      </c>
      <c r="C262" s="7">
        <f ca="1"/>
        <v>6.5000000000000002E-2</v>
      </c>
      <c r="D262" s="4">
        <f ca="1"/>
        <v>2.9583908939147694</v>
      </c>
      <c r="E262" s="4">
        <f ca="1"/>
        <v>13.343667313229735</v>
      </c>
      <c r="F262" s="4">
        <f ca="1"/>
        <v>-2639.4067212981936</v>
      </c>
      <c r="G262">
        <f ca="1"/>
        <v>167194.65287051347</v>
      </c>
      <c r="H262">
        <f ca="1"/>
        <v>2.9583908939147694</v>
      </c>
      <c r="I262">
        <f ca="1"/>
        <v>3.8944162912511126E-3</v>
      </c>
      <c r="J262">
        <f ca="1"/>
        <v>-2.7592323651345506E-3</v>
      </c>
      <c r="K262">
        <f ca="1"/>
        <v>0</v>
      </c>
      <c r="L262">
        <f ca="1"/>
        <v>-0.25887393595498553</v>
      </c>
      <c r="M262">
        <f ca="1"/>
        <v>-10.278948534661369</v>
      </c>
      <c r="N262">
        <f ca="1"/>
        <v>-0.24564543114440079</v>
      </c>
      <c r="O262">
        <f ca="1"/>
        <v>0</v>
      </c>
      <c r="P262">
        <f ca="1"/>
        <v>-10.783467901760757</v>
      </c>
      <c r="Q262">
        <f ca="1"/>
        <v>877.42663250940029</v>
      </c>
    </row>
    <row r="263" spans="1:17">
      <c r="A263" s="2">
        <f ca="1"/>
        <v>262</v>
      </c>
      <c r="B263" s="2">
        <f ca="1"/>
        <v>0.76949152542372889</v>
      </c>
      <c r="C263" s="7">
        <f ca="1"/>
        <v>6.5250000000000002E-2</v>
      </c>
      <c r="D263" s="4">
        <f ca="1"/>
        <v>2.9616447692257832</v>
      </c>
      <c r="E263" s="4">
        <f ca="1"/>
        <v>12.689113138117005</v>
      </c>
      <c r="F263" s="4">
        <f ca="1"/>
        <v>-2596.735345821558</v>
      </c>
      <c r="G263">
        <f ca="1"/>
        <v>174186.66364283147</v>
      </c>
      <c r="H263">
        <f ca="1"/>
        <v>2.9616447692257832</v>
      </c>
      <c r="I263">
        <f ca="1"/>
        <v>3.8855263951480794E-3</v>
      </c>
      <c r="J263">
        <f ca="1"/>
        <v>-2.7058762493136707E-3</v>
      </c>
      <c r="K263">
        <f ca="1"/>
        <v>0</v>
      </c>
      <c r="L263">
        <f ca="1"/>
        <v>-0.25590171836816067</v>
      </c>
      <c r="M263">
        <f ca="1"/>
        <v>-10.08968372740364</v>
      </c>
      <c r="N263">
        <f ca="1"/>
        <v>-0.21784142751853261</v>
      </c>
      <c r="O263">
        <f ca="1"/>
        <v>0</v>
      </c>
      <c r="P263">
        <f ca="1"/>
        <v>-10.563426873290334</v>
      </c>
      <c r="Q263">
        <f ca="1"/>
        <v>883.71704247501191</v>
      </c>
    </row>
    <row r="264" spans="1:17">
      <c r="A264" s="2">
        <f ca="1"/>
        <v>263</v>
      </c>
      <c r="B264" s="2">
        <f ca="1"/>
        <v>0.77627118644067816</v>
      </c>
      <c r="C264" s="7">
        <f ca="1"/>
        <v>6.5500000000000003E-2</v>
      </c>
      <c r="D264" s="4">
        <f ca="1"/>
        <v>2.9647363577221482</v>
      </c>
      <c r="E264" s="4">
        <f ca="1"/>
        <v>12.045445951753836</v>
      </c>
      <c r="F264" s="4">
        <f ca="1"/>
        <v>-2552.3082331266505</v>
      </c>
      <c r="G264">
        <f ca="1"/>
        <v>181240.55061667471</v>
      </c>
      <c r="H264">
        <f ca="1"/>
        <v>2.9647363577221482</v>
      </c>
      <c r="I264">
        <f ca="1"/>
        <v>3.8772427485586633E-3</v>
      </c>
      <c r="J264">
        <f ca="1"/>
        <v>-2.6550331078688937E-3</v>
      </c>
      <c r="K264">
        <f ca="1"/>
        <v>0</v>
      </c>
      <c r="L264">
        <f ca="1"/>
        <v>-0.25307773993573013</v>
      </c>
      <c r="M264">
        <f ca="1"/>
        <v>-9.8959185889768797</v>
      </c>
      <c r="N264">
        <f ca="1"/>
        <v>-0.19261305161063999</v>
      </c>
      <c r="O264">
        <f ca="1"/>
        <v>0</v>
      </c>
      <c r="P264">
        <f ca="1"/>
        <v>-10.34160938052325</v>
      </c>
      <c r="Q264">
        <f ca="1"/>
        <v>891.57041588290224</v>
      </c>
    </row>
    <row r="265" spans="1:17">
      <c r="A265" s="2">
        <f ca="1"/>
        <v>264</v>
      </c>
      <c r="B265" s="2">
        <f ca="1"/>
        <v>0.78305084745762721</v>
      </c>
      <c r="C265" s="7">
        <f ca="1"/>
        <v>6.5750000000000003E-2</v>
      </c>
      <c r="D265" s="4">
        <f ca="1"/>
        <v>2.9676684361789754</v>
      </c>
      <c r="E265" s="4">
        <f ca="1"/>
        <v>11.413106622076068</v>
      </c>
      <c r="F265" s="4">
        <f ca="1"/>
        <v>-2506.1099141630934</v>
      </c>
      <c r="G265">
        <f ca="1"/>
        <v>188356.31379204255</v>
      </c>
      <c r="H265">
        <f ca="1"/>
        <v>2.9676684361789754</v>
      </c>
      <c r="I265">
        <f ca="1"/>
        <v>3.8695287519615322E-3</v>
      </c>
      <c r="J265">
        <f ca="1"/>
        <v>-2.6068527576942262E-3</v>
      </c>
      <c r="K265">
        <f ca="1"/>
        <v>0</v>
      </c>
      <c r="L265">
        <f ca="1"/>
        <v>-0.25039427663027902</v>
      </c>
      <c r="M265">
        <f ca="1"/>
        <v>-9.6974643684299373</v>
      </c>
      <c r="N265">
        <f ca="1"/>
        <v>-0.16978302028866604</v>
      </c>
      <c r="O265">
        <f ca="1"/>
        <v>0</v>
      </c>
      <c r="P265">
        <f ca="1"/>
        <v>-10.117641665348883</v>
      </c>
      <c r="Q265">
        <f ca="1"/>
        <v>900.93626317513576</v>
      </c>
    </row>
    <row r="266" spans="1:17">
      <c r="A266" s="2">
        <f ca="1"/>
        <v>265</v>
      </c>
      <c r="B266" s="2">
        <f ca="1"/>
        <v>0.78983050847457648</v>
      </c>
      <c r="C266" s="7">
        <f ca="1"/>
        <v>6.6000000000000003E-2</v>
      </c>
      <c r="D266" s="4">
        <f ca="1"/>
        <v>2.9704438920717675</v>
      </c>
      <c r="E266" s="4">
        <f ca="1"/>
        <v>10.792539884282192</v>
      </c>
      <c r="F266" s="4">
        <f ca="1"/>
        <v>-2458.1249198805017</v>
      </c>
      <c r="G266">
        <f ca="1"/>
        <v>195533.95316893567</v>
      </c>
      <c r="H266">
        <f ca="1"/>
        <v>2.9704438920717675</v>
      </c>
      <c r="I266">
        <f ca="1"/>
        <v>3.8623526843794514E-3</v>
      </c>
      <c r="J266">
        <f ca="1"/>
        <v>-2.5611579668458973E-3</v>
      </c>
      <c r="K266">
        <f ca="1"/>
        <v>0</v>
      </c>
      <c r="L266">
        <f ca="1"/>
        <v>-0.24783541277615739</v>
      </c>
      <c r="M266">
        <f ca="1"/>
        <v>-9.4941453828404789</v>
      </c>
      <c r="N266">
        <f ca="1"/>
        <v>-0.14916045331904706</v>
      </c>
      <c r="O266">
        <f ca="1"/>
        <v>0</v>
      </c>
      <c r="P266">
        <f ca="1"/>
        <v>-9.891141248935682</v>
      </c>
      <c r="Q266">
        <f ca="1"/>
        <v>911.62557498146691</v>
      </c>
    </row>
    <row r="267" spans="1:17">
      <c r="A267" s="2">
        <f ca="1"/>
        <v>266</v>
      </c>
      <c r="B267" s="2">
        <f ca="1"/>
        <v>0.79661016949152552</v>
      </c>
      <c r="C267" s="7">
        <f ca="1"/>
        <v>6.6250000000000003E-2</v>
      </c>
      <c r="D267" s="4">
        <f ca="1"/>
        <v>2.9730657245432361</v>
      </c>
      <c r="E267" s="4">
        <f ca="1"/>
        <v>10.184194340833276</v>
      </c>
      <c r="F267" s="4">
        <f ca="1"/>
        <v>-2408.3377812284984</v>
      </c>
      <c r="G267">
        <f ca="1"/>
        <v>202773.46874735347</v>
      </c>
      <c r="H267">
        <f ca="1"/>
        <v>2.9730657245432361</v>
      </c>
      <c r="I267">
        <f ca="1"/>
        <v>3.855698979516084E-3</v>
      </c>
      <c r="J267">
        <f ca="1"/>
        <v>-2.5180856232547054E-3</v>
      </c>
      <c r="K267">
        <f ca="1"/>
        <v>0</v>
      </c>
      <c r="L267">
        <f ca="1"/>
        <v>-0.24541818382280722</v>
      </c>
      <c r="M267">
        <f ca="1"/>
        <v>-9.2858255254127506</v>
      </c>
      <c r="N267">
        <f ca="1"/>
        <v>-0.13058516862259112</v>
      </c>
      <c r="O267">
        <f ca="1"/>
        <v>0</v>
      </c>
      <c r="P267">
        <f ca="1"/>
        <v>-9.6618288778581487</v>
      </c>
      <c r="Q267">
        <f ca="1"/>
        <v>923.63505074894113</v>
      </c>
    </row>
    <row r="268" spans="1:17">
      <c r="A268" s="2">
        <f ca="1"/>
        <v>267</v>
      </c>
      <c r="B268" s="2">
        <f ca="1"/>
        <v>0.80338983050847479</v>
      </c>
      <c r="C268" s="7">
        <f ca="1"/>
        <v>6.6500000000000004E-2</v>
      </c>
      <c r="D268" s="4">
        <f ca="1"/>
        <v>2.9755370453701144</v>
      </c>
      <c r="E268" s="4">
        <f ca="1"/>
        <v>9.5885224614529267</v>
      </c>
      <c r="F268" s="4">
        <f ca="1"/>
        <v>-2356.7330291566982</v>
      </c>
      <c r="G268">
        <f ca="1"/>
        <v>210074.86052729649</v>
      </c>
      <c r="H268">
        <f ca="1"/>
        <v>2.9755370453701144</v>
      </c>
      <c r="I268">
        <f ca="1"/>
        <v>3.8495230471059538E-3</v>
      </c>
      <c r="J268">
        <f ca="1"/>
        <v>-2.4774023209719557E-3</v>
      </c>
      <c r="K268">
        <f ca="1"/>
        <v>0</v>
      </c>
      <c r="L268">
        <f ca="1"/>
        <v>-0.2431397208314624</v>
      </c>
      <c r="M268">
        <f ca="1"/>
        <v>-9.072298111614538</v>
      </c>
      <c r="N268">
        <f ca="1"/>
        <v>-0.11388589111521008</v>
      </c>
      <c r="O268">
        <f ca="1"/>
        <v>0</v>
      </c>
      <c r="P268">
        <f ca="1"/>
        <v>-9.4293237235612111</v>
      </c>
      <c r="Q268">
        <f ca="1"/>
        <v>936.97398713689415</v>
      </c>
    </row>
    <row r="269" spans="1:17">
      <c r="A269" s="2">
        <f ca="1"/>
        <v>268</v>
      </c>
      <c r="B269" s="2">
        <f ca="1"/>
        <v>0.81016949152542383</v>
      </c>
      <c r="C269" s="7">
        <f ca="1"/>
        <v>6.6750000000000004E-2</v>
      </c>
      <c r="D269" s="4">
        <f ca="1"/>
        <v>2.9778610799299745</v>
      </c>
      <c r="E269" s="4">
        <f ca="1"/>
        <v>9.00598058312743</v>
      </c>
      <c r="F269" s="4">
        <f ca="1"/>
        <v>-2303.2951946147236</v>
      </c>
      <c r="G269">
        <f ca="1"/>
        <v>217438.12850876409</v>
      </c>
      <c r="H269">
        <f ca="1"/>
        <v>2.9778610799299745</v>
      </c>
      <c r="I269">
        <f ca="1"/>
        <v>3.8438108241101035E-3</v>
      </c>
      <c r="J269">
        <f ca="1"/>
        <v>-2.4390742366770064E-3</v>
      </c>
      <c r="K269">
        <f ca="1"/>
        <v>0</v>
      </c>
      <c r="L269">
        <f ca="1"/>
        <v>-0.24099705012774142</v>
      </c>
      <c r="M269">
        <f ca="1"/>
        <v>-8.853431000180862</v>
      </c>
      <c r="N269">
        <f ca="1"/>
        <v>-9.8913833981097418E-2</v>
      </c>
      <c r="O269">
        <f ca="1"/>
        <v>0</v>
      </c>
      <c r="P269">
        <f ca="1"/>
        <v>-9.1933418842897012</v>
      </c>
      <c r="Q269">
        <f ca="1"/>
        <v>951.48586391230253</v>
      </c>
    </row>
    <row r="270" spans="1:17">
      <c r="A270" s="2">
        <f ca="1"/>
        <v>269</v>
      </c>
      <c r="B270" s="2">
        <f ca="1"/>
        <v>0.8169491525423731</v>
      </c>
      <c r="C270" s="7">
        <f ca="1"/>
        <v>6.7000000000000004E-2</v>
      </c>
      <c r="D270" s="4">
        <f ca="1"/>
        <v>2.9800411681680439</v>
      </c>
      <c r="E270" s="4">
        <f ca="1"/>
        <v>8.4370289101055995</v>
      </c>
      <c r="F270" s="4">
        <f ca="1"/>
        <v>-2248.0088085521888</v>
      </c>
      <c r="G270">
        <f ca="1"/>
        <v>224863.27269175698</v>
      </c>
      <c r="H270">
        <f ca="1"/>
        <v>2.9800411681680439</v>
      </c>
      <c r="I270">
        <f ca="1"/>
        <v>3.8385348832052496E-3</v>
      </c>
      <c r="J270">
        <f ca="1"/>
        <v>-2.4031839313128915E-3</v>
      </c>
      <c r="K270">
        <f ca="1"/>
        <v>0</v>
      </c>
      <c r="L270">
        <f ca="1"/>
        <v>-0.23898709241027999</v>
      </c>
      <c r="M270">
        <f ca="1"/>
        <v>-8.629060229380249</v>
      </c>
      <c r="N270">
        <f ca="1"/>
        <v>-8.5533469814529597E-2</v>
      </c>
      <c r="O270">
        <f ca="1"/>
        <v>0</v>
      </c>
      <c r="P270">
        <f ca="1"/>
        <v>-8.9535807916050594</v>
      </c>
      <c r="Q270">
        <f ca="1"/>
        <v>967.20777088477575</v>
      </c>
    </row>
    <row r="271" spans="1:17">
      <c r="A271" s="2">
        <f ca="1"/>
        <v>270</v>
      </c>
      <c r="B271" s="2">
        <f ca="1"/>
        <v>0.82372881355932215</v>
      </c>
      <c r="C271" s="7">
        <f ca="1"/>
        <v>6.7250000000000004E-2</v>
      </c>
      <c r="D271" s="4">
        <f ca="1"/>
        <v>2.9820807655640196</v>
      </c>
      <c r="E271" s="4">
        <f ca="1"/>
        <v>7.8821315138989112</v>
      </c>
      <c r="F271" s="4">
        <f ca="1"/>
        <v>-2190.8584019187174</v>
      </c>
      <c r="G271">
        <f ca="1"/>
        <v>232350.29307627445</v>
      </c>
      <c r="H271">
        <f ca="1"/>
        <v>2.9820807655640196</v>
      </c>
      <c r="I271">
        <f ca="1"/>
        <v>3.8336674202961388E-3</v>
      </c>
      <c r="J271">
        <f ca="1"/>
        <v>-2.3695873803978129E-3</v>
      </c>
      <c r="K271">
        <f ca="1"/>
        <v>0</v>
      </c>
      <c r="L271">
        <f ca="1"/>
        <v>-0.23710666185936519</v>
      </c>
      <c r="M271">
        <f ca="1"/>
        <v>-8.3990224779178515</v>
      </c>
      <c r="N271">
        <f ca="1"/>
        <v>-7.3608859070096871E-2</v>
      </c>
      <c r="O271">
        <f ca="1"/>
        <v>0</v>
      </c>
      <c r="P271">
        <f ca="1"/>
        <v>-8.7097379988473129</v>
      </c>
      <c r="Q271">
        <f ca="1"/>
        <v>984.07639146628424</v>
      </c>
    </row>
    <row r="272" spans="1:17">
      <c r="A272" s="2">
        <f ca="1"/>
        <v>271</v>
      </c>
      <c r="B272" s="2">
        <f ca="1"/>
        <v>0.83050847457627142</v>
      </c>
      <c r="C272" s="7">
        <f ca="1"/>
        <v>6.7500000000000004E-2</v>
      </c>
      <c r="D272" s="4">
        <f ca="1"/>
        <v>2.9839834440988837</v>
      </c>
      <c r="E272" s="4">
        <f ca="1"/>
        <v>7.3417563332813582</v>
      </c>
      <c r="F272" s="4">
        <f ca="1"/>
        <v>-2131.8285056639238</v>
      </c>
      <c r="G272">
        <f ca="1"/>
        <v>239899.18966231722</v>
      </c>
      <c r="H272">
        <f ca="1"/>
        <v>2.9839834440988837</v>
      </c>
      <c r="I272">
        <f ca="1"/>
        <v>3.8291879930476207E-3</v>
      </c>
      <c r="J272">
        <f ca="1"/>
        <v>-2.3382706127235732E-3</v>
      </c>
      <c r="K272">
        <f ca="1"/>
        <v>0</v>
      </c>
      <c r="L272">
        <f ca="1"/>
        <v>-0.23535246524556888</v>
      </c>
      <c r="M272">
        <f ca="1"/>
        <v>-8.1631721171249492</v>
      </c>
      <c r="N272">
        <f ca="1"/>
        <v>-6.3018013501399406E-2</v>
      </c>
      <c r="O272">
        <f ca="1"/>
        <v>0</v>
      </c>
      <c r="P272">
        <f ca="1"/>
        <v>-8.4615425958719168</v>
      </c>
      <c r="Q272">
        <f ca="1"/>
        <v>1002.0327167047532</v>
      </c>
    </row>
    <row r="273" spans="1:17">
      <c r="A273" s="2">
        <f ca="1"/>
        <v>272</v>
      </c>
      <c r="B273" s="2">
        <f ca="1"/>
        <v>0.83728813559322046</v>
      </c>
      <c r="C273" s="7">
        <f ca="1"/>
        <v>6.7750000000000005E-2</v>
      </c>
      <c r="D273" s="4">
        <f ca="1"/>
        <v>2.9857528932217199</v>
      </c>
      <c r="E273" s="4">
        <f ca="1"/>
        <v>6.8163751742895959</v>
      </c>
      <c r="F273" s="4">
        <f ca="1"/>
        <v>-2070.9036507374317</v>
      </c>
      <c r="G273">
        <f ca="1"/>
        <v>247509.96244988465</v>
      </c>
      <c r="H273">
        <f ca="1"/>
        <v>2.9857528932217199</v>
      </c>
      <c r="I273">
        <f ca="1"/>
        <v>3.8250761399275242E-3</v>
      </c>
      <c r="J273">
        <f ca="1"/>
        <v>-2.3091705032444588E-3</v>
      </c>
      <c r="K273">
        <f ca="1"/>
        <v>0</v>
      </c>
      <c r="L273">
        <f ca="1"/>
        <v>-0.23371203746527555</v>
      </c>
      <c r="M273">
        <f ca="1"/>
        <v>-7.9213641425245527</v>
      </c>
      <c r="N273">
        <f ca="1"/>
        <v>-5.3645460505107413E-2</v>
      </c>
      <c r="O273">
        <f ca="1"/>
        <v>0</v>
      </c>
      <c r="P273">
        <f ca="1"/>
        <v>-8.2087216404949359</v>
      </c>
      <c r="Q273">
        <f ca="1"/>
        <v>1021.0350938855202</v>
      </c>
    </row>
    <row r="274" spans="1:17">
      <c r="A274" s="2">
        <f ca="1"/>
        <v>273</v>
      </c>
      <c r="B274" s="2">
        <f ca="1"/>
        <v>0.84406779661016973</v>
      </c>
      <c r="C274" s="7">
        <f ca="1"/>
        <v>6.8000000000000005E-2</v>
      </c>
      <c r="D274" s="4">
        <f ca="1"/>
        <v>2.98739292081653</v>
      </c>
      <c r="E274" s="4">
        <f ca="1"/>
        <v>6.3064637102228227</v>
      </c>
      <c r="F274" s="4">
        <f ca="1"/>
        <v>-2008.0683680888546</v>
      </c>
      <c r="G274">
        <f ca="1"/>
        <v>255182.61143897727</v>
      </c>
      <c r="H274">
        <f ca="1"/>
        <v>2.98739292081653</v>
      </c>
      <c r="I274">
        <f ca="1"/>
        <v>3.8213117046277385E-3</v>
      </c>
      <c r="J274">
        <f ca="1"/>
        <v>-2.2821317633745738E-3</v>
      </c>
      <c r="K274">
        <f ca="1"/>
        <v>0</v>
      </c>
      <c r="L274">
        <f ca="1"/>
        <v>-0.23218800619913157</v>
      </c>
      <c r="M274">
        <f ca="1"/>
        <v>-7.6734551586706621</v>
      </c>
      <c r="N274">
        <f ca="1"/>
        <v>-4.5381884059362443E-2</v>
      </c>
      <c r="O274">
        <f ca="1"/>
        <v>0</v>
      </c>
      <c r="P274">
        <f ca="1"/>
        <v>-7.9510250489291563</v>
      </c>
      <c r="Q274">
        <f ca="1"/>
        <v>1041.0176142004141</v>
      </c>
    </row>
    <row r="275" spans="1:17">
      <c r="A275" s="2">
        <f ca="1"/>
        <v>274</v>
      </c>
      <c r="B275" s="2">
        <f ca="1"/>
        <v>0.85084745762711878</v>
      </c>
      <c r="C275" s="7">
        <f ca="1"/>
        <v>6.8250000000000005E-2</v>
      </c>
      <c r="D275" s="4">
        <f ca="1"/>
        <v>2.9889074541690461</v>
      </c>
      <c r="E275" s="4">
        <f ca="1"/>
        <v>5.8125014816428742</v>
      </c>
      <c r="F275" s="4">
        <f ca="1"/>
        <v>-1943.3071886678158</v>
      </c>
      <c r="G275">
        <f ca="1"/>
        <v>262917.13662959461</v>
      </c>
      <c r="H275">
        <f ca="1"/>
        <v>2.9889074541690461</v>
      </c>
      <c r="I275">
        <f ca="1"/>
        <v>3.8178748403149033E-3</v>
      </c>
      <c r="J275">
        <f ca="1"/>
        <v>-2.2571213152105477E-3</v>
      </c>
      <c r="K275">
        <f ca="1"/>
        <v>0</v>
      </c>
      <c r="L275">
        <f ca="1"/>
        <v>-0.23078059318354766</v>
      </c>
      <c r="M275">
        <f ca="1"/>
        <v>-7.4193036226179414</v>
      </c>
      <c r="N275">
        <f ca="1"/>
        <v>-3.8128617593239239E-2</v>
      </c>
      <c r="O275">
        <f ca="1"/>
        <v>0</v>
      </c>
      <c r="P275">
        <f ca="1"/>
        <v>-7.6882128333947284</v>
      </c>
      <c r="Q275">
        <f ca="1"/>
        <v>1061.951393879199</v>
      </c>
    </row>
    <row r="276" spans="1:17">
      <c r="A276" s="2">
        <f ca="1"/>
        <v>275</v>
      </c>
      <c r="B276" s="2">
        <f ca="1"/>
        <v>0.85762711864406804</v>
      </c>
      <c r="C276" s="7">
        <f ca="1"/>
        <v>6.8500000000000005E-2</v>
      </c>
      <c r="D276" s="4">
        <f ca="1"/>
        <v>2.9903005409335517</v>
      </c>
      <c r="E276" s="4">
        <f ca="1"/>
        <v>5.3349718963741397</v>
      </c>
      <c r="F276" s="4">
        <f ca="1"/>
        <v>-1876.6046434239306</v>
      </c>
      <c r="G276">
        <f ca="1"/>
        <v>270713.53802173707</v>
      </c>
      <c r="H276">
        <f ca="1"/>
        <v>2.9903005409335517</v>
      </c>
      <c r="I276">
        <f ca="1"/>
        <v>3.8147456682180634E-3</v>
      </c>
      <c r="J276">
        <f ca="1"/>
        <v>-2.2341342218726028E-3</v>
      </c>
      <c r="K276">
        <f ca="1"/>
        <v>0</v>
      </c>
      <c r="L276">
        <f ca="1"/>
        <v>-0.22948603704786039</v>
      </c>
      <c r="M276">
        <f ca="1"/>
        <v>-7.1587694344593427</v>
      </c>
      <c r="N276">
        <f ca="1"/>
        <v>-3.1793880482353563E-2</v>
      </c>
      <c r="O276">
        <f ca="1"/>
        <v>0</v>
      </c>
      <c r="P276">
        <f ca="1"/>
        <v>-7.4200493519895563</v>
      </c>
      <c r="Q276">
        <f ca="1"/>
        <v>1083.8131115347139</v>
      </c>
    </row>
    <row r="277" spans="1:17">
      <c r="A277" s="2">
        <f ca="1"/>
        <v>276</v>
      </c>
      <c r="B277" s="2">
        <f ca="1"/>
        <v>0.86440677966101709</v>
      </c>
      <c r="C277" s="7">
        <f ca="1"/>
        <v>6.8750000000000006E-2</v>
      </c>
      <c r="D277" s="4">
        <f ca="1"/>
        <v>2.9915763500996908</v>
      </c>
      <c r="E277" s="4">
        <f ca="1"/>
        <v>4.874362229503685</v>
      </c>
      <c r="F277" s="4">
        <f ca="1"/>
        <v>-1807.9452633068202</v>
      </c>
      <c r="G277">
        <f ca="1"/>
        <v>278571.81561540422</v>
      </c>
      <c r="H277">
        <f ca="1"/>
        <v>2.9915763500996908</v>
      </c>
      <c r="I277">
        <f ca="1"/>
        <v>3.8119044589736755E-3</v>
      </c>
      <c r="J277">
        <f ca="1"/>
        <v>-2.2131194621212171E-3</v>
      </c>
      <c r="K277">
        <f ca="1"/>
        <v>0</v>
      </c>
      <c r="L277">
        <f ca="1"/>
        <v>-0.2283004636678867</v>
      </c>
      <c r="M277">
        <f ca="1"/>
        <v>-6.8917146107796032</v>
      </c>
      <c r="N277">
        <f ca="1"/>
        <v>-2.6291203179880193E-2</v>
      </c>
      <c r="O277">
        <f ca="1"/>
        <v>0</v>
      </c>
      <c r="P277">
        <f ca="1"/>
        <v>-7.1463062776273709</v>
      </c>
      <c r="Q277">
        <f ca="1"/>
        <v>1106.521999177997</v>
      </c>
    </row>
    <row r="278" spans="1:17">
      <c r="A278" s="2">
        <f ca="1"/>
        <v>277</v>
      </c>
      <c r="B278" s="2">
        <f ca="1"/>
        <v>0.87118644067796636</v>
      </c>
      <c r="C278" s="7">
        <f ca="1"/>
        <v>6.9000000000000006E-2</v>
      </c>
      <c r="D278" s="4">
        <f ca="1"/>
        <v>2.9927391729592898</v>
      </c>
      <c r="E278" s="4">
        <f ca="1"/>
        <v>4.4311636233810416</v>
      </c>
      <c r="F278" s="4">
        <f ca="1"/>
        <v>-1737.3135792661012</v>
      </c>
      <c r="G278">
        <f ca="1"/>
        <v>286491.96941059659</v>
      </c>
      <c r="H278">
        <f ca="1"/>
        <v>2.9927391729592898</v>
      </c>
      <c r="I278">
        <f ca="1"/>
        <v>3.809346126923456E-3</v>
      </c>
      <c r="J278">
        <f ca="1"/>
        <v>-2.1939884059818436E-3</v>
      </c>
      <c r="K278">
        <f ca="1"/>
        <v>0</v>
      </c>
      <c r="L278">
        <f ca="1"/>
        <v>-0.22721988526748418</v>
      </c>
      <c r="M278">
        <f ca="1"/>
        <v>-6.618028754428849</v>
      </c>
      <c r="N278">
        <f ca="1"/>
        <v>-2.1539712704224664E-2</v>
      </c>
      <c r="O278">
        <f ca="1"/>
        <v>0</v>
      </c>
      <c r="P278">
        <f ca="1"/>
        <v>-6.8667883524005573</v>
      </c>
      <c r="Q278">
        <f ca="1"/>
        <v>1130.0808102353956</v>
      </c>
    </row>
    <row r="279" spans="1:17">
      <c r="A279" s="2">
        <f ca="1"/>
        <v>278</v>
      </c>
      <c r="B279" s="2">
        <f ca="1"/>
        <v>0.87796610169491562</v>
      </c>
      <c r="C279" s="7">
        <f ca="1"/>
        <v>6.9250000000000006E-2</v>
      </c>
      <c r="D279" s="4">
        <f ca="1"/>
        <v>2.9937934240731687</v>
      </c>
      <c r="E279" s="4">
        <f ca="1"/>
        <v>4.0058710876184556</v>
      </c>
      <c r="F279" s="4">
        <f ca="1"/>
        <v>-1664.6941222513924</v>
      </c>
      <c r="G279">
        <f ca="1"/>
        <v>294473.99940731394</v>
      </c>
      <c r="H279">
        <f ca="1"/>
        <v>2.9937934240731687</v>
      </c>
      <c r="I279">
        <f ca="1"/>
        <v>3.8070425575272822E-3</v>
      </c>
      <c r="J279">
        <f ca="1"/>
        <v>-2.1766437168722337E-3</v>
      </c>
      <c r="K279">
        <f ca="1"/>
        <v>0</v>
      </c>
      <c r="L279">
        <f ca="1"/>
        <v>-0.22624019952012051</v>
      </c>
      <c r="M279">
        <f ca="1"/>
        <v>-6.3375613686765755</v>
      </c>
      <c r="N279">
        <f ca="1"/>
        <v>-1.7464304312976662E-2</v>
      </c>
      <c r="O279">
        <f ca="1"/>
        <v>0</v>
      </c>
      <c r="P279">
        <f ca="1"/>
        <v>-6.5812658725096727</v>
      </c>
      <c r="Q279">
        <f ca="1"/>
        <v>1154.4938988287015</v>
      </c>
    </row>
    <row r="280" spans="1:17">
      <c r="A280" s="2">
        <f ca="1"/>
        <v>279</v>
      </c>
      <c r="B280" s="2">
        <f ca="1"/>
        <v>0.88474576271186467</v>
      </c>
      <c r="C280" s="7">
        <f ca="1"/>
        <v>6.9500000000000006E-2</v>
      </c>
      <c r="D280" s="4">
        <f ca="1"/>
        <v>2.9947436422379594</v>
      </c>
      <c r="E280" s="4">
        <f ca="1"/>
        <v>3.5989834990906995</v>
      </c>
      <c r="F280" s="4">
        <f ca="1"/>
        <v>-1590.0714232123173</v>
      </c>
      <c r="G280">
        <f ca="1"/>
        <v>302517.90560555592</v>
      </c>
      <c r="H280">
        <f ca="1"/>
        <v>2.9947436422379594</v>
      </c>
      <c r="I280">
        <f ca="1"/>
        <v>3.804979250395784E-3</v>
      </c>
      <c r="J280">
        <f ca="1"/>
        <v>-2.1610106880767242E-3</v>
      </c>
      <c r="K280">
        <f ca="1"/>
        <v>0</v>
      </c>
      <c r="L280">
        <f ca="1"/>
        <v>-0.22535718865043652</v>
      </c>
      <c r="M280">
        <f ca="1"/>
        <v>-6.0501887719701601</v>
      </c>
      <c r="N280">
        <f ca="1"/>
        <v>-1.399544236560938E-2</v>
      </c>
      <c r="O280">
        <f ca="1"/>
        <v>0</v>
      </c>
      <c r="P280">
        <f ca="1"/>
        <v>-6.289541402986206</v>
      </c>
      <c r="Q280">
        <f ca="1"/>
        <v>1179.661554772397</v>
      </c>
    </row>
    <row r="281" spans="1:17">
      <c r="A281" s="2">
        <f ca="1"/>
        <v>280</v>
      </c>
      <c r="B281" s="2">
        <f ca="1"/>
        <v>0.89152542372881394</v>
      </c>
      <c r="C281" s="7">
        <f ca="1"/>
        <v>6.9750000000000006E-2</v>
      </c>
      <c r="D281" s="4">
        <f ca="1"/>
        <v>2.9955944914529198</v>
      </c>
      <c r="E281" s="4">
        <f ca="1"/>
        <v>3.211003601935186</v>
      </c>
      <c r="F281" s="4">
        <f ca="1"/>
        <v>-1513.4300130984871</v>
      </c>
      <c r="G281">
        <f ca="1"/>
        <v>310623.68800532311</v>
      </c>
      <c r="H281">
        <f ca="1"/>
        <v>2.9955944914529198</v>
      </c>
      <c r="I281">
        <f ca="1"/>
        <v>3.8031492225269847E-3</v>
      </c>
      <c r="J281">
        <f ca="1"/>
        <v>-2.1470057800691321E-3</v>
      </c>
      <c r="K281">
        <f ca="1"/>
        <v>0</v>
      </c>
      <c r="L281">
        <f ca="1"/>
        <v>-0.22456651853581336</v>
      </c>
      <c r="M281">
        <f ca="1"/>
        <v>-5.7558001776645149</v>
      </c>
      <c r="N281">
        <f ca="1"/>
        <v>-1.1068398923145267E-2</v>
      </c>
      <c r="O281">
        <f ca="1"/>
        <v>0</v>
      </c>
      <c r="P281">
        <f ca="1"/>
        <v>-5.9914350951234736</v>
      </c>
      <c r="Q281">
        <f ca="1"/>
        <v>1205.5888286177819</v>
      </c>
    </row>
    <row r="282" spans="1:17">
      <c r="A282" s="2">
        <f ca="1"/>
        <v>281</v>
      </c>
      <c r="B282" s="2">
        <f ca="1"/>
        <v>0.89830508474576298</v>
      </c>
      <c r="C282" s="7">
        <f ca="1"/>
        <v>7.0000000000000007E-2</v>
      </c>
      <c r="D282" s="4">
        <f ca="1"/>
        <v>2.9963507618867489</v>
      </c>
      <c r="E282" s="4">
        <f ca="1"/>
        <v>2.8424380075518934</v>
      </c>
      <c r="F282" s="4">
        <f ca="1"/>
        <v>-1434.7544228595279</v>
      </c>
      <c r="G282">
        <f ca="1"/>
        <v>318791.34660661506</v>
      </c>
      <c r="H282">
        <f ca="1"/>
        <v>2.9963507618867489</v>
      </c>
      <c r="I282">
        <f ca="1"/>
        <v>3.8015287798291299E-3</v>
      </c>
      <c r="J282">
        <f ca="1"/>
        <v>-2.1345552723305997E-3</v>
      </c>
      <c r="K282">
        <f ca="1"/>
        <v>0</v>
      </c>
      <c r="L282">
        <f ca="1"/>
        <v>-0.22386373780793831</v>
      </c>
      <c r="M282">
        <f ca="1"/>
        <v>-5.4542602304876286</v>
      </c>
      <c r="N282">
        <f ca="1"/>
        <v>-8.623020381747724E-3</v>
      </c>
      <c r="O282">
        <f ca="1"/>
        <v>0</v>
      </c>
      <c r="P282">
        <f ca="1"/>
        <v>-5.6867469886773145</v>
      </c>
      <c r="Q282">
        <f ca="1"/>
        <v>1232.2588790316142</v>
      </c>
    </row>
    <row r="283" spans="1:17">
      <c r="A283" s="2">
        <f ca="1"/>
        <v>282</v>
      </c>
      <c r="B283" s="2">
        <f ca="1"/>
        <v>0.90508474576271225</v>
      </c>
      <c r="C283" s="7">
        <f ca="1"/>
        <v>7.0250000000000007E-2</v>
      </c>
      <c r="D283" s="4">
        <f ca="1"/>
        <v>2.9970173708444059</v>
      </c>
      <c r="E283" s="4">
        <f ca="1"/>
        <v>2.4937971946033768</v>
      </c>
      <c r="F283" s="4">
        <f ca="1"/>
        <v>-1354.0291834450527</v>
      </c>
      <c r="G283">
        <f ca="1"/>
        <v>327020.8814094321</v>
      </c>
      <c r="H283">
        <f ca="1"/>
        <v>2.9970173708444059</v>
      </c>
      <c r="I283">
        <f ca="1"/>
        <v>3.8001087021821865E-3</v>
      </c>
      <c r="J283">
        <f ca="1"/>
        <v>-2.1235792496160887E-3</v>
      </c>
      <c r="K283">
        <f ca="1"/>
        <v>0</v>
      </c>
      <c r="L283">
        <f ca="1"/>
        <v>-0.22324427695436735</v>
      </c>
      <c r="M283">
        <f ca="1"/>
        <v>-5.1454580830181849</v>
      </c>
      <c r="N283">
        <f ca="1"/>
        <v>-6.6032956351140103E-3</v>
      </c>
      <c r="O283">
        <f ca="1"/>
        <v>0</v>
      </c>
      <c r="P283">
        <f ca="1"/>
        <v>-5.3753056556076659</v>
      </c>
      <c r="Q283">
        <f ca="1"/>
        <v>1259.6094138529963</v>
      </c>
    </row>
    <row r="284" spans="1:17">
      <c r="A284" s="2">
        <f ca="1"/>
        <v>283</v>
      </c>
      <c r="B284" s="2">
        <f ca="1"/>
        <v>0.9118644067796613</v>
      </c>
      <c r="C284" s="7">
        <f ca="1"/>
        <v>7.0500000000000007E-2</v>
      </c>
      <c r="D284" s="4">
        <f ca="1"/>
        <v>2.9975993637339218</v>
      </c>
      <c r="E284" s="4">
        <f ca="1"/>
        <v>2.1655955090148553</v>
      </c>
      <c r="F284" s="4">
        <f ca="1"/>
        <v>-1271.2388258046849</v>
      </c>
      <c r="G284">
        <f ca="1"/>
        <v>335312.29241377383</v>
      </c>
      <c r="H284">
        <f ca="1"/>
        <v>2.9975993637339218</v>
      </c>
      <c r="I284">
        <f ca="1"/>
        <v>3.7988784060255208E-3</v>
      </c>
      <c r="J284">
        <f ca="1"/>
        <v>-2.1139946047235491E-3</v>
      </c>
      <c r="K284">
        <f ca="1"/>
        <v>0</v>
      </c>
      <c r="L284">
        <f ca="1"/>
        <v>-0.22270344742009457</v>
      </c>
      <c r="M284">
        <f ca="1"/>
        <v>-4.8292817242506558</v>
      </c>
      <c r="N284">
        <f ca="1"/>
        <v>-4.9571100800649397E-3</v>
      </c>
      <c r="O284">
        <f ca="1"/>
        <v>0</v>
      </c>
      <c r="P284">
        <f ca="1"/>
        <v>-5.0569422817508158</v>
      </c>
      <c r="Q284">
        <f ca="1"/>
        <v>1287.6524518589717</v>
      </c>
    </row>
    <row r="285" spans="1:17">
      <c r="A285" s="2">
        <f ca="1"/>
        <v>284</v>
      </c>
      <c r="B285" s="2">
        <f ca="1"/>
        <v>0.91864406779661056</v>
      </c>
      <c r="C285" s="7">
        <f ca="1"/>
        <v>7.0750000000000007E-2</v>
      </c>
      <c r="D285" s="4">
        <f ca="1"/>
        <v>2.9981019150332169</v>
      </c>
      <c r="E285" s="4">
        <f ca="1"/>
        <v>1.8583511639740529</v>
      </c>
      <c r="F285" s="4">
        <f ca="1"/>
        <v>-1186.3678808880393</v>
      </c>
      <c r="G285">
        <f ca="1"/>
        <v>343665.57961964078</v>
      </c>
      <c r="H285">
        <f ca="1"/>
        <v>2.9981019150332169</v>
      </c>
      <c r="I285">
        <f ca="1"/>
        <v>3.797816044365803E-3</v>
      </c>
      <c r="J285">
        <f ca="1"/>
        <v>-2.1057182566258346E-3</v>
      </c>
      <c r="K285">
        <f ca="1"/>
        <v>0</v>
      </c>
      <c r="L285">
        <f ca="1"/>
        <v>-0.22223644070911558</v>
      </c>
      <c r="M285">
        <f ca="1"/>
        <v>-4.5056069725568531</v>
      </c>
      <c r="N285">
        <f ca="1"/>
        <v>-3.6360164122106638E-3</v>
      </c>
      <c r="O285">
        <f ca="1"/>
        <v>0</v>
      </c>
      <c r="P285">
        <f ca="1"/>
        <v>-4.7314794296781795</v>
      </c>
      <c r="Q285">
        <f ca="1"/>
        <v>1316.3611344453982</v>
      </c>
    </row>
    <row r="286" spans="1:17">
      <c r="A286" s="2">
        <f ca="1"/>
        <v>285</v>
      </c>
      <c r="B286" s="2">
        <f ca="1"/>
        <v>0.92542372881355961</v>
      </c>
      <c r="C286" s="7">
        <f ca="1"/>
        <v>7.1000000000000008E-2</v>
      </c>
      <c r="D286" s="4">
        <f ca="1"/>
        <v>2.9985303292569165</v>
      </c>
      <c r="E286" s="4">
        <f ca="1"/>
        <v>1.5725862399313792</v>
      </c>
      <c r="F286" s="4">
        <f ca="1"/>
        <v>-1099.4008796447379</v>
      </c>
      <c r="G286">
        <f ca="1"/>
        <v>352080.74302703241</v>
      </c>
      <c r="H286">
        <f ca="1"/>
        <v>2.9985303292569165</v>
      </c>
      <c r="I286">
        <f ca="1"/>
        <v>3.7969119755163656E-3</v>
      </c>
      <c r="J286">
        <f ca="1"/>
        <v>-2.0986594323399517E-3</v>
      </c>
      <c r="K286">
        <f ca="1"/>
        <v>0</v>
      </c>
      <c r="L286">
        <f ca="1"/>
        <v>-0.22183832748599344</v>
      </c>
      <c r="M286">
        <f ca="1"/>
        <v>-4.1743283658163319</v>
      </c>
      <c r="N286">
        <f ca="1"/>
        <v>-2.5950212257901846E-3</v>
      </c>
      <c r="O286">
        <f ca="1"/>
        <v>0</v>
      </c>
      <c r="P286">
        <f ca="1"/>
        <v>-4.3987617145281162</v>
      </c>
      <c r="Q286">
        <f ca="1"/>
        <v>1345.6714121987552</v>
      </c>
    </row>
    <row r="287" spans="1:17">
      <c r="A287" s="2">
        <f ca="1"/>
        <v>286</v>
      </c>
      <c r="B287" s="2">
        <f ca="1"/>
        <v>0.93220338983050888</v>
      </c>
      <c r="C287" s="7">
        <f ca="1"/>
        <v>7.1250000000000008E-2</v>
      </c>
      <c r="D287" s="4">
        <f ca="1"/>
        <v>2.9988900419231657</v>
      </c>
      <c r="E287" s="4">
        <f ca="1"/>
        <v>1.3088266845997751</v>
      </c>
      <c r="F287" s="4">
        <f ca="1"/>
        <v>-1010.3223530243947</v>
      </c>
      <c r="G287">
        <f ca="1"/>
        <v>360557.78263594926</v>
      </c>
      <c r="H287">
        <f ca="1"/>
        <v>2.9988900419231657</v>
      </c>
      <c r="I287">
        <f ca="1"/>
        <v>3.7961619063439766E-3</v>
      </c>
      <c r="J287">
        <f ca="1"/>
        <v>-2.0927129795141495E-3</v>
      </c>
      <c r="K287">
        <f ca="1"/>
        <v>0</v>
      </c>
      <c r="L287">
        <f ca="1"/>
        <v>-0.22150405667742504</v>
      </c>
      <c r="M287">
        <f ca="1"/>
        <v>-3.8353472296790185</v>
      </c>
      <c r="N287">
        <f ca="1"/>
        <v>-1.7924372223577683E-3</v>
      </c>
      <c r="O287">
        <f ca="1"/>
        <v>0</v>
      </c>
      <c r="P287">
        <f ca="1"/>
        <v>-4.0586437235788013</v>
      </c>
      <c r="Q287">
        <f ca="1"/>
        <v>1375.5910819522687</v>
      </c>
    </row>
    <row r="288" spans="1:17">
      <c r="A288" s="2">
        <f ca="1"/>
        <v>287</v>
      </c>
      <c r="B288" s="2">
        <f ca="1"/>
        <v>0.93898305084745792</v>
      </c>
      <c r="C288" s="7">
        <f ca="1"/>
        <v>7.1500000000000008E-2</v>
      </c>
      <c r="D288" s="4">
        <f ca="1"/>
        <v>2.9991866205204474</v>
      </c>
      <c r="E288" s="4">
        <f ca="1"/>
        <v>1.0676023129548065</v>
      </c>
      <c r="F288" s="4">
        <f ca="1"/>
        <v>-919.11683197663581</v>
      </c>
      <c r="G288">
        <f ca="1"/>
        <v>369096.6984463908</v>
      </c>
      <c r="H288">
        <f ca="1"/>
        <v>2.9991866205204474</v>
      </c>
      <c r="I288">
        <f ca="1"/>
        <v>3.79554348368644E-3</v>
      </c>
      <c r="J288">
        <f ca="1"/>
        <v>-2.0878102034838581E-3</v>
      </c>
      <c r="K288">
        <f ca="1"/>
        <v>0</v>
      </c>
      <c r="L288">
        <f ca="1"/>
        <v>-0.22122845457380386</v>
      </c>
      <c r="M288">
        <f ca="1"/>
        <v>-3.4885479023554447</v>
      </c>
      <c r="N288">
        <f ca="1"/>
        <v>-1.1898166227325235E-3</v>
      </c>
      <c r="O288">
        <f ca="1"/>
        <v>0</v>
      </c>
      <c r="P288">
        <f ca="1"/>
        <v>-3.7109661735519812</v>
      </c>
      <c r="Q288">
        <f ca="1"/>
        <v>1406.1117959388275</v>
      </c>
    </row>
    <row r="289" spans="1:17">
      <c r="A289" s="2">
        <f ca="1"/>
        <v>288</v>
      </c>
      <c r="B289" s="2">
        <f ca="1"/>
        <v>0.94576271186440719</v>
      </c>
      <c r="C289" s="7">
        <f ca="1"/>
        <v>7.1750000000000008E-2</v>
      </c>
      <c r="D289" s="4">
        <f ca="1"/>
        <v>2.9994257654743945</v>
      </c>
      <c r="E289" s="4">
        <f ca="1"/>
        <v>0.84944680723460564</v>
      </c>
      <c r="F289" s="4">
        <f ca="1"/>
        <v>-825.7688474510727</v>
      </c>
      <c r="G289">
        <f ca="1"/>
        <v>377697.49045835756</v>
      </c>
      <c r="H289">
        <f ca="1"/>
        <v>2.9994257654743945</v>
      </c>
      <c r="I289">
        <f ca="1"/>
        <v>3.7950448210745322E-3</v>
      </c>
      <c r="J289">
        <f ca="1"/>
        <v>-2.083856869835633E-3</v>
      </c>
      <c r="K289">
        <f ca="1"/>
        <v>0</v>
      </c>
      <c r="L289">
        <f ca="1"/>
        <v>-0.22100622393078942</v>
      </c>
      <c r="M289">
        <f ca="1"/>
        <v>-3.133829787923879</v>
      </c>
      <c r="N289">
        <f ca="1"/>
        <v>-7.5181375471855766E-4</v>
      </c>
      <c r="O289">
        <f ca="1"/>
        <v>0</v>
      </c>
      <c r="P289">
        <f ca="1"/>
        <v>-3.355587825609387</v>
      </c>
      <c r="Q289">
        <f ca="1"/>
        <v>1437.1861044114387</v>
      </c>
    </row>
    <row r="290" spans="1:17">
      <c r="A290" s="2">
        <f ca="1"/>
        <v>289</v>
      </c>
      <c r="B290" s="2">
        <f ca="1"/>
        <v>0.95254237288135624</v>
      </c>
      <c r="C290" s="7">
        <f ca="1"/>
        <v>7.2000000000000008E-2</v>
      </c>
      <c r="D290" s="4">
        <f ca="1"/>
        <v>2.9996133111146079</v>
      </c>
      <c r="E290" s="4">
        <f ca="1"/>
        <v>0.65489771693995491</v>
      </c>
      <c r="F290" s="4">
        <f ca="1"/>
        <v>-730.26293039733002</v>
      </c>
      <c r="G290">
        <f ca="1"/>
        <v>386360.15867184883</v>
      </c>
      <c r="H290">
        <f ca="1"/>
        <v>2.9996133111146079</v>
      </c>
      <c r="I290">
        <f ca="1"/>
        <v>3.7946537528238452E-3</v>
      </c>
      <c r="J290">
        <f ca="1"/>
        <v>-2.0807565305736245E-3</v>
      </c>
      <c r="K290">
        <f ca="1"/>
        <v>0</v>
      </c>
      <c r="L290">
        <f ca="1"/>
        <v>-0.22083194307087053</v>
      </c>
      <c r="M290">
        <f ca="1"/>
        <v>-2.7710949693803668</v>
      </c>
      <c r="N290">
        <f ca="1"/>
        <v>-4.462088950238522E-4</v>
      </c>
      <c r="O290">
        <f ca="1"/>
        <v>0</v>
      </c>
      <c r="P290">
        <f ca="1"/>
        <v>-2.9923731213462612</v>
      </c>
      <c r="Q290">
        <f ca="1"/>
        <v>1468.7904783637484</v>
      </c>
    </row>
    <row r="291" spans="1:17">
      <c r="A291" s="2">
        <f ca="1"/>
        <v>290</v>
      </c>
      <c r="B291" s="2">
        <f ca="1"/>
        <v>0.95932203389830506</v>
      </c>
      <c r="C291" s="7">
        <f ca="1"/>
        <v>7.2249999999999995E-2</v>
      </c>
      <c r="D291" s="4">
        <f ca="1"/>
        <v>2.9997552266414713</v>
      </c>
      <c r="E291" s="4">
        <f ca="1"/>
        <v>0.48449645883417874</v>
      </c>
      <c r="F291" s="4">
        <f ca="1"/>
        <v>-632.58361176502672</v>
      </c>
      <c r="G291">
        <f ca="1"/>
        <v>395084.70308686479</v>
      </c>
      <c r="H291">
        <f ca="1"/>
        <v>2.9997552266414713</v>
      </c>
      <c r="I291">
        <f ca="1"/>
        <v>3.7943578320187941E-3</v>
      </c>
      <c r="J291">
        <f ca="1"/>
        <v>-2.078410508137046E-3</v>
      </c>
      <c r="K291">
        <f ca="1"/>
        <v>0</v>
      </c>
      <c r="L291">
        <f ca="1"/>
        <v>-0.2207000649849313</v>
      </c>
      <c r="M291">
        <f ca="1"/>
        <v>-2.4002485817073653</v>
      </c>
      <c r="N291">
        <f ca="1"/>
        <v>-2.4393973523620504E-4</v>
      </c>
      <c r="O291">
        <f ca="1"/>
        <v>0</v>
      </c>
      <c r="P291">
        <f ca="1"/>
        <v>-2.6211925864275325</v>
      </c>
      <c r="Q291">
        <f ca="1"/>
        <v>1500.8996512985395</v>
      </c>
    </row>
    <row r="292" spans="1:17">
      <c r="A292" s="2">
        <f ca="1"/>
        <v>291</v>
      </c>
      <c r="B292" s="2">
        <f ca="1"/>
        <v>0.96610169491525411</v>
      </c>
      <c r="C292" s="7">
        <f ca="1"/>
        <v>7.2499999999999995E-2</v>
      </c>
      <c r="D292" s="4">
        <f ca="1"/>
        <v>2.9998576170929674</v>
      </c>
      <c r="E292" s="4">
        <f ca="1"/>
        <v>0.33878831694319134</v>
      </c>
      <c r="F292" s="4">
        <f ca="1"/>
        <v>-532.71542250377684</v>
      </c>
      <c r="G292">
        <f ca="1"/>
        <v>403871.12370340613</v>
      </c>
      <c r="H292">
        <f ca="1"/>
        <v>2.9998576170929674</v>
      </c>
      <c r="I292">
        <f ca="1"/>
        <v>3.7941443284966216E-3</v>
      </c>
      <c r="J292">
        <f ca="1"/>
        <v>-2.0767178794176217E-3</v>
      </c>
      <c r="K292">
        <f ca="1"/>
        <v>0</v>
      </c>
      <c r="L292">
        <f ca="1"/>
        <v>-0.22060491643381641</v>
      </c>
      <c r="M292">
        <f ca="1"/>
        <v>-2.0211991989953866</v>
      </c>
      <c r="N292">
        <f ca="1"/>
        <v>-1.1918026780862778E-4</v>
      </c>
      <c r="O292">
        <f ca="1"/>
        <v>0</v>
      </c>
      <c r="P292">
        <f ca="1"/>
        <v>-2.2419232956970117</v>
      </c>
      <c r="Q292">
        <f ca="1"/>
        <v>1533.4863753724285</v>
      </c>
    </row>
    <row r="293" spans="1:17">
      <c r="A293" s="2">
        <f ca="1"/>
        <v>292</v>
      </c>
      <c r="B293" s="2">
        <f ca="1"/>
        <v>0.97288135593220337</v>
      </c>
      <c r="C293" s="7">
        <f ca="1"/>
        <v>7.2749999999999995E-2</v>
      </c>
      <c r="D293" s="4">
        <f ca="1"/>
        <v>2.9999267243114924</v>
      </c>
      <c r="E293" s="4">
        <f ca="1"/>
        <v>0.21832244255555716</v>
      </c>
      <c r="F293" s="4">
        <f ca="1"/>
        <v>-430.64289356319779</v>
      </c>
      <c r="G293">
        <f ca="1"/>
        <v>412719.42052147258</v>
      </c>
      <c r="H293">
        <f ca="1"/>
        <v>2.9999267243114924</v>
      </c>
      <c r="I293">
        <f ca="1"/>
        <v>3.7940002268314075E-3</v>
      </c>
      <c r="J293">
        <f ca="1"/>
        <v>-2.0755754597770603E-3</v>
      </c>
      <c r="K293">
        <f ca="1"/>
        <v>0</v>
      </c>
      <c r="L293">
        <f ca="1"/>
        <v>-0.22054069704989768</v>
      </c>
      <c r="M293">
        <f ca="1"/>
        <v>-1.633859235862106</v>
      </c>
      <c r="N293">
        <f ca="1"/>
        <v>-4.9465829313683733E-5</v>
      </c>
      <c r="O293">
        <f ca="1"/>
        <v>0</v>
      </c>
      <c r="P293">
        <f ca="1"/>
        <v>-1.8544493987413175</v>
      </c>
      <c r="Q293">
        <f ca="1"/>
        <v>1566.52118325943</v>
      </c>
    </row>
    <row r="294" spans="1:17">
      <c r="A294" s="2">
        <f ca="1"/>
        <v>293</v>
      </c>
      <c r="B294" s="2">
        <f ca="1"/>
        <v>0.97966101694915242</v>
      </c>
      <c r="C294" s="7">
        <f ca="1"/>
        <v>7.2999999999999995E-2</v>
      </c>
      <c r="D294" s="4">
        <f ca="1"/>
        <v>2.9999689279106736</v>
      </c>
      <c r="E294" s="4">
        <f ca="1"/>
        <v>0.12365185422239466</v>
      </c>
      <c r="F294" s="4">
        <f ca="1"/>
        <v>-326.35055589291312</v>
      </c>
      <c r="G294">
        <f ca="1"/>
        <v>421629.59354106378</v>
      </c>
      <c r="H294">
        <f ca="1"/>
        <v>2.9999689279106736</v>
      </c>
      <c r="I294">
        <f ca="1"/>
        <v>3.7939122243180689E-3</v>
      </c>
      <c r="J294">
        <f ca="1"/>
        <v>-2.0748777870644845E-3</v>
      </c>
      <c r="K294">
        <f ca="1"/>
        <v>0</v>
      </c>
      <c r="L294">
        <f ca="1"/>
        <v>-0.22050147843863807</v>
      </c>
      <c r="M294">
        <f ca="1"/>
        <v>-1.2381453634151203</v>
      </c>
      <c r="N294">
        <f ca="1"/>
        <v>-1.5862213537597288E-5</v>
      </c>
      <c r="O294">
        <f ca="1"/>
        <v>0</v>
      </c>
      <c r="P294">
        <f ca="1"/>
        <v>-1.4586627040672959</v>
      </c>
      <c r="Q294">
        <f ca="1"/>
        <v>1599.9721591753651</v>
      </c>
    </row>
    <row r="295" spans="1:17">
      <c r="A295" s="2">
        <f ca="1"/>
        <v>294</v>
      </c>
      <c r="B295" s="2">
        <f ca="1"/>
        <v>0.98644067796610169</v>
      </c>
      <c r="C295" s="7">
        <f ca="1"/>
        <v>7.3249999999999996E-2</v>
      </c>
      <c r="D295" s="4">
        <f ca="1"/>
        <v>2.9999907462421835</v>
      </c>
      <c r="E295" s="4">
        <f ca="1"/>
        <v>5.5333437757448346E-2</v>
      </c>
      <c r="F295" s="4">
        <f ca="1"/>
        <v>-219.822940442538</v>
      </c>
      <c r="G295">
        <f ca="1"/>
        <v>430601.64276218013</v>
      </c>
      <c r="H295">
        <f ca="1"/>
        <v>2.9999907462421835</v>
      </c>
      <c r="I295">
        <f ca="1"/>
        <v>3.79386672895637E-3</v>
      </c>
      <c r="J295">
        <f ca="1"/>
        <v>-2.0745171056339015E-3</v>
      </c>
      <c r="K295">
        <f ca="1"/>
        <v>0</v>
      </c>
      <c r="L295">
        <f ca="1"/>
        <v>-0.22048120328015813</v>
      </c>
      <c r="M295">
        <f ca="1"/>
        <v>-0.83397894000630257</v>
      </c>
      <c r="N295">
        <f ca="1"/>
        <v>-3.1758671736747649E-6</v>
      </c>
      <c r="O295">
        <f ca="1"/>
        <v>0</v>
      </c>
      <c r="P295">
        <f ca="1"/>
        <v>-1.0544633191536343</v>
      </c>
      <c r="Q295">
        <f ca="1"/>
        <v>1633.8047228128132</v>
      </c>
    </row>
    <row r="296" spans="1:17">
      <c r="A296" s="2">
        <f ca="1"/>
        <v>295</v>
      </c>
      <c r="B296" s="2">
        <f ca="1"/>
        <v>0.99322033898305073</v>
      </c>
      <c r="C296" s="7">
        <f ca="1"/>
        <v>7.3499999999999996E-2</v>
      </c>
      <c r="D296" s="4">
        <f ca="1"/>
        <v>2.9999988373625555</v>
      </c>
      <c r="E296" s="4">
        <f ca="1"/>
        <v>1.392794623700459E-2</v>
      </c>
      <c r="F296" s="4">
        <f ca="1"/>
        <v>-111.04457816169617</v>
      </c>
      <c r="G296">
        <f ca="1"/>
        <v>439635.56818482117</v>
      </c>
      <c r="H296">
        <f ca="1"/>
        <v>2.9999988373625555</v>
      </c>
      <c r="I296">
        <f ca="1"/>
        <v>3.7938498574349297E-3</v>
      </c>
      <c r="J296">
        <f ca="1"/>
        <v>-2.0743833503616693E-3</v>
      </c>
      <c r="K296">
        <f ca="1"/>
        <v>0</v>
      </c>
      <c r="L296">
        <f ca="1"/>
        <v>-0.2204736844308022</v>
      </c>
      <c r="M296">
        <f ca="1"/>
        <v>-0.42128645702767292</v>
      </c>
      <c r="N296">
        <f ca="1"/>
        <v>-2.0120241340185E-7</v>
      </c>
      <c r="O296">
        <f ca="1"/>
        <v>0</v>
      </c>
      <c r="P296">
        <f ca="1"/>
        <v>-0.64176034266088855</v>
      </c>
      <c r="Q296">
        <f ca="1"/>
        <v>1667.9814302578616</v>
      </c>
    </row>
    <row r="297" spans="1:17">
      <c r="A297" s="2">
        <f ca="1"/>
        <v>296</v>
      </c>
      <c r="B297" s="2">
        <f ca="1"/>
        <v>1</v>
      </c>
      <c r="C297" s="7">
        <f ca="1"/>
        <v>7.3749999999999996E-2</v>
      </c>
      <c r="D297" s="4">
        <f ca="1"/>
        <v>3</v>
      </c>
      <c r="E297" s="4">
        <f ca="1"/>
        <v>0</v>
      </c>
      <c r="F297" s="4">
        <f ca="1"/>
        <v>0</v>
      </c>
      <c r="G297">
        <f ca="1"/>
        <v>448731.36980898731</v>
      </c>
      <c r="H297">
        <f ca="1"/>
        <v>3</v>
      </c>
      <c r="I297">
        <f ca="1"/>
        <v>3.793847433115222E-3</v>
      </c>
      <c r="J297">
        <f ca="1"/>
        <v>-2.0743641306639323E-3</v>
      </c>
      <c r="K297">
        <f ca="1"/>
        <v>0</v>
      </c>
      <c r="L297">
        <f ca="1"/>
        <v>-0.22047260402470278</v>
      </c>
      <c r="M297">
        <f ca="1"/>
        <v>0</v>
      </c>
      <c r="N297">
        <f ca="1"/>
        <v>0</v>
      </c>
      <c r="O297">
        <f ca="1"/>
        <v>0</v>
      </c>
      <c r="P297">
        <f ca="1"/>
        <v>-0.22047260402470278</v>
      </c>
      <c r="Q297">
        <f ca="1"/>
        <v>1685.1509545447414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8EA7325A395D4A8AEB540FFCEA76B8" ma:contentTypeVersion="11" ma:contentTypeDescription="Create a new document." ma:contentTypeScope="" ma:versionID="fc4c8b8886c6e2f675bd6ac0efb50304">
  <xsd:schema xmlns:xsd="http://www.w3.org/2001/XMLSchema" xmlns:xs="http://www.w3.org/2001/XMLSchema" xmlns:p="http://schemas.microsoft.com/office/2006/metadata/properties" xmlns:ns2="5d1e9816-383d-43a1-9215-b3bc03cad3ba" targetNamespace="http://schemas.microsoft.com/office/2006/metadata/properties" ma:root="true" ma:fieldsID="906b5ee505d8a1958eafb62e975f10c6" ns2:_="">
    <xsd:import namespace="5d1e9816-383d-43a1-9215-b3bc03cad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e9816-383d-43a1-9215-b3bc03cad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880A7E-97AD-4A01-857E-3DBBA52890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D29DD3-CAA6-44B0-B866-7D7ED6D77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1e9816-383d-43a1-9215-b3bc03cad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77E19D-AC9E-4680-B64F-037CAAB2B00A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5d1e9816-383d-43a1-9215-b3bc03cad3ba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README</vt:lpstr>
      <vt:lpstr>1.Properties</vt:lpstr>
      <vt:lpstr>2.Optimization</vt:lpstr>
      <vt:lpstr>3.Savings</vt:lpstr>
      <vt:lpstr>4.Output</vt:lpstr>
      <vt:lpstr>time</vt:lpstr>
      <vt:lpstr>trap</vt:lpstr>
      <vt:lpstr>refpoly</vt:lpstr>
      <vt:lpstr>optipoly</vt:lpstr>
      <vt:lpstr>isj0</vt:lpstr>
      <vt:lpstr>n</vt:lpstr>
      <vt:lpstr>pA</vt:lpstr>
      <vt:lpstr>pB</vt:lpstr>
      <vt:lpstr>tAB</vt:lpstr>
      <vt:lpstr>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Oosterwyck Nick</dc:creator>
  <cp:keywords/>
  <dc:description/>
  <cp:lastModifiedBy>Van Oosterwyck Nick</cp:lastModifiedBy>
  <cp:revision/>
  <dcterms:created xsi:type="dcterms:W3CDTF">2021-04-22T13:09:10Z</dcterms:created>
  <dcterms:modified xsi:type="dcterms:W3CDTF">2022-01-20T13:16:11Z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0x010100F38EA7325A395D4A8AEB540FFCEA76B8</vt:lpwstr>
  </property>
</Properties>
</file>